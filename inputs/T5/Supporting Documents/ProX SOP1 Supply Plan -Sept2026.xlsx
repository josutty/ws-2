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cv-my.sharepoint.com/personal/amwankhade_vecvnet_com/Documents/Desktop/SEPT 26/"/>
    </mc:Choice>
  </mc:AlternateContent>
  <xr:revisionPtr revIDLastSave="0" documentId="8_{CFF98A51-CB23-4DBD-AFD9-DAFB3129E296}" xr6:coauthVersionLast="47" xr6:coauthVersionMax="47" xr10:uidLastSave="{00000000-0000-0000-0000-000000000000}"/>
  <bookViews>
    <workbookView xWindow="-120" yWindow="-120" windowWidth="20730" windowHeight="11040" activeTab="2" xr2:uid="{77F0C563-8E35-4E22-87C5-2D738B3E72E3}"/>
  </bookViews>
  <sheets>
    <sheet name="combined" sheetId="14" r:id="rId1"/>
    <sheet name="cargo" sheetId="13" r:id="rId2"/>
    <sheet name="ok tag" sheetId="12" r:id="rId3"/>
    <sheet name="rollout" sheetId="1" r:id="rId4"/>
    <sheet name="bus and appln" sheetId="11" state="hidden" r:id="rId5"/>
    <sheet name="summary-aug26" sheetId="10" r:id="rId6"/>
    <sheet name="bus and spl" sheetId="8" state="hidden" r:id="rId7"/>
    <sheet name="bus and spl appln" sheetId="9" state="hidden" r:id="rId8"/>
  </sheets>
  <definedNames>
    <definedName name="_xlnm._FilterDatabase" localSheetId="4" hidden="1">'bus and appln'!$A$3:$DF$164</definedName>
    <definedName name="_xlnm._FilterDatabase" localSheetId="6" hidden="1">'bus and spl'!$A$3:$DF$176</definedName>
    <definedName name="_xlnm._FilterDatabase" localSheetId="7" hidden="1">'bus and spl appln'!$A$4:$DT$211</definedName>
    <definedName name="_xlnm._FilterDatabase" localSheetId="1" hidden="1">cargo!$A$1:$BF$32</definedName>
    <definedName name="_xlnm._FilterDatabase" localSheetId="0" hidden="1">combined!$A$3:$CO$58</definedName>
    <definedName name="_xlnm._FilterDatabase" localSheetId="2" hidden="1">'ok tag'!$A$3:$CP$58</definedName>
    <definedName name="_xlnm._FilterDatabase" localSheetId="3" hidden="1">rollout!$A$3:$CQ$58</definedName>
    <definedName name="_xlnm._FilterDatabase" localSheetId="5" hidden="1">'summary-aug26'!#REF!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17" i="14" l="1"/>
  <c r="BD58" i="14" l="1"/>
  <c r="BE58" i="14" s="1"/>
  <c r="V58" i="14"/>
  <c r="BD57" i="14"/>
  <c r="BE57" i="14" s="1"/>
  <c r="V57" i="14"/>
  <c r="BD56" i="14"/>
  <c r="BE56" i="14" s="1"/>
  <c r="V56" i="14"/>
  <c r="BD55" i="14"/>
  <c r="BE55" i="14" s="1"/>
  <c r="V55" i="14"/>
  <c r="BD54" i="14"/>
  <c r="BE54" i="14" s="1"/>
  <c r="V54" i="14"/>
  <c r="BD53" i="14"/>
  <c r="BE53" i="14" s="1"/>
  <c r="V53" i="14"/>
  <c r="BD52" i="14"/>
  <c r="BE52" i="14" s="1"/>
  <c r="V52" i="14"/>
  <c r="BD51" i="14"/>
  <c r="BE51" i="14" s="1"/>
  <c r="V51" i="14"/>
  <c r="BD50" i="14"/>
  <c r="BE50" i="14" s="1"/>
  <c r="V50" i="14"/>
  <c r="BD49" i="14"/>
  <c r="BE49" i="14" s="1"/>
  <c r="V49" i="14"/>
  <c r="BD48" i="14"/>
  <c r="BE48" i="14" s="1"/>
  <c r="V48" i="14"/>
  <c r="BD47" i="14"/>
  <c r="BE47" i="14" s="1"/>
  <c r="V47" i="14"/>
  <c r="BD46" i="14"/>
  <c r="BE46" i="14" s="1"/>
  <c r="V46" i="14"/>
  <c r="BD45" i="14"/>
  <c r="BE45" i="14" s="1"/>
  <c r="V45" i="14"/>
  <c r="BD44" i="14"/>
  <c r="BE44" i="14" s="1"/>
  <c r="V44" i="14"/>
  <c r="BD43" i="14"/>
  <c r="BE43" i="14" s="1"/>
  <c r="V43" i="14"/>
  <c r="BD42" i="14"/>
  <c r="BE42" i="14" s="1"/>
  <c r="V42" i="14"/>
  <c r="BD41" i="14"/>
  <c r="BE41" i="14" s="1"/>
  <c r="V41" i="14"/>
  <c r="BD40" i="14"/>
  <c r="BE40" i="14" s="1"/>
  <c r="V40" i="14"/>
  <c r="BD39" i="14"/>
  <c r="BE39" i="14" s="1"/>
  <c r="V39" i="14"/>
  <c r="BD38" i="14"/>
  <c r="BE38" i="14" s="1"/>
  <c r="V38" i="14"/>
  <c r="BD37" i="14"/>
  <c r="BE37" i="14" s="1"/>
  <c r="V37" i="14"/>
  <c r="BD36" i="14"/>
  <c r="BE36" i="14" s="1"/>
  <c r="V36" i="14"/>
  <c r="BD35" i="14"/>
  <c r="BE35" i="14" s="1"/>
  <c r="V35" i="14"/>
  <c r="BD34" i="14"/>
  <c r="BE34" i="14" s="1"/>
  <c r="V34" i="14"/>
  <c r="BD33" i="14"/>
  <c r="BE33" i="14" s="1"/>
  <c r="V33" i="14"/>
  <c r="BD32" i="14"/>
  <c r="BE32" i="14" s="1"/>
  <c r="V32" i="14"/>
  <c r="BD31" i="14"/>
  <c r="BE31" i="14" s="1"/>
  <c r="V31" i="14"/>
  <c r="BD30" i="14"/>
  <c r="BE30" i="14" s="1"/>
  <c r="V30" i="14"/>
  <c r="BD29" i="14"/>
  <c r="BE29" i="14" s="1"/>
  <c r="V29" i="14"/>
  <c r="BD28" i="14"/>
  <c r="BE28" i="14" s="1"/>
  <c r="V28" i="14"/>
  <c r="BD27" i="14"/>
  <c r="BE27" i="14" s="1"/>
  <c r="V27" i="14"/>
  <c r="BD26" i="14"/>
  <c r="BE26" i="14" s="1"/>
  <c r="V26" i="14"/>
  <c r="BD25" i="14"/>
  <c r="BE25" i="14" s="1"/>
  <c r="V25" i="14"/>
  <c r="BD24" i="14"/>
  <c r="BE24" i="14" s="1"/>
  <c r="V24" i="14"/>
  <c r="BD23" i="14"/>
  <c r="BE23" i="14" s="1"/>
  <c r="V23" i="14"/>
  <c r="BD22" i="14"/>
  <c r="BE22" i="14" s="1"/>
  <c r="V22" i="14"/>
  <c r="BD21" i="14"/>
  <c r="BE21" i="14" s="1"/>
  <c r="V21" i="14"/>
  <c r="BD20" i="14"/>
  <c r="BE20" i="14" s="1"/>
  <c r="V20" i="14"/>
  <c r="BD19" i="14"/>
  <c r="BE19" i="14" s="1"/>
  <c r="V19" i="14"/>
  <c r="BD18" i="14"/>
  <c r="BE18" i="14" s="1"/>
  <c r="V18" i="14"/>
  <c r="BE17" i="14"/>
  <c r="V17" i="14"/>
  <c r="BD16" i="14"/>
  <c r="BE16" i="14" s="1"/>
  <c r="V16" i="14"/>
  <c r="BD15" i="14"/>
  <c r="BE15" i="14" s="1"/>
  <c r="V15" i="14"/>
  <c r="BD14" i="14"/>
  <c r="BE14" i="14" s="1"/>
  <c r="V14" i="14"/>
  <c r="BD13" i="14"/>
  <c r="BE13" i="14" s="1"/>
  <c r="V13" i="14"/>
  <c r="BD12" i="14"/>
  <c r="BE12" i="14" s="1"/>
  <c r="V12" i="14"/>
  <c r="BD11" i="14"/>
  <c r="BE11" i="14" s="1"/>
  <c r="V11" i="14"/>
  <c r="BD10" i="14"/>
  <c r="BE10" i="14" s="1"/>
  <c r="V10" i="14"/>
  <c r="BD9" i="14"/>
  <c r="BE9" i="14" s="1"/>
  <c r="V9" i="14"/>
  <c r="BD8" i="14"/>
  <c r="BE8" i="14" s="1"/>
  <c r="V8" i="14"/>
  <c r="BD7" i="14"/>
  <c r="BE7" i="14" s="1"/>
  <c r="V7" i="14"/>
  <c r="BD6" i="14"/>
  <c r="BE6" i="14" s="1"/>
  <c r="V6" i="14"/>
  <c r="BD5" i="14"/>
  <c r="BE5" i="14" s="1"/>
  <c r="V5" i="14"/>
  <c r="BD4" i="14"/>
  <c r="BE4" i="14" s="1"/>
  <c r="V4" i="14"/>
  <c r="BB2" i="14"/>
  <c r="AX2" i="14"/>
  <c r="AY2" i="14" s="1"/>
  <c r="AW2" i="14"/>
  <c r="AU2" i="14"/>
  <c r="AQ2" i="14"/>
  <c r="AR2" i="14" s="1"/>
  <c r="AP2" i="14"/>
  <c r="AN2" i="14"/>
  <c r="AJ2" i="14"/>
  <c r="AK2" i="14" s="1"/>
  <c r="AI2" i="14"/>
  <c r="AA2" i="14"/>
  <c r="Z2" i="14"/>
  <c r="Y2" i="14"/>
  <c r="X2" i="14"/>
  <c r="W2" i="14"/>
  <c r="U2" i="14"/>
  <c r="T2" i="14"/>
  <c r="S2" i="14"/>
  <c r="R2" i="14"/>
  <c r="Q2" i="14"/>
  <c r="P2" i="14"/>
  <c r="O2" i="14"/>
  <c r="BC1" i="14"/>
  <c r="BB1" i="14"/>
  <c r="BA1" i="14"/>
  <c r="AZ1" i="14"/>
  <c r="AY1" i="14"/>
  <c r="AX1" i="14"/>
  <c r="AW1" i="14"/>
  <c r="AV1" i="14"/>
  <c r="AU1" i="14"/>
  <c r="AT1" i="14"/>
  <c r="AS1" i="14"/>
  <c r="AR1" i="14"/>
  <c r="AQ1" i="14"/>
  <c r="AP1" i="14"/>
  <c r="AO1" i="14"/>
  <c r="AN1" i="14"/>
  <c r="AM1" i="14"/>
  <c r="AL1" i="14"/>
  <c r="AK1" i="14"/>
  <c r="AJ1" i="14"/>
  <c r="AI1" i="14"/>
  <c r="AH1" i="14"/>
  <c r="AG1" i="14"/>
  <c r="AF1" i="14"/>
  <c r="AE1" i="14"/>
  <c r="AD1" i="14"/>
  <c r="AC1" i="14"/>
  <c r="AB1" i="14"/>
  <c r="BD32" i="13"/>
  <c r="BE32" i="13" s="1"/>
  <c r="V32" i="13"/>
  <c r="BD31" i="13"/>
  <c r="BE31" i="13" s="1"/>
  <c r="V31" i="13"/>
  <c r="BD30" i="13"/>
  <c r="BE30" i="13" s="1"/>
  <c r="V30" i="13"/>
  <c r="BD29" i="13"/>
  <c r="BE29" i="13" s="1"/>
  <c r="V29" i="13"/>
  <c r="BD28" i="13"/>
  <c r="BE28" i="13" s="1"/>
  <c r="V28" i="13"/>
  <c r="BD27" i="13"/>
  <c r="BE27" i="13" s="1"/>
  <c r="V27" i="13"/>
  <c r="BD26" i="13"/>
  <c r="BE26" i="13" s="1"/>
  <c r="V26" i="13"/>
  <c r="BD25" i="13"/>
  <c r="BE25" i="13" s="1"/>
  <c r="V25" i="13"/>
  <c r="BD24" i="13"/>
  <c r="BE24" i="13" s="1"/>
  <c r="V24" i="13"/>
  <c r="BD23" i="13"/>
  <c r="BE23" i="13" s="1"/>
  <c r="V23" i="13"/>
  <c r="BD22" i="13"/>
  <c r="BE22" i="13" s="1"/>
  <c r="V22" i="13"/>
  <c r="BD21" i="13"/>
  <c r="BE21" i="13" s="1"/>
  <c r="V21" i="13"/>
  <c r="BD20" i="13"/>
  <c r="BE20" i="13" s="1"/>
  <c r="V20" i="13"/>
  <c r="BD19" i="13"/>
  <c r="BE19" i="13" s="1"/>
  <c r="V19" i="13"/>
  <c r="BD18" i="13"/>
  <c r="BE18" i="13" s="1"/>
  <c r="V18" i="13"/>
  <c r="BD17" i="13"/>
  <c r="BE17" i="13" s="1"/>
  <c r="V17" i="13"/>
  <c r="BD16" i="13"/>
  <c r="BE16" i="13" s="1"/>
  <c r="V16" i="13"/>
  <c r="BD15" i="13"/>
  <c r="BE15" i="13" s="1"/>
  <c r="V15" i="13"/>
  <c r="BD14" i="13"/>
  <c r="BE14" i="13" s="1"/>
  <c r="V14" i="13"/>
  <c r="BD13" i="13"/>
  <c r="BE13" i="13" s="1"/>
  <c r="V13" i="13"/>
  <c r="BD12" i="13"/>
  <c r="BE12" i="13" s="1"/>
  <c r="V12" i="13"/>
  <c r="BD11" i="13"/>
  <c r="BE11" i="13" s="1"/>
  <c r="V11" i="13"/>
  <c r="BD10" i="13"/>
  <c r="BE10" i="13" s="1"/>
  <c r="V10" i="13"/>
  <c r="BE9" i="13"/>
  <c r="BD9" i="13"/>
  <c r="V9" i="13"/>
  <c r="BD8" i="13"/>
  <c r="BE8" i="13" s="1"/>
  <c r="V8" i="13"/>
  <c r="V2" i="13" s="1"/>
  <c r="BD7" i="13"/>
  <c r="BE7" i="13" s="1"/>
  <c r="V7" i="13"/>
  <c r="BD6" i="13"/>
  <c r="BE6" i="13" s="1"/>
  <c r="V6" i="13"/>
  <c r="BD5" i="13"/>
  <c r="BE5" i="13" s="1"/>
  <c r="V5" i="13"/>
  <c r="BE4" i="13"/>
  <c r="BD4" i="13"/>
  <c r="V4" i="13"/>
  <c r="BB2" i="13"/>
  <c r="AW2" i="13"/>
  <c r="AX2" i="13" s="1"/>
  <c r="AY2" i="13" s="1"/>
  <c r="AU2" i="13"/>
  <c r="AQ2" i="13"/>
  <c r="AR2" i="13" s="1"/>
  <c r="AP2" i="13"/>
  <c r="AN2" i="13"/>
  <c r="AI2" i="13"/>
  <c r="AJ2" i="13" s="1"/>
  <c r="AK2" i="13" s="1"/>
  <c r="AA2" i="13"/>
  <c r="Z2" i="13"/>
  <c r="Y2" i="13"/>
  <c r="X2" i="13"/>
  <c r="W2" i="13"/>
  <c r="U2" i="13"/>
  <c r="T2" i="13"/>
  <c r="S2" i="13"/>
  <c r="R2" i="13"/>
  <c r="Q2" i="13"/>
  <c r="P2" i="13"/>
  <c r="O2" i="13"/>
  <c r="BC1" i="13"/>
  <c r="BB1" i="13"/>
  <c r="BA1" i="13"/>
  <c r="AZ1" i="13"/>
  <c r="AY1" i="13"/>
  <c r="AX1" i="13"/>
  <c r="AW1" i="13"/>
  <c r="AV1" i="13"/>
  <c r="AU1" i="13"/>
  <c r="AT1" i="13"/>
  <c r="AS1" i="13"/>
  <c r="AR1" i="13"/>
  <c r="AQ1" i="13"/>
  <c r="AP1" i="13"/>
  <c r="AO1" i="13"/>
  <c r="AN1" i="13"/>
  <c r="AM1" i="13"/>
  <c r="AL1" i="13"/>
  <c r="AK1" i="13"/>
  <c r="AJ1" i="13"/>
  <c r="AI1" i="13"/>
  <c r="AH1" i="13"/>
  <c r="AG1" i="13"/>
  <c r="AF1" i="13"/>
  <c r="AE1" i="13"/>
  <c r="AD1" i="13"/>
  <c r="AC1" i="13"/>
  <c r="AB1" i="13"/>
  <c r="AI2" i="12"/>
  <c r="AJ2" i="12" s="1"/>
  <c r="AK2" i="12" s="1"/>
  <c r="AN2" i="12" s="1"/>
  <c r="AP2" i="12" s="1"/>
  <c r="AQ2" i="12" s="1"/>
  <c r="AR2" i="12" s="1"/>
  <c r="AU2" i="12" s="1"/>
  <c r="AW2" i="12" s="1"/>
  <c r="AX2" i="12" s="1"/>
  <c r="AY2" i="12" s="1"/>
  <c r="BB2" i="12" s="1"/>
  <c r="BE1" i="14" l="1"/>
  <c r="BD1" i="14"/>
  <c r="V2" i="14"/>
  <c r="BD1" i="13"/>
  <c r="BE1" i="13"/>
  <c r="BD58" i="12"/>
  <c r="BE58" i="12" s="1"/>
  <c r="V58" i="12"/>
  <c r="BD57" i="12"/>
  <c r="BE57" i="12" s="1"/>
  <c r="V57" i="12"/>
  <c r="BD56" i="12"/>
  <c r="BE56" i="12" s="1"/>
  <c r="V56" i="12"/>
  <c r="BD55" i="12"/>
  <c r="BE55" i="12" s="1"/>
  <c r="V55" i="12"/>
  <c r="BD54" i="12"/>
  <c r="BE54" i="12" s="1"/>
  <c r="V54" i="12"/>
  <c r="BD53" i="12"/>
  <c r="BE53" i="12" s="1"/>
  <c r="V53" i="12"/>
  <c r="BD52" i="12"/>
  <c r="BE52" i="12" s="1"/>
  <c r="V52" i="12"/>
  <c r="BD51" i="12"/>
  <c r="BE51" i="12" s="1"/>
  <c r="V51" i="12"/>
  <c r="BD50" i="12"/>
  <c r="BE50" i="12" s="1"/>
  <c r="V50" i="12"/>
  <c r="BD49" i="12"/>
  <c r="BE49" i="12" s="1"/>
  <c r="V49" i="12"/>
  <c r="BD48" i="12"/>
  <c r="BE48" i="12" s="1"/>
  <c r="V48" i="12"/>
  <c r="BD47" i="12"/>
  <c r="BE47" i="12" s="1"/>
  <c r="V47" i="12"/>
  <c r="BD46" i="12"/>
  <c r="BE46" i="12" s="1"/>
  <c r="V46" i="12"/>
  <c r="BD45" i="12"/>
  <c r="BE45" i="12" s="1"/>
  <c r="V45" i="12"/>
  <c r="BD44" i="12"/>
  <c r="BE44" i="12" s="1"/>
  <c r="V44" i="12"/>
  <c r="BD43" i="12"/>
  <c r="BE43" i="12" s="1"/>
  <c r="V43" i="12"/>
  <c r="BD42" i="12"/>
  <c r="BE42" i="12" s="1"/>
  <c r="V42" i="12"/>
  <c r="BD41" i="12"/>
  <c r="BE41" i="12" s="1"/>
  <c r="V41" i="12"/>
  <c r="BD40" i="12"/>
  <c r="BE40" i="12" s="1"/>
  <c r="V40" i="12"/>
  <c r="BD39" i="12"/>
  <c r="BE39" i="12" s="1"/>
  <c r="V39" i="12"/>
  <c r="BD38" i="12"/>
  <c r="BE38" i="12" s="1"/>
  <c r="V38" i="12"/>
  <c r="BD37" i="12"/>
  <c r="BE37" i="12" s="1"/>
  <c r="V37" i="12"/>
  <c r="BD36" i="12"/>
  <c r="BE36" i="12" s="1"/>
  <c r="V36" i="12"/>
  <c r="BD35" i="12"/>
  <c r="BE35" i="12" s="1"/>
  <c r="V35" i="12"/>
  <c r="BD34" i="12"/>
  <c r="BE34" i="12" s="1"/>
  <c r="V34" i="12"/>
  <c r="BD33" i="12"/>
  <c r="BE33" i="12" s="1"/>
  <c r="V33" i="12"/>
  <c r="BD32" i="12"/>
  <c r="BE32" i="12" s="1"/>
  <c r="V32" i="12"/>
  <c r="BD31" i="12"/>
  <c r="BE31" i="12" s="1"/>
  <c r="V31" i="12"/>
  <c r="BD30" i="12"/>
  <c r="BE30" i="12" s="1"/>
  <c r="V30" i="12"/>
  <c r="BD29" i="12"/>
  <c r="BE29" i="12" s="1"/>
  <c r="V29" i="12"/>
  <c r="BD28" i="12"/>
  <c r="BE28" i="12" s="1"/>
  <c r="V28" i="12"/>
  <c r="BD27" i="12"/>
  <c r="BE27" i="12" s="1"/>
  <c r="V27" i="12"/>
  <c r="BD26" i="12"/>
  <c r="BE26" i="12" s="1"/>
  <c r="V26" i="12"/>
  <c r="BD25" i="12"/>
  <c r="BE25" i="12" s="1"/>
  <c r="V25" i="12"/>
  <c r="BD24" i="12"/>
  <c r="BE24" i="12" s="1"/>
  <c r="V24" i="12"/>
  <c r="BD23" i="12"/>
  <c r="BE23" i="12" s="1"/>
  <c r="V23" i="12"/>
  <c r="BD22" i="12"/>
  <c r="BE22" i="12" s="1"/>
  <c r="V22" i="12"/>
  <c r="BD21" i="12"/>
  <c r="BE21" i="12" s="1"/>
  <c r="V21" i="12"/>
  <c r="BD20" i="12"/>
  <c r="BE20" i="12" s="1"/>
  <c r="V20" i="12"/>
  <c r="BD19" i="12"/>
  <c r="BE19" i="12" s="1"/>
  <c r="V19" i="12"/>
  <c r="BD18" i="12"/>
  <c r="BE18" i="12" s="1"/>
  <c r="V18" i="12"/>
  <c r="BD17" i="12"/>
  <c r="BE17" i="12" s="1"/>
  <c r="V17" i="12"/>
  <c r="BD16" i="12"/>
  <c r="BE16" i="12" s="1"/>
  <c r="V16" i="12"/>
  <c r="BD15" i="12"/>
  <c r="BE15" i="12" s="1"/>
  <c r="V15" i="12"/>
  <c r="BD14" i="12"/>
  <c r="BE14" i="12" s="1"/>
  <c r="V14" i="12"/>
  <c r="BD13" i="12"/>
  <c r="BE13" i="12" s="1"/>
  <c r="V13" i="12"/>
  <c r="BD12" i="12"/>
  <c r="BE12" i="12" s="1"/>
  <c r="V12" i="12"/>
  <c r="BD11" i="12"/>
  <c r="BE11" i="12" s="1"/>
  <c r="V11" i="12"/>
  <c r="BD10" i="12"/>
  <c r="BE10" i="12" s="1"/>
  <c r="V10" i="12"/>
  <c r="BD9" i="12"/>
  <c r="BE9" i="12" s="1"/>
  <c r="V9" i="12"/>
  <c r="BD8" i="12"/>
  <c r="BE8" i="12" s="1"/>
  <c r="V8" i="12"/>
  <c r="BD7" i="12"/>
  <c r="BE7" i="12" s="1"/>
  <c r="V7" i="12"/>
  <c r="BD6" i="12"/>
  <c r="BE6" i="12" s="1"/>
  <c r="V6" i="12"/>
  <c r="BD5" i="12"/>
  <c r="BE5" i="12" s="1"/>
  <c r="V5" i="12"/>
  <c r="BD4" i="12"/>
  <c r="BE4" i="12" s="1"/>
  <c r="V4" i="12"/>
  <c r="BC1" i="12"/>
  <c r="AZ1" i="12"/>
  <c r="BB1" i="12"/>
  <c r="BA1" i="12"/>
  <c r="AY1" i="12"/>
  <c r="AX1" i="12"/>
  <c r="AW1" i="12"/>
  <c r="AV1" i="12"/>
  <c r="AS1" i="12"/>
  <c r="AU1" i="12"/>
  <c r="AT1" i="12"/>
  <c r="AR1" i="12"/>
  <c r="AQ1" i="12"/>
  <c r="AP1" i="12"/>
  <c r="AO1" i="12"/>
  <c r="AL1" i="12"/>
  <c r="AN1" i="12"/>
  <c r="AM1" i="12"/>
  <c r="AK1" i="12"/>
  <c r="AJ1" i="12"/>
  <c r="AI1" i="12"/>
  <c r="AH1" i="12"/>
  <c r="AE1" i="12"/>
  <c r="AG1" i="12"/>
  <c r="AC1" i="12"/>
  <c r="AF1" i="12"/>
  <c r="AD1" i="12"/>
  <c r="AB1" i="12"/>
  <c r="AA2" i="12"/>
  <c r="Z2" i="12"/>
  <c r="Y2" i="12"/>
  <c r="X2" i="12"/>
  <c r="W2" i="12"/>
  <c r="U2" i="12"/>
  <c r="T2" i="12"/>
  <c r="S2" i="12"/>
  <c r="R2" i="12"/>
  <c r="Q2" i="12"/>
  <c r="P2" i="12"/>
  <c r="O2" i="12"/>
  <c r="V2" i="12" l="1"/>
  <c r="BD1" i="12"/>
  <c r="BE1" i="12"/>
  <c r="BA2" i="1"/>
  <c r="AZ2" i="1"/>
  <c r="AY2" i="1"/>
  <c r="AX2" i="1"/>
  <c r="AW2" i="1"/>
  <c r="AV2" i="1"/>
  <c r="AT2" i="1"/>
  <c r="AS2" i="1"/>
  <c r="AR2" i="1"/>
  <c r="AQ2" i="1"/>
  <c r="AP2" i="1"/>
  <c r="AO2" i="1"/>
  <c r="AM2" i="1"/>
  <c r="AL2" i="1"/>
  <c r="AK2" i="1"/>
  <c r="AJ2" i="1"/>
  <c r="AI2" i="1"/>
  <c r="AH2" i="1"/>
  <c r="AF2" i="1"/>
  <c r="AD2" i="1"/>
  <c r="AC2" i="1"/>
  <c r="AB2" i="1"/>
  <c r="BE2" i="1"/>
  <c r="BD2" i="1"/>
  <c r="BC2" i="1"/>
  <c r="BF58" i="1"/>
  <c r="BG58" i="1" s="1"/>
  <c r="BF57" i="1"/>
  <c r="BG57" i="1" s="1"/>
  <c r="BF56" i="1"/>
  <c r="BG56" i="1" s="1"/>
  <c r="BF55" i="1"/>
  <c r="BG55" i="1" s="1"/>
  <c r="BF54" i="1"/>
  <c r="BG54" i="1" s="1"/>
  <c r="BF53" i="1"/>
  <c r="BG53" i="1" s="1"/>
  <c r="BF52" i="1"/>
  <c r="BG52" i="1" s="1"/>
  <c r="BF51" i="1"/>
  <c r="BG51" i="1" s="1"/>
  <c r="BF50" i="1"/>
  <c r="BG50" i="1" s="1"/>
  <c r="BF49" i="1"/>
  <c r="BG49" i="1" s="1"/>
  <c r="BF48" i="1"/>
  <c r="BG48" i="1" s="1"/>
  <c r="BF47" i="1"/>
  <c r="BG47" i="1" s="1"/>
  <c r="BF46" i="1"/>
  <c r="BG46" i="1" s="1"/>
  <c r="BF45" i="1"/>
  <c r="BG45" i="1" s="1"/>
  <c r="BF44" i="1"/>
  <c r="BG44" i="1" s="1"/>
  <c r="BF43" i="1"/>
  <c r="BG43" i="1" s="1"/>
  <c r="BF42" i="1"/>
  <c r="BG42" i="1" s="1"/>
  <c r="BF41" i="1"/>
  <c r="BG41" i="1" s="1"/>
  <c r="BF40" i="1"/>
  <c r="BG40" i="1" s="1"/>
  <c r="BF39" i="1"/>
  <c r="BG39" i="1" s="1"/>
  <c r="BF38" i="1"/>
  <c r="BG38" i="1" s="1"/>
  <c r="BF37" i="1"/>
  <c r="BG37" i="1" s="1"/>
  <c r="BF36" i="1"/>
  <c r="BG36" i="1" s="1"/>
  <c r="BF35" i="1"/>
  <c r="BG35" i="1" s="1"/>
  <c r="BF34" i="1"/>
  <c r="BG34" i="1" s="1"/>
  <c r="BF33" i="1"/>
  <c r="BG33" i="1" s="1"/>
  <c r="BF32" i="1"/>
  <c r="BG32" i="1" s="1"/>
  <c r="BF31" i="1"/>
  <c r="BG31" i="1" s="1"/>
  <c r="BF30" i="1"/>
  <c r="BG30" i="1" s="1"/>
  <c r="BF29" i="1"/>
  <c r="BG29" i="1" s="1"/>
  <c r="BF28" i="1"/>
  <c r="BG28" i="1" s="1"/>
  <c r="BF27" i="1"/>
  <c r="BG27" i="1" s="1"/>
  <c r="BF26" i="1"/>
  <c r="BG26" i="1" s="1"/>
  <c r="BF25" i="1"/>
  <c r="BG25" i="1" s="1"/>
  <c r="BF24" i="1"/>
  <c r="BG24" i="1" s="1"/>
  <c r="BF23" i="1"/>
  <c r="BG23" i="1" s="1"/>
  <c r="BF22" i="1"/>
  <c r="BG22" i="1" s="1"/>
  <c r="BF20" i="1"/>
  <c r="BG20" i="1" s="1"/>
  <c r="BF19" i="1"/>
  <c r="BG19" i="1" s="1"/>
  <c r="BF18" i="1"/>
  <c r="BG18" i="1" s="1"/>
  <c r="BF17" i="1"/>
  <c r="BG17" i="1" s="1"/>
  <c r="BF16" i="1"/>
  <c r="BG16" i="1" s="1"/>
  <c r="BF15" i="1"/>
  <c r="BG15" i="1" s="1"/>
  <c r="BF14" i="1"/>
  <c r="BG14" i="1" s="1"/>
  <c r="BF13" i="1"/>
  <c r="BG13" i="1" s="1"/>
  <c r="BF12" i="1"/>
  <c r="BG12" i="1" s="1"/>
  <c r="BF11" i="1"/>
  <c r="BG11" i="1" s="1"/>
  <c r="BF10" i="1"/>
  <c r="BG10" i="1" s="1"/>
  <c r="BF9" i="1"/>
  <c r="BG9" i="1" s="1"/>
  <c r="BF8" i="1"/>
  <c r="BG8" i="1" s="1"/>
  <c r="BF7" i="1"/>
  <c r="BG7" i="1" s="1"/>
  <c r="BF6" i="1"/>
  <c r="BG6" i="1" s="1"/>
  <c r="BF5" i="1"/>
  <c r="BG5" i="1" s="1"/>
  <c r="BF4" i="1"/>
  <c r="BG4" i="1" s="1"/>
  <c r="BF21" i="1"/>
  <c r="BG21" i="1" s="1"/>
  <c r="BF2" i="1" l="1"/>
  <c r="AA2" i="1"/>
  <c r="Z2" i="1"/>
  <c r="Y2" i="1"/>
  <c r="X2" i="1"/>
  <c r="W2" i="1"/>
  <c r="U2" i="1"/>
  <c r="T2" i="1"/>
  <c r="S2" i="1"/>
  <c r="R2" i="1"/>
  <c r="P2" i="1"/>
  <c r="O2" i="1"/>
  <c r="BG2" i="1"/>
  <c r="V58" i="1"/>
  <c r="V57" i="1"/>
  <c r="V15" i="1"/>
  <c r="V56" i="1"/>
  <c r="V55" i="1"/>
  <c r="V54" i="1"/>
  <c r="V37" i="1"/>
  <c r="V14" i="1"/>
  <c r="V13" i="1"/>
  <c r="V36" i="1"/>
  <c r="V35" i="1"/>
  <c r="V34" i="1"/>
  <c r="V33" i="1"/>
  <c r="V53" i="1"/>
  <c r="V12" i="1"/>
  <c r="V11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0" i="1"/>
  <c r="V52" i="1"/>
  <c r="V51" i="1"/>
  <c r="V50" i="1"/>
  <c r="V49" i="1"/>
  <c r="V9" i="1"/>
  <c r="V8" i="1"/>
  <c r="V7" i="1"/>
  <c r="V48" i="1"/>
  <c r="V6" i="1"/>
  <c r="V47" i="1"/>
  <c r="V46" i="1"/>
  <c r="V45" i="1"/>
  <c r="V44" i="1"/>
  <c r="V43" i="1"/>
  <c r="V42" i="1"/>
  <c r="V41" i="1"/>
  <c r="V40" i="1"/>
  <c r="V39" i="1"/>
  <c r="V38" i="1"/>
  <c r="V5" i="1"/>
  <c r="V4" i="1"/>
  <c r="V2" i="1" l="1"/>
  <c r="CB164" i="11"/>
  <c r="BW164" i="11"/>
  <c r="AS164" i="11"/>
  <c r="AN164" i="11"/>
  <c r="C164" i="11"/>
  <c r="CB163" i="11"/>
  <c r="BW163" i="11"/>
  <c r="AS163" i="11"/>
  <c r="AN163" i="11"/>
  <c r="C163" i="11"/>
  <c r="CB162" i="11"/>
  <c r="BW162" i="11"/>
  <c r="AS162" i="11"/>
  <c r="AE162" i="11"/>
  <c r="AG162" i="11" s="1"/>
  <c r="AN162" i="11" s="1"/>
  <c r="C162" i="11"/>
  <c r="CB161" i="11"/>
  <c r="BW161" i="11"/>
  <c r="AS161" i="11"/>
  <c r="BX161" i="11" s="1"/>
  <c r="AE161" i="11"/>
  <c r="AG161" i="11" s="1"/>
  <c r="AN161" i="11" s="1"/>
  <c r="C161" i="11"/>
  <c r="CB160" i="11"/>
  <c r="BW160" i="11"/>
  <c r="AS160" i="11"/>
  <c r="AE160" i="11"/>
  <c r="AG160" i="11" s="1"/>
  <c r="AN160" i="11" s="1"/>
  <c r="C160" i="11"/>
  <c r="CB159" i="11"/>
  <c r="BW159" i="11"/>
  <c r="AS159" i="11"/>
  <c r="AE159" i="11"/>
  <c r="AG159" i="11" s="1"/>
  <c r="AN159" i="11" s="1"/>
  <c r="C159" i="11"/>
  <c r="CB158" i="11"/>
  <c r="BW158" i="11"/>
  <c r="AS158" i="11"/>
  <c r="AE158" i="11"/>
  <c r="AG158" i="11" s="1"/>
  <c r="AN158" i="11" s="1"/>
  <c r="C158" i="11"/>
  <c r="CB157" i="11"/>
  <c r="BW157" i="11"/>
  <c r="AS157" i="11"/>
  <c r="BX157" i="11" s="1"/>
  <c r="AE157" i="11"/>
  <c r="AG157" i="11" s="1"/>
  <c r="AN157" i="11" s="1"/>
  <c r="C157" i="11"/>
  <c r="CB156" i="11"/>
  <c r="BW156" i="11"/>
  <c r="AS156" i="11"/>
  <c r="AE156" i="11"/>
  <c r="AG156" i="11" s="1"/>
  <c r="AN156" i="11" s="1"/>
  <c r="C156" i="11"/>
  <c r="CB155" i="11"/>
  <c r="BW155" i="11"/>
  <c r="AS155" i="11"/>
  <c r="BX155" i="11" s="1"/>
  <c r="AE155" i="11"/>
  <c r="AG155" i="11" s="1"/>
  <c r="AN155" i="11" s="1"/>
  <c r="C155" i="11"/>
  <c r="CB154" i="11"/>
  <c r="BW154" i="11"/>
  <c r="AS154" i="11"/>
  <c r="AE154" i="11"/>
  <c r="AG154" i="11" s="1"/>
  <c r="AN154" i="11" s="1"/>
  <c r="C154" i="11"/>
  <c r="CB153" i="11"/>
  <c r="BW153" i="11"/>
  <c r="AS153" i="11"/>
  <c r="AE153" i="11"/>
  <c r="AG153" i="11" s="1"/>
  <c r="AN153" i="11" s="1"/>
  <c r="C153" i="11"/>
  <c r="CB152" i="11"/>
  <c r="BW152" i="11"/>
  <c r="AS152" i="11"/>
  <c r="AE152" i="11"/>
  <c r="AG152" i="11" s="1"/>
  <c r="AN152" i="11" s="1"/>
  <c r="C152" i="11"/>
  <c r="CB151" i="11"/>
  <c r="BW151" i="11"/>
  <c r="AS151" i="11"/>
  <c r="BX151" i="11" s="1"/>
  <c r="AE151" i="11"/>
  <c r="AG151" i="11" s="1"/>
  <c r="AN151" i="11" s="1"/>
  <c r="C151" i="11"/>
  <c r="CB150" i="11"/>
  <c r="BW150" i="11"/>
  <c r="AS150" i="11"/>
  <c r="AE150" i="11"/>
  <c r="AG150" i="11" s="1"/>
  <c r="AN150" i="11" s="1"/>
  <c r="C150" i="11"/>
  <c r="CB149" i="11"/>
  <c r="BW149" i="11"/>
  <c r="AS149" i="11"/>
  <c r="AE149" i="11"/>
  <c r="AG149" i="11" s="1"/>
  <c r="AN149" i="11" s="1"/>
  <c r="C149" i="11"/>
  <c r="CB148" i="11"/>
  <c r="BW148" i="11"/>
  <c r="AS148" i="11"/>
  <c r="AE148" i="11"/>
  <c r="AG148" i="11" s="1"/>
  <c r="AN148" i="11" s="1"/>
  <c r="C148" i="11"/>
  <c r="CB147" i="11"/>
  <c r="BW147" i="11"/>
  <c r="AS147" i="11"/>
  <c r="AE147" i="11"/>
  <c r="AG147" i="11" s="1"/>
  <c r="AN147" i="11" s="1"/>
  <c r="C147" i="11"/>
  <c r="CB146" i="11"/>
  <c r="BW146" i="11"/>
  <c r="AS146" i="11"/>
  <c r="AE146" i="11"/>
  <c r="AG146" i="11" s="1"/>
  <c r="AN146" i="11" s="1"/>
  <c r="C146" i="11"/>
  <c r="CB145" i="11"/>
  <c r="BW145" i="11"/>
  <c r="AS145" i="11"/>
  <c r="AE145" i="11"/>
  <c r="AG145" i="11" s="1"/>
  <c r="AN145" i="11" s="1"/>
  <c r="C145" i="11"/>
  <c r="CB144" i="11"/>
  <c r="BW144" i="11"/>
  <c r="AS144" i="11"/>
  <c r="AE144" i="11"/>
  <c r="AG144" i="11" s="1"/>
  <c r="AN144" i="11" s="1"/>
  <c r="C144" i="11"/>
  <c r="CB143" i="11"/>
  <c r="BW143" i="11"/>
  <c r="AS143" i="11"/>
  <c r="BX143" i="11" s="1"/>
  <c r="AE143" i="11"/>
  <c r="AG143" i="11" s="1"/>
  <c r="AN143" i="11" s="1"/>
  <c r="C143" i="11"/>
  <c r="CB142" i="11"/>
  <c r="BW142" i="11"/>
  <c r="AS142" i="11"/>
  <c r="AE142" i="11"/>
  <c r="AG142" i="11" s="1"/>
  <c r="AN142" i="11" s="1"/>
  <c r="C142" i="11"/>
  <c r="CB141" i="11"/>
  <c r="BW141" i="11"/>
  <c r="AS141" i="11"/>
  <c r="BX141" i="11" s="1"/>
  <c r="AE141" i="11"/>
  <c r="AG141" i="11" s="1"/>
  <c r="AN141" i="11" s="1"/>
  <c r="C141" i="11"/>
  <c r="CB140" i="11"/>
  <c r="BW140" i="11"/>
  <c r="AS140" i="11"/>
  <c r="AE140" i="11"/>
  <c r="AG140" i="11" s="1"/>
  <c r="AN140" i="11" s="1"/>
  <c r="C140" i="11"/>
  <c r="CB139" i="11"/>
  <c r="BW139" i="11"/>
  <c r="AS139" i="11"/>
  <c r="AE139" i="11"/>
  <c r="AG139" i="11" s="1"/>
  <c r="AN139" i="11" s="1"/>
  <c r="C139" i="11"/>
  <c r="CB138" i="11"/>
  <c r="BW138" i="11"/>
  <c r="AS138" i="11"/>
  <c r="AE138" i="11"/>
  <c r="AG138" i="11" s="1"/>
  <c r="AN138" i="11" s="1"/>
  <c r="C138" i="11"/>
  <c r="CB137" i="11"/>
  <c r="BW137" i="11"/>
  <c r="AS137" i="11"/>
  <c r="AE137" i="11"/>
  <c r="AG137" i="11" s="1"/>
  <c r="AN137" i="11" s="1"/>
  <c r="C137" i="11"/>
  <c r="CB136" i="11"/>
  <c r="BW136" i="11"/>
  <c r="AS136" i="11"/>
  <c r="AE136" i="11"/>
  <c r="AG136" i="11" s="1"/>
  <c r="AN136" i="11" s="1"/>
  <c r="C136" i="11"/>
  <c r="CB135" i="11"/>
  <c r="BW135" i="11"/>
  <c r="AS135" i="11"/>
  <c r="BX135" i="11" s="1"/>
  <c r="AE135" i="11"/>
  <c r="AG135" i="11" s="1"/>
  <c r="AN135" i="11" s="1"/>
  <c r="C135" i="11"/>
  <c r="CB134" i="11"/>
  <c r="BW134" i="11"/>
  <c r="AS134" i="11"/>
  <c r="AE134" i="11"/>
  <c r="AG134" i="11" s="1"/>
  <c r="AN134" i="11" s="1"/>
  <c r="C134" i="11"/>
  <c r="CB133" i="11"/>
  <c r="BW133" i="11"/>
  <c r="AS133" i="11"/>
  <c r="BX133" i="11" s="1"/>
  <c r="AE133" i="11"/>
  <c r="AG133" i="11" s="1"/>
  <c r="AN133" i="11" s="1"/>
  <c r="C133" i="11"/>
  <c r="CB132" i="11"/>
  <c r="BW132" i="11"/>
  <c r="AS132" i="11"/>
  <c r="AE132" i="11"/>
  <c r="AG132" i="11" s="1"/>
  <c r="AN132" i="11" s="1"/>
  <c r="C132" i="11"/>
  <c r="CB131" i="11"/>
  <c r="BW131" i="11"/>
  <c r="AS131" i="11"/>
  <c r="AE131" i="11"/>
  <c r="AG131" i="11" s="1"/>
  <c r="AN131" i="11" s="1"/>
  <c r="C131" i="11"/>
  <c r="CB130" i="11"/>
  <c r="BW130" i="11"/>
  <c r="AS130" i="11"/>
  <c r="AE130" i="11"/>
  <c r="AG130" i="11" s="1"/>
  <c r="AN130" i="11" s="1"/>
  <c r="C130" i="11"/>
  <c r="CB129" i="11"/>
  <c r="BW129" i="11"/>
  <c r="AS129" i="11"/>
  <c r="BX129" i="11" s="1"/>
  <c r="AE129" i="11"/>
  <c r="AG129" i="11" s="1"/>
  <c r="AN129" i="11" s="1"/>
  <c r="C129" i="11"/>
  <c r="CB128" i="11"/>
  <c r="BW128" i="11"/>
  <c r="AS128" i="11"/>
  <c r="AN128" i="11"/>
  <c r="C128" i="11"/>
  <c r="CB127" i="11"/>
  <c r="BW127" i="11"/>
  <c r="AS127" i="11"/>
  <c r="BX127" i="11" s="1"/>
  <c r="AN127" i="11"/>
  <c r="C127" i="11"/>
  <c r="CB126" i="11"/>
  <c r="BW126" i="11"/>
  <c r="AS126" i="11"/>
  <c r="AN126" i="11"/>
  <c r="C126" i="11"/>
  <c r="CB125" i="11"/>
  <c r="BW125" i="11"/>
  <c r="AS125" i="11"/>
  <c r="AN125" i="11"/>
  <c r="C125" i="11"/>
  <c r="CB124" i="11"/>
  <c r="BW124" i="11"/>
  <c r="AS124" i="11"/>
  <c r="AN124" i="11"/>
  <c r="C124" i="11"/>
  <c r="CB123" i="11"/>
  <c r="BW123" i="11"/>
  <c r="AS123" i="11"/>
  <c r="BX123" i="11" s="1"/>
  <c r="AE123" i="11"/>
  <c r="AG123" i="11" s="1"/>
  <c r="AN123" i="11" s="1"/>
  <c r="C123" i="11"/>
  <c r="CB122" i="11"/>
  <c r="BW122" i="11"/>
  <c r="AS122" i="11"/>
  <c r="AE122" i="11"/>
  <c r="AG122" i="11" s="1"/>
  <c r="AN122" i="11" s="1"/>
  <c r="C122" i="11"/>
  <c r="CB121" i="11"/>
  <c r="BW121" i="11"/>
  <c r="AS121" i="11"/>
  <c r="BX121" i="11" s="1"/>
  <c r="AE121" i="11"/>
  <c r="AG121" i="11" s="1"/>
  <c r="AN121" i="11" s="1"/>
  <c r="C121" i="11"/>
  <c r="CB120" i="11"/>
  <c r="BW120" i="11"/>
  <c r="AS120" i="11"/>
  <c r="AE120" i="11"/>
  <c r="AG120" i="11" s="1"/>
  <c r="AN120" i="11" s="1"/>
  <c r="C120" i="11"/>
  <c r="CB119" i="11"/>
  <c r="BW119" i="11"/>
  <c r="AS119" i="11"/>
  <c r="BX119" i="11" s="1"/>
  <c r="AE119" i="11"/>
  <c r="AG119" i="11" s="1"/>
  <c r="AN119" i="11" s="1"/>
  <c r="C119" i="11"/>
  <c r="CB118" i="11"/>
  <c r="BW118" i="11"/>
  <c r="AS118" i="11"/>
  <c r="AE118" i="11"/>
  <c r="AG118" i="11" s="1"/>
  <c r="AN118" i="11" s="1"/>
  <c r="C118" i="11"/>
  <c r="CB117" i="11"/>
  <c r="BW117" i="11"/>
  <c r="AS117" i="11"/>
  <c r="BX117" i="11" s="1"/>
  <c r="AE117" i="11"/>
  <c r="AG117" i="11" s="1"/>
  <c r="AN117" i="11" s="1"/>
  <c r="C117" i="11"/>
  <c r="CB116" i="11"/>
  <c r="BW116" i="11"/>
  <c r="AS116" i="11"/>
  <c r="AE116" i="11"/>
  <c r="AG116" i="11" s="1"/>
  <c r="AN116" i="11" s="1"/>
  <c r="C116" i="11"/>
  <c r="CB115" i="11"/>
  <c r="BW115" i="11"/>
  <c r="AS115" i="11"/>
  <c r="AE115" i="11"/>
  <c r="AG115" i="11" s="1"/>
  <c r="AN115" i="11" s="1"/>
  <c r="C115" i="11"/>
  <c r="CB114" i="11"/>
  <c r="BW114" i="11"/>
  <c r="AS114" i="11"/>
  <c r="AE114" i="11"/>
  <c r="AG114" i="11" s="1"/>
  <c r="AN114" i="11" s="1"/>
  <c r="C114" i="11"/>
  <c r="CB113" i="11"/>
  <c r="BW113" i="11"/>
  <c r="AS113" i="11"/>
  <c r="AE113" i="11"/>
  <c r="AG113" i="11" s="1"/>
  <c r="AN113" i="11" s="1"/>
  <c r="C113" i="11"/>
  <c r="CB112" i="11"/>
  <c r="BW112" i="11"/>
  <c r="AS112" i="11"/>
  <c r="AE112" i="11"/>
  <c r="AG112" i="11" s="1"/>
  <c r="AN112" i="11" s="1"/>
  <c r="C112" i="11"/>
  <c r="CB111" i="11"/>
  <c r="BW111" i="11"/>
  <c r="AS111" i="11"/>
  <c r="AE111" i="11"/>
  <c r="AG111" i="11" s="1"/>
  <c r="AN111" i="11" s="1"/>
  <c r="C111" i="11"/>
  <c r="CB110" i="11"/>
  <c r="BW110" i="11"/>
  <c r="AS110" i="11"/>
  <c r="AE110" i="11"/>
  <c r="AG110" i="11" s="1"/>
  <c r="AN110" i="11" s="1"/>
  <c r="C110" i="11"/>
  <c r="CB109" i="11"/>
  <c r="BW109" i="11"/>
  <c r="AS109" i="11"/>
  <c r="AE109" i="11"/>
  <c r="AG109" i="11" s="1"/>
  <c r="AN109" i="11" s="1"/>
  <c r="C109" i="11"/>
  <c r="CB108" i="11"/>
  <c r="BW108" i="11"/>
  <c r="AS108" i="11"/>
  <c r="AE108" i="11"/>
  <c r="AG108" i="11" s="1"/>
  <c r="AN108" i="11" s="1"/>
  <c r="C108" i="11"/>
  <c r="CB107" i="11"/>
  <c r="BW107" i="11"/>
  <c r="AS107" i="11"/>
  <c r="AN107" i="11"/>
  <c r="C107" i="11"/>
  <c r="CB106" i="11"/>
  <c r="BW106" i="11"/>
  <c r="AS106" i="11"/>
  <c r="AN106" i="11"/>
  <c r="C106" i="11"/>
  <c r="CB105" i="11"/>
  <c r="BW105" i="11"/>
  <c r="AS105" i="11"/>
  <c r="AE105" i="11"/>
  <c r="AG105" i="11" s="1"/>
  <c r="AN105" i="11" s="1"/>
  <c r="C105" i="11"/>
  <c r="CB104" i="11"/>
  <c r="BW104" i="11"/>
  <c r="AS104" i="11"/>
  <c r="AN104" i="11"/>
  <c r="C104" i="11"/>
  <c r="CB103" i="11"/>
  <c r="BW103" i="11"/>
  <c r="AS103" i="11"/>
  <c r="AN103" i="11"/>
  <c r="C103" i="11"/>
  <c r="CB102" i="11"/>
  <c r="BW102" i="11"/>
  <c r="AS102" i="11"/>
  <c r="AN102" i="11"/>
  <c r="C102" i="11"/>
  <c r="CB101" i="11"/>
  <c r="BW101" i="11"/>
  <c r="AS101" i="11"/>
  <c r="AE101" i="11"/>
  <c r="AG101" i="11" s="1"/>
  <c r="AN101" i="11" s="1"/>
  <c r="C101" i="11"/>
  <c r="CB100" i="11"/>
  <c r="BW100" i="11"/>
  <c r="AS100" i="11"/>
  <c r="AE100" i="11"/>
  <c r="AG100" i="11" s="1"/>
  <c r="AN100" i="11" s="1"/>
  <c r="C100" i="11"/>
  <c r="CB99" i="11"/>
  <c r="BW99" i="11"/>
  <c r="AS99" i="11"/>
  <c r="AE99" i="11"/>
  <c r="AG99" i="11" s="1"/>
  <c r="AN99" i="11" s="1"/>
  <c r="C99" i="11"/>
  <c r="CB98" i="11"/>
  <c r="BW98" i="11"/>
  <c r="AS98" i="11"/>
  <c r="AE98" i="11"/>
  <c r="AG98" i="11" s="1"/>
  <c r="AN98" i="11" s="1"/>
  <c r="C98" i="11"/>
  <c r="CB97" i="11"/>
  <c r="BW97" i="11"/>
  <c r="AS97" i="11"/>
  <c r="AE97" i="11"/>
  <c r="AG97" i="11" s="1"/>
  <c r="AN97" i="11" s="1"/>
  <c r="C97" i="11"/>
  <c r="CB96" i="11"/>
  <c r="BW96" i="11"/>
  <c r="AS96" i="11"/>
  <c r="AE96" i="11"/>
  <c r="AG96" i="11" s="1"/>
  <c r="AN96" i="11" s="1"/>
  <c r="C96" i="11"/>
  <c r="CB95" i="11"/>
  <c r="BW95" i="11"/>
  <c r="AS95" i="11"/>
  <c r="AE95" i="11"/>
  <c r="AG95" i="11" s="1"/>
  <c r="AN95" i="11" s="1"/>
  <c r="C95" i="11"/>
  <c r="CB94" i="11"/>
  <c r="BW94" i="11"/>
  <c r="AS94" i="11"/>
  <c r="AE94" i="11"/>
  <c r="AG94" i="11" s="1"/>
  <c r="AN94" i="11" s="1"/>
  <c r="C94" i="11"/>
  <c r="CB93" i="11"/>
  <c r="BW93" i="11"/>
  <c r="AS93" i="11"/>
  <c r="AE93" i="11"/>
  <c r="AG93" i="11" s="1"/>
  <c r="AN93" i="11" s="1"/>
  <c r="C93" i="11"/>
  <c r="CB92" i="11"/>
  <c r="BW92" i="11"/>
  <c r="AS92" i="11"/>
  <c r="AE92" i="11"/>
  <c r="AG92" i="11" s="1"/>
  <c r="AN92" i="11" s="1"/>
  <c r="C92" i="11"/>
  <c r="CB91" i="11"/>
  <c r="BW91" i="11"/>
  <c r="AS91" i="11"/>
  <c r="AE91" i="11"/>
  <c r="AG91" i="11" s="1"/>
  <c r="AN91" i="11" s="1"/>
  <c r="C91" i="11"/>
  <c r="CB90" i="11"/>
  <c r="BW90" i="11"/>
  <c r="AS90" i="11"/>
  <c r="AE90" i="11"/>
  <c r="AG90" i="11" s="1"/>
  <c r="AN90" i="11" s="1"/>
  <c r="C90" i="11"/>
  <c r="CB89" i="11"/>
  <c r="BW89" i="11"/>
  <c r="AS89" i="11"/>
  <c r="AE89" i="11"/>
  <c r="AG89" i="11" s="1"/>
  <c r="AN89" i="11" s="1"/>
  <c r="C89" i="11"/>
  <c r="CB88" i="11"/>
  <c r="BW88" i="11"/>
  <c r="AS88" i="11"/>
  <c r="AE88" i="11"/>
  <c r="AG88" i="11" s="1"/>
  <c r="AN88" i="11" s="1"/>
  <c r="C88" i="11"/>
  <c r="CB87" i="11"/>
  <c r="BW87" i="11"/>
  <c r="AS87" i="11"/>
  <c r="AE87" i="11"/>
  <c r="AG87" i="11" s="1"/>
  <c r="AN87" i="11" s="1"/>
  <c r="C87" i="11"/>
  <c r="CB86" i="11"/>
  <c r="BW86" i="11"/>
  <c r="AS86" i="11"/>
  <c r="AN86" i="11"/>
  <c r="C86" i="11"/>
  <c r="CB85" i="11"/>
  <c r="BW85" i="11"/>
  <c r="AS85" i="11"/>
  <c r="AE85" i="11"/>
  <c r="AG85" i="11" s="1"/>
  <c r="AN85" i="11" s="1"/>
  <c r="C85" i="11"/>
  <c r="CB84" i="11"/>
  <c r="BW84" i="11"/>
  <c r="AS84" i="11"/>
  <c r="AE84" i="11"/>
  <c r="AG84" i="11" s="1"/>
  <c r="AN84" i="11" s="1"/>
  <c r="C84" i="11"/>
  <c r="CB83" i="11"/>
  <c r="BW83" i="11"/>
  <c r="AS83" i="11"/>
  <c r="AE83" i="11"/>
  <c r="AG83" i="11" s="1"/>
  <c r="AN83" i="11" s="1"/>
  <c r="C83" i="11"/>
  <c r="CB82" i="11"/>
  <c r="BW82" i="11"/>
  <c r="AS82" i="11"/>
  <c r="AE82" i="11"/>
  <c r="AG82" i="11" s="1"/>
  <c r="AN82" i="11" s="1"/>
  <c r="C82" i="11"/>
  <c r="CB81" i="11"/>
  <c r="BW81" i="11"/>
  <c r="AS81" i="11"/>
  <c r="AE81" i="11"/>
  <c r="AG81" i="11" s="1"/>
  <c r="AN81" i="11" s="1"/>
  <c r="C81" i="11"/>
  <c r="CB80" i="11"/>
  <c r="BW80" i="11"/>
  <c r="AS80" i="11"/>
  <c r="AE80" i="11"/>
  <c r="AG80" i="11" s="1"/>
  <c r="AN80" i="11" s="1"/>
  <c r="C80" i="11"/>
  <c r="CB79" i="11"/>
  <c r="BW79" i="11"/>
  <c r="AS79" i="11"/>
  <c r="AE79" i="11"/>
  <c r="AG79" i="11" s="1"/>
  <c r="AN79" i="11" s="1"/>
  <c r="C79" i="11"/>
  <c r="CB78" i="11"/>
  <c r="BW78" i="11"/>
  <c r="AS78" i="11"/>
  <c r="AE78" i="11"/>
  <c r="AG78" i="11" s="1"/>
  <c r="AN78" i="11" s="1"/>
  <c r="C78" i="11"/>
  <c r="CB77" i="11"/>
  <c r="BW77" i="11"/>
  <c r="AS77" i="11"/>
  <c r="AE77" i="11"/>
  <c r="AG77" i="11" s="1"/>
  <c r="AN77" i="11" s="1"/>
  <c r="C77" i="11"/>
  <c r="CB76" i="11"/>
  <c r="BW76" i="11"/>
  <c r="AS76" i="11"/>
  <c r="AE76" i="11"/>
  <c r="AG76" i="11" s="1"/>
  <c r="AN76" i="11" s="1"/>
  <c r="C76" i="11"/>
  <c r="CB75" i="11"/>
  <c r="BW75" i="11"/>
  <c r="AS75" i="11"/>
  <c r="AE75" i="11"/>
  <c r="AG75" i="11" s="1"/>
  <c r="AN75" i="11" s="1"/>
  <c r="C75" i="11"/>
  <c r="CB74" i="11"/>
  <c r="BW74" i="11"/>
  <c r="AS74" i="11"/>
  <c r="AE74" i="11"/>
  <c r="AG74" i="11" s="1"/>
  <c r="AN74" i="11" s="1"/>
  <c r="C74" i="11"/>
  <c r="CB73" i="11"/>
  <c r="BW73" i="11"/>
  <c r="AS73" i="11"/>
  <c r="AE73" i="11"/>
  <c r="AG73" i="11" s="1"/>
  <c r="AN73" i="11" s="1"/>
  <c r="C73" i="11"/>
  <c r="CB72" i="11"/>
  <c r="BW72" i="11"/>
  <c r="AS72" i="11"/>
  <c r="AE72" i="11"/>
  <c r="AG72" i="11" s="1"/>
  <c r="AN72" i="11" s="1"/>
  <c r="C72" i="11"/>
  <c r="CB71" i="11"/>
  <c r="BW71" i="11"/>
  <c r="AS71" i="11"/>
  <c r="AE71" i="11"/>
  <c r="AG71" i="11" s="1"/>
  <c r="AN71" i="11" s="1"/>
  <c r="C71" i="11"/>
  <c r="CB70" i="11"/>
  <c r="BW70" i="11"/>
  <c r="AS70" i="11"/>
  <c r="AE70" i="11"/>
  <c r="AG70" i="11" s="1"/>
  <c r="AN70" i="11" s="1"/>
  <c r="C70" i="11"/>
  <c r="CB69" i="11"/>
  <c r="BW69" i="11"/>
  <c r="AS69" i="11"/>
  <c r="AE69" i="11"/>
  <c r="AG69" i="11" s="1"/>
  <c r="AN69" i="11" s="1"/>
  <c r="C69" i="11"/>
  <c r="CB68" i="11"/>
  <c r="BW68" i="11"/>
  <c r="AS68" i="11"/>
  <c r="AE68" i="11"/>
  <c r="AG68" i="11" s="1"/>
  <c r="AN68" i="11" s="1"/>
  <c r="C68" i="11"/>
  <c r="CB67" i="11"/>
  <c r="BW67" i="11"/>
  <c r="AS67" i="11"/>
  <c r="AE67" i="11"/>
  <c r="AG67" i="11" s="1"/>
  <c r="AN67" i="11" s="1"/>
  <c r="C67" i="11"/>
  <c r="CB66" i="11"/>
  <c r="BW66" i="11"/>
  <c r="AS66" i="11"/>
  <c r="AE66" i="11"/>
  <c r="AG66" i="11" s="1"/>
  <c r="AN66" i="11" s="1"/>
  <c r="C66" i="11"/>
  <c r="CB65" i="11"/>
  <c r="BW65" i="11"/>
  <c r="AS65" i="11"/>
  <c r="AE65" i="11"/>
  <c r="AG65" i="11" s="1"/>
  <c r="AN65" i="11" s="1"/>
  <c r="C65" i="11"/>
  <c r="CB64" i="11"/>
  <c r="BW64" i="11"/>
  <c r="AS64" i="11"/>
  <c r="AN64" i="11"/>
  <c r="C64" i="11"/>
  <c r="CB63" i="11"/>
  <c r="BW63" i="11"/>
  <c r="AS63" i="11"/>
  <c r="AN63" i="11"/>
  <c r="C63" i="11"/>
  <c r="CB62" i="11"/>
  <c r="BW62" i="11"/>
  <c r="AS62" i="11"/>
  <c r="AE62" i="11"/>
  <c r="AG62" i="11" s="1"/>
  <c r="AN62" i="11" s="1"/>
  <c r="C62" i="11"/>
  <c r="CB61" i="11"/>
  <c r="BW61" i="11"/>
  <c r="AS61" i="11"/>
  <c r="AE61" i="11"/>
  <c r="AG61" i="11" s="1"/>
  <c r="AN61" i="11" s="1"/>
  <c r="C61" i="11"/>
  <c r="CB60" i="11"/>
  <c r="BW60" i="11"/>
  <c r="AS60" i="11"/>
  <c r="AE60" i="11"/>
  <c r="AG60" i="11" s="1"/>
  <c r="AN60" i="11" s="1"/>
  <c r="C60" i="11"/>
  <c r="CB59" i="11"/>
  <c r="BW59" i="11"/>
  <c r="AS59" i="11"/>
  <c r="AN59" i="11"/>
  <c r="C59" i="11"/>
  <c r="CB58" i="11"/>
  <c r="BW58" i="11"/>
  <c r="AS58" i="11"/>
  <c r="AN58" i="11"/>
  <c r="C58" i="11"/>
  <c r="CB57" i="11"/>
  <c r="BW57" i="11"/>
  <c r="AS57" i="11"/>
  <c r="AE57" i="11"/>
  <c r="AG57" i="11" s="1"/>
  <c r="AN57" i="11" s="1"/>
  <c r="C57" i="11"/>
  <c r="CB56" i="11"/>
  <c r="BW56" i="11"/>
  <c r="AS56" i="11"/>
  <c r="AE56" i="11"/>
  <c r="AG56" i="11" s="1"/>
  <c r="AN56" i="11" s="1"/>
  <c r="C56" i="11"/>
  <c r="CB55" i="11"/>
  <c r="BW55" i="11"/>
  <c r="AS55" i="11"/>
  <c r="AE55" i="11"/>
  <c r="AG55" i="11" s="1"/>
  <c r="AN55" i="11" s="1"/>
  <c r="C55" i="11"/>
  <c r="CB54" i="11"/>
  <c r="BW54" i="11"/>
  <c r="AS54" i="11"/>
  <c r="AN54" i="11"/>
  <c r="C54" i="11"/>
  <c r="CB53" i="11"/>
  <c r="BW53" i="11"/>
  <c r="AS53" i="11"/>
  <c r="AN53" i="11"/>
  <c r="C53" i="11"/>
  <c r="CB52" i="11"/>
  <c r="BW52" i="11"/>
  <c r="AS52" i="11"/>
  <c r="AN52" i="11"/>
  <c r="C52" i="11"/>
  <c r="CB51" i="11"/>
  <c r="BW51" i="11"/>
  <c r="AS51" i="11"/>
  <c r="AN51" i="11"/>
  <c r="C51" i="11"/>
  <c r="CB50" i="11"/>
  <c r="BW50" i="11"/>
  <c r="AS50" i="11"/>
  <c r="AN50" i="11"/>
  <c r="C50" i="11"/>
  <c r="CB49" i="11"/>
  <c r="BW49" i="11"/>
  <c r="AS49" i="11"/>
  <c r="AN49" i="11"/>
  <c r="C49" i="11"/>
  <c r="CB48" i="11"/>
  <c r="BW48" i="11"/>
  <c r="AS48" i="11"/>
  <c r="AN48" i="11"/>
  <c r="C48" i="11"/>
  <c r="CB47" i="11"/>
  <c r="BW47" i="11"/>
  <c r="AS47" i="11"/>
  <c r="AN47" i="11"/>
  <c r="C47" i="11"/>
  <c r="CB46" i="11"/>
  <c r="BW46" i="11"/>
  <c r="AS46" i="11"/>
  <c r="AN46" i="11"/>
  <c r="C46" i="11"/>
  <c r="CB45" i="11"/>
  <c r="BW45" i="11"/>
  <c r="AS45" i="11"/>
  <c r="AE45" i="11"/>
  <c r="AG45" i="11" s="1"/>
  <c r="AN45" i="11" s="1"/>
  <c r="C45" i="11"/>
  <c r="CB44" i="11"/>
  <c r="BW44" i="11"/>
  <c r="AS44" i="11"/>
  <c r="AE44" i="11"/>
  <c r="AG44" i="11" s="1"/>
  <c r="AN44" i="11" s="1"/>
  <c r="C44" i="11"/>
  <c r="CB43" i="11"/>
  <c r="BW43" i="11"/>
  <c r="AS43" i="11"/>
  <c r="AE43" i="11"/>
  <c r="AG43" i="11" s="1"/>
  <c r="AN43" i="11" s="1"/>
  <c r="C43" i="11"/>
  <c r="CB42" i="11"/>
  <c r="BW42" i="11"/>
  <c r="AS42" i="11"/>
  <c r="AE42" i="11"/>
  <c r="AG42" i="11" s="1"/>
  <c r="AN42" i="11" s="1"/>
  <c r="C42" i="11"/>
  <c r="CB41" i="11"/>
  <c r="BW41" i="11"/>
  <c r="AS41" i="11"/>
  <c r="AE41" i="11"/>
  <c r="AG41" i="11" s="1"/>
  <c r="AN41" i="11" s="1"/>
  <c r="C41" i="11"/>
  <c r="CB40" i="11"/>
  <c r="BW40" i="11"/>
  <c r="AS40" i="11"/>
  <c r="AE40" i="11"/>
  <c r="AG40" i="11" s="1"/>
  <c r="AN40" i="11" s="1"/>
  <c r="C40" i="11"/>
  <c r="CB39" i="11"/>
  <c r="BW39" i="11"/>
  <c r="AS39" i="11"/>
  <c r="AE39" i="11"/>
  <c r="AG39" i="11" s="1"/>
  <c r="AN39" i="11" s="1"/>
  <c r="C39" i="11"/>
  <c r="CB38" i="11"/>
  <c r="BW38" i="11"/>
  <c r="AS38" i="11"/>
  <c r="AE38" i="11"/>
  <c r="AG38" i="11" s="1"/>
  <c r="AN38" i="11" s="1"/>
  <c r="C38" i="11"/>
  <c r="CB37" i="11"/>
  <c r="BW37" i="11"/>
  <c r="AS37" i="11"/>
  <c r="AE37" i="11"/>
  <c r="AG37" i="11" s="1"/>
  <c r="AN37" i="11" s="1"/>
  <c r="C37" i="11"/>
  <c r="CB36" i="11"/>
  <c r="BW36" i="11"/>
  <c r="AS36" i="11"/>
  <c r="AE36" i="11"/>
  <c r="AG36" i="11" s="1"/>
  <c r="AN36" i="11" s="1"/>
  <c r="C36" i="11"/>
  <c r="CB35" i="11"/>
  <c r="BW35" i="11"/>
  <c r="AS35" i="11"/>
  <c r="AE35" i="11"/>
  <c r="AG35" i="11" s="1"/>
  <c r="AN35" i="11" s="1"/>
  <c r="C35" i="11"/>
  <c r="CB34" i="11"/>
  <c r="BW34" i="11"/>
  <c r="AS34" i="11"/>
  <c r="AE34" i="11"/>
  <c r="AG34" i="11" s="1"/>
  <c r="AN34" i="11" s="1"/>
  <c r="C34" i="11"/>
  <c r="CB33" i="11"/>
  <c r="BW33" i="11"/>
  <c r="AS33" i="11"/>
  <c r="AE33" i="11"/>
  <c r="AG33" i="11" s="1"/>
  <c r="AN33" i="11" s="1"/>
  <c r="C33" i="11"/>
  <c r="CB32" i="11"/>
  <c r="BW32" i="11"/>
  <c r="AS32" i="11"/>
  <c r="AE32" i="11"/>
  <c r="AG32" i="11" s="1"/>
  <c r="AN32" i="11" s="1"/>
  <c r="C32" i="11"/>
  <c r="CB31" i="11"/>
  <c r="BW31" i="11"/>
  <c r="AS31" i="11"/>
  <c r="AE31" i="11"/>
  <c r="AG31" i="11" s="1"/>
  <c r="AN31" i="11" s="1"/>
  <c r="C31" i="11"/>
  <c r="CB30" i="11"/>
  <c r="BW30" i="11"/>
  <c r="AS30" i="11"/>
  <c r="AE30" i="11"/>
  <c r="AG30" i="11" s="1"/>
  <c r="AN30" i="11" s="1"/>
  <c r="C30" i="11"/>
  <c r="CB29" i="11"/>
  <c r="BW29" i="11"/>
  <c r="AS29" i="11"/>
  <c r="AE29" i="11"/>
  <c r="AG29" i="11" s="1"/>
  <c r="AN29" i="11" s="1"/>
  <c r="C29" i="11"/>
  <c r="CB28" i="11"/>
  <c r="BW28" i="11"/>
  <c r="AS28" i="11"/>
  <c r="AE28" i="11"/>
  <c r="AG28" i="11" s="1"/>
  <c r="AN28" i="11" s="1"/>
  <c r="C28" i="11"/>
  <c r="CB27" i="11"/>
  <c r="BW27" i="11"/>
  <c r="AS27" i="11"/>
  <c r="AE27" i="11"/>
  <c r="AG27" i="11" s="1"/>
  <c r="AN27" i="11" s="1"/>
  <c r="C27" i="11"/>
  <c r="CB26" i="11"/>
  <c r="BW26" i="11"/>
  <c r="AS26" i="11"/>
  <c r="AE26" i="11"/>
  <c r="AG26" i="11" s="1"/>
  <c r="AN26" i="11" s="1"/>
  <c r="C26" i="11"/>
  <c r="CB25" i="11"/>
  <c r="BW25" i="11"/>
  <c r="AS25" i="11"/>
  <c r="AE25" i="11"/>
  <c r="AG25" i="11" s="1"/>
  <c r="AN25" i="11" s="1"/>
  <c r="C25" i="11"/>
  <c r="CB24" i="11"/>
  <c r="BW24" i="11"/>
  <c r="AS24" i="11"/>
  <c r="AE24" i="11"/>
  <c r="AG24" i="11" s="1"/>
  <c r="AN24" i="11" s="1"/>
  <c r="C24" i="11"/>
  <c r="CB23" i="11"/>
  <c r="BW23" i="11"/>
  <c r="AS23" i="11"/>
  <c r="AE23" i="11"/>
  <c r="AG23" i="11" s="1"/>
  <c r="AN23" i="11" s="1"/>
  <c r="C23" i="11"/>
  <c r="CB22" i="11"/>
  <c r="BW22" i="11"/>
  <c r="AS22" i="11"/>
  <c r="AE22" i="11"/>
  <c r="AG22" i="11" s="1"/>
  <c r="AN22" i="11" s="1"/>
  <c r="C22" i="11"/>
  <c r="CB21" i="11"/>
  <c r="BW21" i="11"/>
  <c r="AS21" i="11"/>
  <c r="AE21" i="11"/>
  <c r="AG21" i="11" s="1"/>
  <c r="AN21" i="11" s="1"/>
  <c r="C21" i="11"/>
  <c r="CB20" i="11"/>
  <c r="BW20" i="11"/>
  <c r="AS20" i="11"/>
  <c r="AE20" i="11"/>
  <c r="AG20" i="11" s="1"/>
  <c r="AN20" i="11" s="1"/>
  <c r="C20" i="11"/>
  <c r="CB19" i="11"/>
  <c r="BW19" i="11"/>
  <c r="AS19" i="11"/>
  <c r="AE19" i="11"/>
  <c r="AG19" i="11" s="1"/>
  <c r="AN19" i="11" s="1"/>
  <c r="C19" i="11"/>
  <c r="CB18" i="11"/>
  <c r="BW18" i="11"/>
  <c r="AS18" i="11"/>
  <c r="AE18" i="11"/>
  <c r="AG18" i="11" s="1"/>
  <c r="AN18" i="11" s="1"/>
  <c r="C18" i="11"/>
  <c r="CB17" i="11"/>
  <c r="BW17" i="11"/>
  <c r="AS17" i="11"/>
  <c r="AE17" i="11"/>
  <c r="AG17" i="11" s="1"/>
  <c r="AN17" i="11" s="1"/>
  <c r="C17" i="11"/>
  <c r="CB16" i="11"/>
  <c r="BW16" i="11"/>
  <c r="AS16" i="11"/>
  <c r="AE16" i="11"/>
  <c r="AG16" i="11" s="1"/>
  <c r="AN16" i="11" s="1"/>
  <c r="C16" i="11"/>
  <c r="CB15" i="11"/>
  <c r="BW15" i="11"/>
  <c r="AS15" i="11"/>
  <c r="AE15" i="11"/>
  <c r="AG15" i="11" s="1"/>
  <c r="AN15" i="11" s="1"/>
  <c r="C15" i="11"/>
  <c r="CB14" i="11"/>
  <c r="BW14" i="11"/>
  <c r="AS14" i="11"/>
  <c r="AE14" i="11"/>
  <c r="AG14" i="11" s="1"/>
  <c r="AN14" i="11" s="1"/>
  <c r="C14" i="11"/>
  <c r="CB13" i="11"/>
  <c r="BW13" i="11"/>
  <c r="AS13" i="11"/>
  <c r="AE13" i="11"/>
  <c r="AG13" i="11" s="1"/>
  <c r="AN13" i="11" s="1"/>
  <c r="C13" i="11"/>
  <c r="CB12" i="11"/>
  <c r="BW12" i="11"/>
  <c r="AS12" i="11"/>
  <c r="AE12" i="11"/>
  <c r="AG12" i="11" s="1"/>
  <c r="AN12" i="11" s="1"/>
  <c r="C12" i="11"/>
  <c r="CB11" i="11"/>
  <c r="BW11" i="11"/>
  <c r="AS11" i="11"/>
  <c r="AE11" i="11"/>
  <c r="AG11" i="11" s="1"/>
  <c r="AN11" i="11" s="1"/>
  <c r="C11" i="11"/>
  <c r="CB10" i="11"/>
  <c r="BW10" i="11"/>
  <c r="AS10" i="11"/>
  <c r="AE10" i="11"/>
  <c r="AG10" i="11" s="1"/>
  <c r="AN10" i="11" s="1"/>
  <c r="C10" i="11"/>
  <c r="CB9" i="11"/>
  <c r="BW9" i="11"/>
  <c r="AS9" i="11"/>
  <c r="AE9" i="11"/>
  <c r="AG9" i="11" s="1"/>
  <c r="AN9" i="11" s="1"/>
  <c r="C9" i="11"/>
  <c r="CB8" i="11"/>
  <c r="BW8" i="11"/>
  <c r="AS8" i="11"/>
  <c r="AE8" i="11"/>
  <c r="AG8" i="11" s="1"/>
  <c r="AN8" i="11" s="1"/>
  <c r="C8" i="11"/>
  <c r="CB7" i="11"/>
  <c r="BW7" i="11"/>
  <c r="AS7" i="11"/>
  <c r="AE7" i="11"/>
  <c r="AG7" i="11" s="1"/>
  <c r="AN7" i="11" s="1"/>
  <c r="C7" i="11"/>
  <c r="CB6" i="11"/>
  <c r="BW6" i="11"/>
  <c r="AS6" i="11"/>
  <c r="AE6" i="11"/>
  <c r="AG6" i="11" s="1"/>
  <c r="AN6" i="11" s="1"/>
  <c r="C6" i="11"/>
  <c r="CB5" i="11"/>
  <c r="BW5" i="11"/>
  <c r="AS5" i="11"/>
  <c r="AE5" i="11"/>
  <c r="AG5" i="11" s="1"/>
  <c r="AN5" i="11" s="1"/>
  <c r="C5" i="11"/>
  <c r="CB4" i="11"/>
  <c r="BW4" i="11"/>
  <c r="AS4" i="11"/>
  <c r="AE4" i="11"/>
  <c r="AG4" i="11" s="1"/>
  <c r="AN4" i="11" s="1"/>
  <c r="C4" i="11"/>
  <c r="BV1" i="11"/>
  <c r="BU1" i="11"/>
  <c r="BT1" i="11"/>
  <c r="BS1" i="11"/>
  <c r="BR1" i="11"/>
  <c r="BO1" i="11"/>
  <c r="BQ1" i="11"/>
  <c r="BP1" i="11"/>
  <c r="BN1" i="11"/>
  <c r="BM1" i="11"/>
  <c r="BL1" i="11"/>
  <c r="BK1" i="11"/>
  <c r="BH1" i="11"/>
  <c r="BG1" i="11"/>
  <c r="BJ1" i="11"/>
  <c r="BI1" i="11"/>
  <c r="BF1" i="11"/>
  <c r="BE1" i="11"/>
  <c r="BD1" i="11"/>
  <c r="BA1" i="11"/>
  <c r="BC1" i="11"/>
  <c r="BB1" i="11"/>
  <c r="AZ1" i="11"/>
  <c r="AY1" i="11"/>
  <c r="AX1" i="11"/>
  <c r="AW1" i="11"/>
  <c r="AU1" i="11"/>
  <c r="AV1" i="11"/>
  <c r="AT2" i="11"/>
  <c r="AR2" i="11"/>
  <c r="AQ2" i="11"/>
  <c r="AP2" i="11"/>
  <c r="AO2" i="11"/>
  <c r="AM2" i="11"/>
  <c r="AL2" i="11"/>
  <c r="AK2" i="11"/>
  <c r="AJ2" i="11"/>
  <c r="AI2" i="11"/>
  <c r="AH2" i="11"/>
  <c r="AF2" i="11"/>
  <c r="AD2" i="11"/>
  <c r="AC2" i="11"/>
  <c r="AB2" i="11"/>
  <c r="AA2" i="11"/>
  <c r="Z2" i="11"/>
  <c r="Y2" i="11"/>
  <c r="X2" i="11"/>
  <c r="I2" i="11"/>
  <c r="BX163" i="11" l="1"/>
  <c r="BX4" i="11"/>
  <c r="BX52" i="11"/>
  <c r="BX64" i="11"/>
  <c r="BX68" i="11"/>
  <c r="BX70" i="11"/>
  <c r="BX72" i="11"/>
  <c r="BX78" i="11"/>
  <c r="BX80" i="11"/>
  <c r="BX84" i="11"/>
  <c r="BX88" i="11"/>
  <c r="BX92" i="11"/>
  <c r="BX94" i="11"/>
  <c r="BX96" i="11"/>
  <c r="BX54" i="11"/>
  <c r="BX66" i="11"/>
  <c r="BX90" i="11"/>
  <c r="BX97" i="11"/>
  <c r="BX124" i="11"/>
  <c r="BX126" i="11"/>
  <c r="BX128" i="11"/>
  <c r="BX134" i="11"/>
  <c r="BX136" i="11"/>
  <c r="BX142" i="11"/>
  <c r="BX144" i="11"/>
  <c r="BX146" i="11"/>
  <c r="BX148" i="11"/>
  <c r="BX152" i="11"/>
  <c r="BX154" i="11"/>
  <c r="BX26" i="11"/>
  <c r="BX30" i="11"/>
  <c r="BX98" i="11"/>
  <c r="BX100" i="11"/>
  <c r="BX102" i="11"/>
  <c r="BX104" i="11"/>
  <c r="BX108" i="11"/>
  <c r="BX112" i="11"/>
  <c r="BX116" i="11"/>
  <c r="BX103" i="11"/>
  <c r="BX5" i="11"/>
  <c r="BX7" i="11"/>
  <c r="BX9" i="11"/>
  <c r="BX11" i="11"/>
  <c r="BX15" i="11"/>
  <c r="BX17" i="11"/>
  <c r="BX19" i="11"/>
  <c r="BX23" i="11"/>
  <c r="BX25" i="11"/>
  <c r="BX27" i="11"/>
  <c r="BX29" i="11"/>
  <c r="BX45" i="11"/>
  <c r="BX55" i="11"/>
  <c r="BX57" i="11"/>
  <c r="BX59" i="11"/>
  <c r="BX63" i="11"/>
  <c r="BX65" i="11"/>
  <c r="BX67" i="11"/>
  <c r="BX75" i="11"/>
  <c r="BX77" i="11"/>
  <c r="BX79" i="11"/>
  <c r="BX81" i="11"/>
  <c r="BX83" i="11"/>
  <c r="BX8" i="11"/>
  <c r="BX91" i="11"/>
  <c r="BX93" i="11"/>
  <c r="BX95" i="11"/>
  <c r="BX158" i="11"/>
  <c r="BX162" i="11"/>
  <c r="BX50" i="11"/>
  <c r="BX37" i="11"/>
  <c r="BX73" i="11"/>
  <c r="BX14" i="11"/>
  <c r="BX16" i="11"/>
  <c r="BX34" i="11"/>
  <c r="BX38" i="11"/>
  <c r="BX40" i="11"/>
  <c r="BX42" i="11"/>
  <c r="BX107" i="11"/>
  <c r="BX109" i="11"/>
  <c r="BX111" i="11"/>
  <c r="BX115" i="11"/>
  <c r="BX6" i="11"/>
  <c r="BX13" i="11"/>
  <c r="BX18" i="11"/>
  <c r="BX22" i="11"/>
  <c r="BX24" i="11"/>
  <c r="BX33" i="11"/>
  <c r="BX35" i="11"/>
  <c r="BX46" i="11"/>
  <c r="BX76" i="11"/>
  <c r="BX85" i="11"/>
  <c r="BX87" i="11"/>
  <c r="BX89" i="11"/>
  <c r="BX110" i="11"/>
  <c r="BX114" i="11"/>
  <c r="BX118" i="11"/>
  <c r="BX160" i="11"/>
  <c r="BX53" i="11"/>
  <c r="BX164" i="11"/>
  <c r="BX10" i="11"/>
  <c r="BX39" i="11"/>
  <c r="BX41" i="11"/>
  <c r="BX58" i="11"/>
  <c r="BX62" i="11"/>
  <c r="BX82" i="11"/>
  <c r="BX99" i="11"/>
  <c r="BX101" i="11"/>
  <c r="BX140" i="11"/>
  <c r="BX61" i="11"/>
  <c r="BX56" i="11"/>
  <c r="BX74" i="11"/>
  <c r="BX125" i="11"/>
  <c r="BX132" i="11"/>
  <c r="BX86" i="11"/>
  <c r="AS2" i="11"/>
  <c r="BX21" i="11"/>
  <c r="BX44" i="11"/>
  <c r="BX60" i="11"/>
  <c r="BX147" i="11"/>
  <c r="BX149" i="11"/>
  <c r="BX153" i="11"/>
  <c r="BX28" i="11"/>
  <c r="BX31" i="11"/>
  <c r="BX49" i="11"/>
  <c r="BX69" i="11"/>
  <c r="BX105" i="11"/>
  <c r="BX131" i="11"/>
  <c r="BX51" i="11"/>
  <c r="BX138" i="11"/>
  <c r="BX20" i="11"/>
  <c r="BX32" i="11"/>
  <c r="BX43" i="11"/>
  <c r="BX47" i="11"/>
  <c r="BX106" i="11"/>
  <c r="BX113" i="11"/>
  <c r="BX159" i="11"/>
  <c r="BX145" i="11"/>
  <c r="BX150" i="11"/>
  <c r="BX156" i="11"/>
  <c r="BX12" i="11"/>
  <c r="BX36" i="11"/>
  <c r="BX48" i="11"/>
  <c r="BX122" i="11"/>
  <c r="BX130" i="11"/>
  <c r="BX137" i="11"/>
  <c r="BX139" i="11"/>
  <c r="AN2" i="11"/>
  <c r="AG2" i="11"/>
  <c r="AE2" i="11"/>
  <c r="BX120" i="11"/>
  <c r="BW1" i="11"/>
  <c r="BX71" i="11"/>
  <c r="BX1" i="11" l="1"/>
  <c r="D27" i="10" l="1"/>
  <c r="G26" i="10"/>
  <c r="E23" i="10"/>
  <c r="E21" i="10"/>
  <c r="E20" i="10"/>
  <c r="E19" i="10"/>
  <c r="I18" i="10"/>
  <c r="H18" i="10"/>
  <c r="H24" i="10" s="1"/>
  <c r="F18" i="10"/>
  <c r="F24" i="10" s="1"/>
  <c r="D18" i="10"/>
  <c r="D24" i="10" s="1"/>
  <c r="C18" i="10"/>
  <c r="C24" i="10" s="1"/>
  <c r="E17" i="10"/>
  <c r="E16" i="10"/>
  <c r="E15" i="10"/>
  <c r="E14" i="10"/>
  <c r="E13" i="10"/>
  <c r="E12" i="10"/>
  <c r="E18" i="10" s="1"/>
  <c r="I11" i="10"/>
  <c r="H11" i="10"/>
  <c r="F11" i="10"/>
  <c r="E11" i="10"/>
  <c r="D11" i="10"/>
  <c r="C11" i="10"/>
  <c r="E10" i="10"/>
  <c r="E9" i="10"/>
  <c r="E8" i="10"/>
  <c r="E7" i="10"/>
  <c r="I6" i="10"/>
  <c r="I26" i="10" s="1"/>
  <c r="H6" i="10"/>
  <c r="H26" i="10" s="1"/>
  <c r="F6" i="10"/>
  <c r="F26" i="10" s="1"/>
  <c r="E6" i="10"/>
  <c r="D6" i="10"/>
  <c r="C6" i="10"/>
  <c r="E5" i="10"/>
  <c r="E4" i="10"/>
  <c r="E24" i="10" l="1"/>
  <c r="C27" i="10"/>
  <c r="I24" i="10"/>
  <c r="E27" i="10"/>
  <c r="C26" i="10"/>
  <c r="F27" i="10"/>
  <c r="D26" i="10"/>
  <c r="H27" i="10"/>
  <c r="E26" i="10"/>
  <c r="I27" i="10"/>
  <c r="Q2" i="1" l="1"/>
  <c r="BT211" i="9" l="1"/>
  <c r="BT210" i="9"/>
  <c r="BT209" i="9"/>
  <c r="BT208" i="9"/>
  <c r="BT207" i="9"/>
  <c r="BT206" i="9"/>
  <c r="BT205" i="9"/>
  <c r="BT204" i="9"/>
  <c r="BT203" i="9"/>
  <c r="BT202" i="9"/>
  <c r="BT201" i="9"/>
  <c r="BT200" i="9"/>
  <c r="BT199" i="9"/>
  <c r="BT198" i="9"/>
  <c r="BT197" i="9"/>
  <c r="BT196" i="9"/>
  <c r="BT195" i="9"/>
  <c r="BT194" i="9"/>
  <c r="BT193" i="9"/>
  <c r="BT192" i="9"/>
  <c r="BT191" i="9"/>
  <c r="BT190" i="9"/>
  <c r="BT189" i="9"/>
  <c r="BT188" i="9"/>
  <c r="BT187" i="9"/>
  <c r="BT186" i="9"/>
  <c r="BT185" i="9"/>
  <c r="BT184" i="9"/>
  <c r="BT183" i="9"/>
  <c r="BT182" i="9"/>
  <c r="BT181" i="9"/>
  <c r="BT180" i="9"/>
  <c r="BT179" i="9"/>
  <c r="BT178" i="9"/>
  <c r="BT177" i="9"/>
  <c r="BT176" i="9"/>
  <c r="BT175" i="9"/>
  <c r="BT174" i="9"/>
  <c r="BT173" i="9"/>
  <c r="BT172" i="9"/>
  <c r="BT171" i="9"/>
  <c r="BT170" i="9"/>
  <c r="BT169" i="9"/>
  <c r="BT168" i="9"/>
  <c r="BT167" i="9"/>
  <c r="BT166" i="9"/>
  <c r="BT165" i="9"/>
  <c r="BT164" i="9"/>
  <c r="BT163" i="9"/>
  <c r="BT162" i="9"/>
  <c r="BT161" i="9"/>
  <c r="BT160" i="9"/>
  <c r="BT159" i="9"/>
  <c r="BT158" i="9"/>
  <c r="BT157" i="9"/>
  <c r="BT156" i="9"/>
  <c r="BT155" i="9"/>
  <c r="BT154" i="9"/>
  <c r="BT153" i="9"/>
  <c r="BT152" i="9"/>
  <c r="BT151" i="9"/>
  <c r="BT150" i="9"/>
  <c r="BT149" i="9"/>
  <c r="BT148" i="9"/>
  <c r="BT147" i="9"/>
  <c r="BT146" i="9"/>
  <c r="BT145" i="9"/>
  <c r="BT144" i="9"/>
  <c r="BT143" i="9"/>
  <c r="BT142" i="9"/>
  <c r="BT141" i="9"/>
  <c r="BT140" i="9"/>
  <c r="BT139" i="9"/>
  <c r="BT138" i="9"/>
  <c r="BT137" i="9"/>
  <c r="BT136" i="9"/>
  <c r="BT135" i="9"/>
  <c r="BT134" i="9"/>
  <c r="BT133" i="9"/>
  <c r="BT132" i="9"/>
  <c r="BT131" i="9"/>
  <c r="BT130" i="9"/>
  <c r="BT129" i="9"/>
  <c r="BT128" i="9"/>
  <c r="BT127" i="9"/>
  <c r="BT126" i="9"/>
  <c r="BT125" i="9"/>
  <c r="BT124" i="9"/>
  <c r="BT123" i="9"/>
  <c r="BT122" i="9"/>
  <c r="BT121" i="9"/>
  <c r="BT120" i="9"/>
  <c r="BT119" i="9"/>
  <c r="BT118" i="9"/>
  <c r="BT117" i="9"/>
  <c r="BT116" i="9"/>
  <c r="BT115" i="9"/>
  <c r="BT114" i="9"/>
  <c r="BT113" i="9"/>
  <c r="BT112" i="9"/>
  <c r="BT111" i="9"/>
  <c r="BT110" i="9"/>
  <c r="BT109" i="9"/>
  <c r="BT108" i="9"/>
  <c r="BT107" i="9"/>
  <c r="BT106" i="9"/>
  <c r="BT105" i="9"/>
  <c r="BT104" i="9"/>
  <c r="BT103" i="9"/>
  <c r="BT102" i="9"/>
  <c r="BT101" i="9"/>
  <c r="BT100" i="9"/>
  <c r="BT99" i="9"/>
  <c r="BT98" i="9"/>
  <c r="BT97" i="9"/>
  <c r="BT96" i="9"/>
  <c r="BT95" i="9"/>
  <c r="BT94" i="9"/>
  <c r="BT93" i="9"/>
  <c r="BT92" i="9"/>
  <c r="BT91" i="9"/>
  <c r="BT90" i="9"/>
  <c r="BT89" i="9"/>
  <c r="BT88" i="9"/>
  <c r="BT87" i="9"/>
  <c r="BT86" i="9"/>
  <c r="BT85" i="9"/>
  <c r="BT84" i="9"/>
  <c r="BT83" i="9"/>
  <c r="BT82" i="9"/>
  <c r="BT81" i="9"/>
  <c r="BT80" i="9"/>
  <c r="BT79" i="9"/>
  <c r="BT78" i="9"/>
  <c r="BT77" i="9"/>
  <c r="BT76" i="9"/>
  <c r="BT75" i="9"/>
  <c r="BT74" i="9"/>
  <c r="BT73" i="9"/>
  <c r="BT72" i="9"/>
  <c r="BT71" i="9"/>
  <c r="BT70" i="9"/>
  <c r="BT69" i="9"/>
  <c r="BT68" i="9"/>
  <c r="BT67" i="9"/>
  <c r="BT66" i="9"/>
  <c r="BT65" i="9"/>
  <c r="BT64" i="9"/>
  <c r="BT63" i="9"/>
  <c r="BT62" i="9"/>
  <c r="BT61" i="9"/>
  <c r="BT60" i="9"/>
  <c r="BT59" i="9"/>
  <c r="BT58" i="9"/>
  <c r="BT57" i="9"/>
  <c r="BT56" i="9"/>
  <c r="BT55" i="9"/>
  <c r="BT54" i="9"/>
  <c r="BT53" i="9"/>
  <c r="BT52" i="9"/>
  <c r="BT51" i="9"/>
  <c r="BT50" i="9"/>
  <c r="BT49" i="9"/>
  <c r="BT48" i="9"/>
  <c r="BT47" i="9"/>
  <c r="BT46" i="9"/>
  <c r="BT45" i="9"/>
  <c r="BT44" i="9"/>
  <c r="BT43" i="9"/>
  <c r="BT42" i="9"/>
  <c r="BT41" i="9"/>
  <c r="BT40" i="9"/>
  <c r="BT39" i="9"/>
  <c r="BT38" i="9"/>
  <c r="BT37" i="9"/>
  <c r="BT36" i="9"/>
  <c r="BT35" i="9"/>
  <c r="BT34" i="9"/>
  <c r="BT33" i="9"/>
  <c r="BT32" i="9"/>
  <c r="BT31" i="9"/>
  <c r="BT30" i="9"/>
  <c r="BT29" i="9"/>
  <c r="BT28" i="9"/>
  <c r="BT27" i="9"/>
  <c r="BT26" i="9"/>
  <c r="BT25" i="9"/>
  <c r="BT24" i="9"/>
  <c r="BT23" i="9"/>
  <c r="BT22" i="9"/>
  <c r="BT21" i="9"/>
  <c r="BT20" i="9"/>
  <c r="BT19" i="9"/>
  <c r="BT18" i="9"/>
  <c r="BT17" i="9"/>
  <c r="BT16" i="9"/>
  <c r="BT15" i="9"/>
  <c r="BT14" i="9"/>
  <c r="BT13" i="9"/>
  <c r="BT12" i="9"/>
  <c r="BT11" i="9"/>
  <c r="BT10" i="9"/>
  <c r="BT9" i="9"/>
  <c r="BT8" i="9"/>
  <c r="BT7" i="9"/>
  <c r="BT6" i="9"/>
  <c r="BT5" i="9"/>
  <c r="AR2" i="9"/>
  <c r="AQ2" i="9"/>
  <c r="AP3" i="9"/>
  <c r="AT3" i="9"/>
  <c r="AU3" i="9" s="1"/>
  <c r="AV3" i="9" s="1"/>
  <c r="AX3" i="9" s="1"/>
  <c r="BA3" i="9" s="1"/>
  <c r="BB3" i="9" s="1"/>
  <c r="BC3" i="9" s="1"/>
  <c r="BE3" i="9" s="1"/>
  <c r="BH3" i="9" s="1"/>
  <c r="BI3" i="9" s="1"/>
  <c r="BJ3" i="9" s="1"/>
  <c r="BL3" i="9" s="1"/>
  <c r="BO3" i="9" s="1"/>
  <c r="BP3" i="9" s="1"/>
  <c r="BQ3" i="9" s="1"/>
  <c r="BS3" i="9" s="1"/>
  <c r="BY211" i="9"/>
  <c r="AO211" i="9"/>
  <c r="AE211" i="9"/>
  <c r="AG211" i="9" s="1"/>
  <c r="AJ211" i="9" s="1"/>
  <c r="C211" i="9"/>
  <c r="BY210" i="9"/>
  <c r="AO210" i="9"/>
  <c r="AE210" i="9"/>
  <c r="AG210" i="9" s="1"/>
  <c r="AJ210" i="9" s="1"/>
  <c r="C210" i="9"/>
  <c r="BY209" i="9"/>
  <c r="AO209" i="9"/>
  <c r="AE209" i="9"/>
  <c r="AG209" i="9" s="1"/>
  <c r="AJ209" i="9" s="1"/>
  <c r="C209" i="9"/>
  <c r="BY208" i="9"/>
  <c r="AO208" i="9"/>
  <c r="AE208" i="9"/>
  <c r="AG208" i="9" s="1"/>
  <c r="AJ208" i="9" s="1"/>
  <c r="C208" i="9"/>
  <c r="BY207" i="9"/>
  <c r="AO207" i="9"/>
  <c r="AE207" i="9"/>
  <c r="AG207" i="9" s="1"/>
  <c r="AJ207" i="9" s="1"/>
  <c r="C207" i="9"/>
  <c r="BY206" i="9"/>
  <c r="AO206" i="9"/>
  <c r="AE206" i="9"/>
  <c r="AG206" i="9" s="1"/>
  <c r="AJ206" i="9" s="1"/>
  <c r="C206" i="9"/>
  <c r="BY205" i="9"/>
  <c r="AO205" i="9"/>
  <c r="AE205" i="9"/>
  <c r="AG205" i="9" s="1"/>
  <c r="AJ205" i="9" s="1"/>
  <c r="C205" i="9"/>
  <c r="BY204" i="9"/>
  <c r="AO204" i="9"/>
  <c r="AE204" i="9"/>
  <c r="AG204" i="9" s="1"/>
  <c r="AJ204" i="9" s="1"/>
  <c r="C204" i="9"/>
  <c r="BY203" i="9"/>
  <c r="AO203" i="9"/>
  <c r="AE203" i="9"/>
  <c r="AG203" i="9" s="1"/>
  <c r="AJ203" i="9" s="1"/>
  <c r="C203" i="9"/>
  <c r="BY202" i="9"/>
  <c r="AO202" i="9"/>
  <c r="AE202" i="9"/>
  <c r="AG202" i="9" s="1"/>
  <c r="AJ202" i="9" s="1"/>
  <c r="C202" i="9"/>
  <c r="BY201" i="9"/>
  <c r="AO201" i="9"/>
  <c r="AE201" i="9"/>
  <c r="AG201" i="9" s="1"/>
  <c r="AJ201" i="9" s="1"/>
  <c r="C201" i="9"/>
  <c r="BY200" i="9"/>
  <c r="AO200" i="9"/>
  <c r="AE200" i="9"/>
  <c r="AG200" i="9" s="1"/>
  <c r="AJ200" i="9" s="1"/>
  <c r="C200" i="9"/>
  <c r="BY199" i="9"/>
  <c r="AO199" i="9"/>
  <c r="AE199" i="9"/>
  <c r="AG199" i="9" s="1"/>
  <c r="AJ199" i="9" s="1"/>
  <c r="C199" i="9"/>
  <c r="BY198" i="9"/>
  <c r="AO198" i="9"/>
  <c r="AE198" i="9"/>
  <c r="AG198" i="9" s="1"/>
  <c r="AJ198" i="9" s="1"/>
  <c r="C198" i="9"/>
  <c r="BY197" i="9"/>
  <c r="AO197" i="9"/>
  <c r="AE197" i="9"/>
  <c r="AG197" i="9" s="1"/>
  <c r="AJ197" i="9" s="1"/>
  <c r="C197" i="9"/>
  <c r="BY196" i="9"/>
  <c r="AO196" i="9"/>
  <c r="AE196" i="9"/>
  <c r="AG196" i="9" s="1"/>
  <c r="AJ196" i="9" s="1"/>
  <c r="C196" i="9"/>
  <c r="BY195" i="9"/>
  <c r="AO195" i="9"/>
  <c r="AE195" i="9"/>
  <c r="AG195" i="9" s="1"/>
  <c r="AJ195" i="9" s="1"/>
  <c r="C195" i="9"/>
  <c r="BY194" i="9"/>
  <c r="AO194" i="9"/>
  <c r="AE194" i="9"/>
  <c r="AG194" i="9" s="1"/>
  <c r="AJ194" i="9" s="1"/>
  <c r="C194" i="9"/>
  <c r="BY193" i="9"/>
  <c r="AO193" i="9"/>
  <c r="AE193" i="9"/>
  <c r="AG193" i="9" s="1"/>
  <c r="AJ193" i="9" s="1"/>
  <c r="C193" i="9"/>
  <c r="BY192" i="9"/>
  <c r="AO192" i="9"/>
  <c r="AE192" i="9"/>
  <c r="AG192" i="9" s="1"/>
  <c r="AJ192" i="9" s="1"/>
  <c r="C192" i="9"/>
  <c r="BY191" i="9"/>
  <c r="AO191" i="9"/>
  <c r="AE191" i="9"/>
  <c r="AG191" i="9" s="1"/>
  <c r="AJ191" i="9" s="1"/>
  <c r="C191" i="9"/>
  <c r="BY190" i="9"/>
  <c r="AO190" i="9"/>
  <c r="AE190" i="9"/>
  <c r="AG190" i="9" s="1"/>
  <c r="AJ190" i="9" s="1"/>
  <c r="C190" i="9"/>
  <c r="BY189" i="9"/>
  <c r="AO189" i="9"/>
  <c r="AE189" i="9"/>
  <c r="AG189" i="9" s="1"/>
  <c r="AJ189" i="9" s="1"/>
  <c r="C189" i="9"/>
  <c r="BY188" i="9"/>
  <c r="AO188" i="9"/>
  <c r="AE188" i="9"/>
  <c r="AG188" i="9" s="1"/>
  <c r="AJ188" i="9" s="1"/>
  <c r="C188" i="9"/>
  <c r="BY187" i="9"/>
  <c r="AO187" i="9"/>
  <c r="AE187" i="9"/>
  <c r="AG187" i="9" s="1"/>
  <c r="AJ187" i="9" s="1"/>
  <c r="C187" i="9"/>
  <c r="BY186" i="9"/>
  <c r="AO186" i="9"/>
  <c r="AE186" i="9"/>
  <c r="AG186" i="9" s="1"/>
  <c r="AJ186" i="9" s="1"/>
  <c r="C186" i="9"/>
  <c r="BY185" i="9"/>
  <c r="AO185" i="9"/>
  <c r="AE185" i="9"/>
  <c r="AG185" i="9" s="1"/>
  <c r="AJ185" i="9" s="1"/>
  <c r="C185" i="9"/>
  <c r="BY184" i="9"/>
  <c r="AO184" i="9"/>
  <c r="AE184" i="9"/>
  <c r="AG184" i="9" s="1"/>
  <c r="AJ184" i="9" s="1"/>
  <c r="C184" i="9"/>
  <c r="BY183" i="9"/>
  <c r="AO183" i="9"/>
  <c r="AE183" i="9"/>
  <c r="AG183" i="9" s="1"/>
  <c r="AJ183" i="9" s="1"/>
  <c r="C183" i="9"/>
  <c r="BY182" i="9"/>
  <c r="AO182" i="9"/>
  <c r="AE182" i="9"/>
  <c r="AG182" i="9" s="1"/>
  <c r="AJ182" i="9" s="1"/>
  <c r="C182" i="9"/>
  <c r="BY181" i="9"/>
  <c r="AO181" i="9"/>
  <c r="AE181" i="9"/>
  <c r="AG181" i="9" s="1"/>
  <c r="AJ181" i="9" s="1"/>
  <c r="C181" i="9"/>
  <c r="BY180" i="9"/>
  <c r="AO180" i="9"/>
  <c r="AE180" i="9"/>
  <c r="AG180" i="9" s="1"/>
  <c r="AJ180" i="9" s="1"/>
  <c r="C180" i="9"/>
  <c r="BY179" i="9"/>
  <c r="AO179" i="9"/>
  <c r="AE179" i="9"/>
  <c r="AG179" i="9" s="1"/>
  <c r="AJ179" i="9" s="1"/>
  <c r="C179" i="9"/>
  <c r="BY178" i="9"/>
  <c r="AO178" i="9"/>
  <c r="AE178" i="9"/>
  <c r="AG178" i="9" s="1"/>
  <c r="AJ178" i="9" s="1"/>
  <c r="C178" i="9"/>
  <c r="BY177" i="9"/>
  <c r="AO177" i="9"/>
  <c r="AE177" i="9"/>
  <c r="AG177" i="9" s="1"/>
  <c r="AJ177" i="9" s="1"/>
  <c r="C177" i="9"/>
  <c r="BY176" i="9"/>
  <c r="AO176" i="9"/>
  <c r="AE176" i="9"/>
  <c r="AG176" i="9" s="1"/>
  <c r="AJ176" i="9" s="1"/>
  <c r="C176" i="9"/>
  <c r="BY175" i="9"/>
  <c r="AO175" i="9"/>
  <c r="AE175" i="9"/>
  <c r="AG175" i="9" s="1"/>
  <c r="AJ175" i="9" s="1"/>
  <c r="C175" i="9"/>
  <c r="BY174" i="9"/>
  <c r="AO174" i="9"/>
  <c r="AE174" i="9"/>
  <c r="AG174" i="9" s="1"/>
  <c r="AJ174" i="9" s="1"/>
  <c r="C174" i="9"/>
  <c r="BY173" i="9"/>
  <c r="AO173" i="9"/>
  <c r="AE173" i="9"/>
  <c r="AG173" i="9" s="1"/>
  <c r="AJ173" i="9" s="1"/>
  <c r="C173" i="9"/>
  <c r="BY172" i="9"/>
  <c r="AO172" i="9"/>
  <c r="AE172" i="9"/>
  <c r="AG172" i="9" s="1"/>
  <c r="AJ172" i="9" s="1"/>
  <c r="C172" i="9"/>
  <c r="BY171" i="9"/>
  <c r="AO171" i="9"/>
  <c r="AE171" i="9"/>
  <c r="AG171" i="9" s="1"/>
  <c r="AJ171" i="9" s="1"/>
  <c r="C171" i="9"/>
  <c r="BY170" i="9"/>
  <c r="AO170" i="9"/>
  <c r="AE170" i="9"/>
  <c r="AG170" i="9" s="1"/>
  <c r="AJ170" i="9" s="1"/>
  <c r="C170" i="9"/>
  <c r="BY169" i="9"/>
  <c r="AO169" i="9"/>
  <c r="AE169" i="9"/>
  <c r="AG169" i="9" s="1"/>
  <c r="AJ169" i="9" s="1"/>
  <c r="C169" i="9"/>
  <c r="BY168" i="9"/>
  <c r="AO168" i="9"/>
  <c r="AE168" i="9"/>
  <c r="AG168" i="9" s="1"/>
  <c r="AJ168" i="9" s="1"/>
  <c r="C168" i="9"/>
  <c r="BY167" i="9"/>
  <c r="AO167" i="9"/>
  <c r="AE167" i="9"/>
  <c r="AG167" i="9" s="1"/>
  <c r="AJ167" i="9" s="1"/>
  <c r="C167" i="9"/>
  <c r="BY166" i="9"/>
  <c r="AO166" i="9"/>
  <c r="AE166" i="9"/>
  <c r="AG166" i="9" s="1"/>
  <c r="AJ166" i="9" s="1"/>
  <c r="C166" i="9"/>
  <c r="BY165" i="9"/>
  <c r="AO165" i="9"/>
  <c r="AE165" i="9"/>
  <c r="AG165" i="9" s="1"/>
  <c r="AJ165" i="9" s="1"/>
  <c r="C165" i="9"/>
  <c r="BY164" i="9"/>
  <c r="AO164" i="9"/>
  <c r="AE164" i="9"/>
  <c r="AG164" i="9" s="1"/>
  <c r="AJ164" i="9" s="1"/>
  <c r="C164" i="9"/>
  <c r="BY163" i="9"/>
  <c r="AO163" i="9"/>
  <c r="AE163" i="9"/>
  <c r="AG163" i="9" s="1"/>
  <c r="AJ163" i="9" s="1"/>
  <c r="C163" i="9"/>
  <c r="BY162" i="9"/>
  <c r="AO162" i="9"/>
  <c r="AE162" i="9"/>
  <c r="AG162" i="9" s="1"/>
  <c r="AJ162" i="9" s="1"/>
  <c r="C162" i="9"/>
  <c r="BY161" i="9"/>
  <c r="AO161" i="9"/>
  <c r="AE161" i="9"/>
  <c r="AG161" i="9" s="1"/>
  <c r="AJ161" i="9" s="1"/>
  <c r="C161" i="9"/>
  <c r="BY160" i="9"/>
  <c r="AO160" i="9"/>
  <c r="AE160" i="9"/>
  <c r="AG160" i="9" s="1"/>
  <c r="AJ160" i="9" s="1"/>
  <c r="C160" i="9"/>
  <c r="BY159" i="9"/>
  <c r="AO159" i="9"/>
  <c r="AE159" i="9"/>
  <c r="AG159" i="9" s="1"/>
  <c r="AJ159" i="9" s="1"/>
  <c r="C159" i="9"/>
  <c r="BY158" i="9"/>
  <c r="AO158" i="9"/>
  <c r="AE158" i="9"/>
  <c r="AG158" i="9" s="1"/>
  <c r="AJ158" i="9" s="1"/>
  <c r="C158" i="9"/>
  <c r="BY157" i="9"/>
  <c r="AO157" i="9"/>
  <c r="AE157" i="9"/>
  <c r="AG157" i="9" s="1"/>
  <c r="AJ157" i="9" s="1"/>
  <c r="C157" i="9"/>
  <c r="BY156" i="9"/>
  <c r="AO156" i="9"/>
  <c r="AE156" i="9"/>
  <c r="AG156" i="9" s="1"/>
  <c r="AJ156" i="9" s="1"/>
  <c r="C156" i="9"/>
  <c r="BY155" i="9"/>
  <c r="AO155" i="9"/>
  <c r="AE155" i="9"/>
  <c r="AG155" i="9" s="1"/>
  <c r="AJ155" i="9" s="1"/>
  <c r="C155" i="9"/>
  <c r="BY154" i="9"/>
  <c r="AO154" i="9"/>
  <c r="AE154" i="9"/>
  <c r="AG154" i="9" s="1"/>
  <c r="AJ154" i="9" s="1"/>
  <c r="C154" i="9"/>
  <c r="BY153" i="9"/>
  <c r="AO153" i="9"/>
  <c r="AE153" i="9"/>
  <c r="AG153" i="9" s="1"/>
  <c r="C153" i="9"/>
  <c r="BY152" i="9"/>
  <c r="AO152" i="9"/>
  <c r="AE152" i="9"/>
  <c r="AG152" i="9" s="1"/>
  <c r="AJ152" i="9" s="1"/>
  <c r="C152" i="9"/>
  <c r="BY151" i="9"/>
  <c r="AO151" i="9"/>
  <c r="AE151" i="9"/>
  <c r="AG151" i="9" s="1"/>
  <c r="AJ151" i="9" s="1"/>
  <c r="C151" i="9"/>
  <c r="BY150" i="9"/>
  <c r="AO150" i="9"/>
  <c r="AE150" i="9"/>
  <c r="AG150" i="9" s="1"/>
  <c r="AJ150" i="9" s="1"/>
  <c r="C150" i="9"/>
  <c r="BY149" i="9"/>
  <c r="AO149" i="9"/>
  <c r="AE149" i="9"/>
  <c r="AG149" i="9" s="1"/>
  <c r="AJ149" i="9" s="1"/>
  <c r="C149" i="9"/>
  <c r="BY148" i="9"/>
  <c r="AO148" i="9"/>
  <c r="AE148" i="9"/>
  <c r="AG148" i="9" s="1"/>
  <c r="AJ148" i="9" s="1"/>
  <c r="C148" i="9"/>
  <c r="BY147" i="9"/>
  <c r="AO147" i="9"/>
  <c r="AE147" i="9"/>
  <c r="AG147" i="9" s="1"/>
  <c r="AJ147" i="9" s="1"/>
  <c r="C147" i="9"/>
  <c r="BY146" i="9"/>
  <c r="AO146" i="9"/>
  <c r="AE146" i="9"/>
  <c r="AG146" i="9" s="1"/>
  <c r="AJ146" i="9" s="1"/>
  <c r="C146" i="9"/>
  <c r="BY145" i="9"/>
  <c r="AO145" i="9"/>
  <c r="AE145" i="9"/>
  <c r="AG145" i="9" s="1"/>
  <c r="AJ145" i="9" s="1"/>
  <c r="C145" i="9"/>
  <c r="BY144" i="9"/>
  <c r="AO144" i="9"/>
  <c r="AE144" i="9"/>
  <c r="AG144" i="9" s="1"/>
  <c r="AJ144" i="9" s="1"/>
  <c r="C144" i="9"/>
  <c r="BY143" i="9"/>
  <c r="AO143" i="9"/>
  <c r="AE143" i="9"/>
  <c r="AG143" i="9" s="1"/>
  <c r="AJ143" i="9" s="1"/>
  <c r="C143" i="9"/>
  <c r="BY142" i="9"/>
  <c r="AO142" i="9"/>
  <c r="AE142" i="9"/>
  <c r="AG142" i="9" s="1"/>
  <c r="AJ142" i="9" s="1"/>
  <c r="C142" i="9"/>
  <c r="BY141" i="9"/>
  <c r="AO141" i="9"/>
  <c r="AE141" i="9"/>
  <c r="AG141" i="9" s="1"/>
  <c r="C141" i="9"/>
  <c r="BY140" i="9"/>
  <c r="AO140" i="9"/>
  <c r="AE140" i="9"/>
  <c r="AG140" i="9" s="1"/>
  <c r="AJ140" i="9" s="1"/>
  <c r="C140" i="9"/>
  <c r="BY139" i="9"/>
  <c r="AO139" i="9"/>
  <c r="AE139" i="9"/>
  <c r="AG139" i="9" s="1"/>
  <c r="AJ139" i="9" s="1"/>
  <c r="C139" i="9"/>
  <c r="BY138" i="9"/>
  <c r="AO138" i="9"/>
  <c r="AE138" i="9"/>
  <c r="AG138" i="9" s="1"/>
  <c r="AJ138" i="9" s="1"/>
  <c r="C138" i="9"/>
  <c r="BY137" i="9"/>
  <c r="AO137" i="9"/>
  <c r="AE137" i="9"/>
  <c r="AG137" i="9" s="1"/>
  <c r="AJ137" i="9" s="1"/>
  <c r="C137" i="9"/>
  <c r="BY136" i="9"/>
  <c r="AO136" i="9"/>
  <c r="AE136" i="9"/>
  <c r="AG136" i="9" s="1"/>
  <c r="AJ136" i="9" s="1"/>
  <c r="C136" i="9"/>
  <c r="BY135" i="9"/>
  <c r="AO135" i="9"/>
  <c r="AE135" i="9"/>
  <c r="AG135" i="9" s="1"/>
  <c r="AJ135" i="9" s="1"/>
  <c r="C135" i="9"/>
  <c r="BY134" i="9"/>
  <c r="AO134" i="9"/>
  <c r="AE134" i="9"/>
  <c r="AG134" i="9" s="1"/>
  <c r="AJ134" i="9" s="1"/>
  <c r="C134" i="9"/>
  <c r="BY133" i="9"/>
  <c r="AO133" i="9"/>
  <c r="AE133" i="9"/>
  <c r="AG133" i="9" s="1"/>
  <c r="AJ133" i="9" s="1"/>
  <c r="C133" i="9"/>
  <c r="BY132" i="9"/>
  <c r="AO132" i="9"/>
  <c r="AE132" i="9"/>
  <c r="AG132" i="9" s="1"/>
  <c r="AJ132" i="9" s="1"/>
  <c r="C132" i="9"/>
  <c r="BY131" i="9"/>
  <c r="AO131" i="9"/>
  <c r="AE131" i="9"/>
  <c r="AG131" i="9" s="1"/>
  <c r="AJ131" i="9" s="1"/>
  <c r="C131" i="9"/>
  <c r="BY130" i="9"/>
  <c r="AO130" i="9"/>
  <c r="AE130" i="9"/>
  <c r="AG130" i="9" s="1"/>
  <c r="AJ130" i="9" s="1"/>
  <c r="C130" i="9"/>
  <c r="BY129" i="9"/>
  <c r="AO129" i="9"/>
  <c r="AE129" i="9"/>
  <c r="AG129" i="9" s="1"/>
  <c r="AJ129" i="9" s="1"/>
  <c r="C129" i="9"/>
  <c r="BY128" i="9"/>
  <c r="AO128" i="9"/>
  <c r="AE128" i="9"/>
  <c r="AG128" i="9" s="1"/>
  <c r="AJ128" i="9" s="1"/>
  <c r="C128" i="9"/>
  <c r="BY127" i="9"/>
  <c r="AO127" i="9"/>
  <c r="AE127" i="9"/>
  <c r="AG127" i="9" s="1"/>
  <c r="AJ127" i="9" s="1"/>
  <c r="C127" i="9"/>
  <c r="BY126" i="9"/>
  <c r="AO126" i="9"/>
  <c r="AE126" i="9"/>
  <c r="AG126" i="9" s="1"/>
  <c r="AJ126" i="9" s="1"/>
  <c r="C126" i="9"/>
  <c r="BY125" i="9"/>
  <c r="AO125" i="9"/>
  <c r="AE125" i="9"/>
  <c r="AG125" i="9" s="1"/>
  <c r="AJ125" i="9" s="1"/>
  <c r="C125" i="9"/>
  <c r="BY124" i="9"/>
  <c r="AO124" i="9"/>
  <c r="AE124" i="9"/>
  <c r="AG124" i="9" s="1"/>
  <c r="AJ124" i="9" s="1"/>
  <c r="C124" i="9"/>
  <c r="BY123" i="9"/>
  <c r="AO123" i="9"/>
  <c r="AE123" i="9"/>
  <c r="AG123" i="9" s="1"/>
  <c r="AJ123" i="9" s="1"/>
  <c r="C123" i="9"/>
  <c r="BY122" i="9"/>
  <c r="AO122" i="9"/>
  <c r="AE122" i="9"/>
  <c r="AG122" i="9" s="1"/>
  <c r="AJ122" i="9" s="1"/>
  <c r="C122" i="9"/>
  <c r="BY121" i="9"/>
  <c r="AO121" i="9"/>
  <c r="AE121" i="9"/>
  <c r="AG121" i="9" s="1"/>
  <c r="AJ121" i="9" s="1"/>
  <c r="C121" i="9"/>
  <c r="BY120" i="9"/>
  <c r="AO120" i="9"/>
  <c r="AE120" i="9"/>
  <c r="AG120" i="9" s="1"/>
  <c r="AJ120" i="9" s="1"/>
  <c r="C120" i="9"/>
  <c r="BY119" i="9"/>
  <c r="AO119" i="9"/>
  <c r="AE119" i="9"/>
  <c r="AG119" i="9" s="1"/>
  <c r="AJ119" i="9" s="1"/>
  <c r="C119" i="9"/>
  <c r="BY118" i="9"/>
  <c r="AO118" i="9"/>
  <c r="AE118" i="9"/>
  <c r="AG118" i="9" s="1"/>
  <c r="AJ118" i="9" s="1"/>
  <c r="C118" i="9"/>
  <c r="BY117" i="9"/>
  <c r="AO117" i="9"/>
  <c r="AE117" i="9"/>
  <c r="AG117" i="9" s="1"/>
  <c r="AJ117" i="9" s="1"/>
  <c r="C117" i="9"/>
  <c r="BY116" i="9"/>
  <c r="AO116" i="9"/>
  <c r="AE116" i="9"/>
  <c r="AG116" i="9" s="1"/>
  <c r="AJ116" i="9" s="1"/>
  <c r="C116" i="9"/>
  <c r="BY115" i="9"/>
  <c r="AO115" i="9"/>
  <c r="AE115" i="9"/>
  <c r="AG115" i="9" s="1"/>
  <c r="AJ115" i="9" s="1"/>
  <c r="C115" i="9"/>
  <c r="BY114" i="9"/>
  <c r="AO114" i="9"/>
  <c r="AE114" i="9"/>
  <c r="AG114" i="9" s="1"/>
  <c r="AJ114" i="9" s="1"/>
  <c r="C114" i="9"/>
  <c r="BY113" i="9"/>
  <c r="AO113" i="9"/>
  <c r="AE113" i="9"/>
  <c r="AG113" i="9" s="1"/>
  <c r="AJ113" i="9" s="1"/>
  <c r="C113" i="9"/>
  <c r="BY112" i="9"/>
  <c r="AO112" i="9"/>
  <c r="AE112" i="9"/>
  <c r="AG112" i="9" s="1"/>
  <c r="AJ112" i="9" s="1"/>
  <c r="C112" i="9"/>
  <c r="BY111" i="9"/>
  <c r="AO111" i="9"/>
  <c r="AE111" i="9"/>
  <c r="AG111" i="9" s="1"/>
  <c r="AJ111" i="9" s="1"/>
  <c r="C111" i="9"/>
  <c r="BY110" i="9"/>
  <c r="AO110" i="9"/>
  <c r="AE110" i="9"/>
  <c r="AG110" i="9" s="1"/>
  <c r="AJ110" i="9" s="1"/>
  <c r="C110" i="9"/>
  <c r="BY109" i="9"/>
  <c r="AO109" i="9"/>
  <c r="AE109" i="9"/>
  <c r="AG109" i="9" s="1"/>
  <c r="AJ109" i="9" s="1"/>
  <c r="C109" i="9"/>
  <c r="BY108" i="9"/>
  <c r="AO108" i="9"/>
  <c r="AE108" i="9"/>
  <c r="AG108" i="9" s="1"/>
  <c r="AJ108" i="9" s="1"/>
  <c r="C108" i="9"/>
  <c r="BY107" i="9"/>
  <c r="AO107" i="9"/>
  <c r="AE107" i="9"/>
  <c r="AG107" i="9" s="1"/>
  <c r="AJ107" i="9" s="1"/>
  <c r="C107" i="9"/>
  <c r="BY106" i="9"/>
  <c r="AO106" i="9"/>
  <c r="AE106" i="9"/>
  <c r="AG106" i="9" s="1"/>
  <c r="AJ106" i="9" s="1"/>
  <c r="C106" i="9"/>
  <c r="BY105" i="9"/>
  <c r="AO105" i="9"/>
  <c r="AE105" i="9"/>
  <c r="AG105" i="9" s="1"/>
  <c r="AJ105" i="9" s="1"/>
  <c r="C105" i="9"/>
  <c r="BY104" i="9"/>
  <c r="AO104" i="9"/>
  <c r="AE104" i="9"/>
  <c r="AG104" i="9" s="1"/>
  <c r="AJ104" i="9" s="1"/>
  <c r="C104" i="9"/>
  <c r="BY103" i="9"/>
  <c r="AO103" i="9"/>
  <c r="AE103" i="9"/>
  <c r="AG103" i="9" s="1"/>
  <c r="AJ103" i="9" s="1"/>
  <c r="C103" i="9"/>
  <c r="BY102" i="9"/>
  <c r="AO102" i="9"/>
  <c r="AE102" i="9"/>
  <c r="AG102" i="9" s="1"/>
  <c r="AJ102" i="9" s="1"/>
  <c r="C102" i="9"/>
  <c r="BY101" i="9"/>
  <c r="AO101" i="9"/>
  <c r="AE101" i="9"/>
  <c r="AG101" i="9" s="1"/>
  <c r="AJ101" i="9" s="1"/>
  <c r="C101" i="9"/>
  <c r="BY100" i="9"/>
  <c r="AO100" i="9"/>
  <c r="AE100" i="9"/>
  <c r="AG100" i="9" s="1"/>
  <c r="AJ100" i="9" s="1"/>
  <c r="C100" i="9"/>
  <c r="BY99" i="9"/>
  <c r="AO99" i="9"/>
  <c r="AE99" i="9"/>
  <c r="AG99" i="9" s="1"/>
  <c r="AJ99" i="9" s="1"/>
  <c r="C99" i="9"/>
  <c r="BY98" i="9"/>
  <c r="AO98" i="9"/>
  <c r="AE98" i="9"/>
  <c r="AG98" i="9" s="1"/>
  <c r="AJ98" i="9" s="1"/>
  <c r="C98" i="9"/>
  <c r="BY97" i="9"/>
  <c r="AO97" i="9"/>
  <c r="AE97" i="9"/>
  <c r="AG97" i="9" s="1"/>
  <c r="AJ97" i="9" s="1"/>
  <c r="C97" i="9"/>
  <c r="BY96" i="9"/>
  <c r="AO96" i="9"/>
  <c r="AE96" i="9"/>
  <c r="AG96" i="9" s="1"/>
  <c r="AJ96" i="9" s="1"/>
  <c r="C96" i="9"/>
  <c r="BY95" i="9"/>
  <c r="AO95" i="9"/>
  <c r="AE95" i="9"/>
  <c r="AG95" i="9" s="1"/>
  <c r="AJ95" i="9" s="1"/>
  <c r="C95" i="9"/>
  <c r="BY94" i="9"/>
  <c r="AO94" i="9"/>
  <c r="AE94" i="9"/>
  <c r="AG94" i="9" s="1"/>
  <c r="AJ94" i="9" s="1"/>
  <c r="C94" i="9"/>
  <c r="BY93" i="9"/>
  <c r="AO93" i="9"/>
  <c r="AE93" i="9"/>
  <c r="AG93" i="9" s="1"/>
  <c r="AJ93" i="9" s="1"/>
  <c r="C93" i="9"/>
  <c r="BY92" i="9"/>
  <c r="AO92" i="9"/>
  <c r="AE92" i="9"/>
  <c r="AG92" i="9" s="1"/>
  <c r="AJ92" i="9" s="1"/>
  <c r="C92" i="9"/>
  <c r="BY91" i="9"/>
  <c r="AO91" i="9"/>
  <c r="AE91" i="9"/>
  <c r="AG91" i="9" s="1"/>
  <c r="AJ91" i="9" s="1"/>
  <c r="C91" i="9"/>
  <c r="BY90" i="9"/>
  <c r="AO90" i="9"/>
  <c r="AE90" i="9"/>
  <c r="AG90" i="9" s="1"/>
  <c r="AJ90" i="9" s="1"/>
  <c r="C90" i="9"/>
  <c r="BY89" i="9"/>
  <c r="AO89" i="9"/>
  <c r="AE89" i="9"/>
  <c r="AG89" i="9" s="1"/>
  <c r="AJ89" i="9" s="1"/>
  <c r="C89" i="9"/>
  <c r="BY88" i="9"/>
  <c r="AO88" i="9"/>
  <c r="AE88" i="9"/>
  <c r="AG88" i="9" s="1"/>
  <c r="AJ88" i="9" s="1"/>
  <c r="C88" i="9"/>
  <c r="BY87" i="9"/>
  <c r="AO87" i="9"/>
  <c r="AE87" i="9"/>
  <c r="AG87" i="9" s="1"/>
  <c r="AJ87" i="9" s="1"/>
  <c r="C87" i="9"/>
  <c r="BY86" i="9"/>
  <c r="AO86" i="9"/>
  <c r="AE86" i="9"/>
  <c r="AG86" i="9" s="1"/>
  <c r="AJ86" i="9" s="1"/>
  <c r="C86" i="9"/>
  <c r="BY85" i="9"/>
  <c r="AO85" i="9"/>
  <c r="AE85" i="9"/>
  <c r="AG85" i="9" s="1"/>
  <c r="AJ85" i="9" s="1"/>
  <c r="C85" i="9"/>
  <c r="BY84" i="9"/>
  <c r="AO84" i="9"/>
  <c r="AE84" i="9"/>
  <c r="AG84" i="9" s="1"/>
  <c r="AJ84" i="9" s="1"/>
  <c r="C84" i="9"/>
  <c r="BY83" i="9"/>
  <c r="AO83" i="9"/>
  <c r="AE83" i="9"/>
  <c r="AG83" i="9" s="1"/>
  <c r="AJ83" i="9" s="1"/>
  <c r="C83" i="9"/>
  <c r="BY82" i="9"/>
  <c r="AO82" i="9"/>
  <c r="AE82" i="9"/>
  <c r="AG82" i="9" s="1"/>
  <c r="AJ82" i="9" s="1"/>
  <c r="C82" i="9"/>
  <c r="BY81" i="9"/>
  <c r="AO81" i="9"/>
  <c r="C81" i="9"/>
  <c r="BY80" i="9"/>
  <c r="AO80" i="9"/>
  <c r="C80" i="9"/>
  <c r="BY79" i="9"/>
  <c r="AO79" i="9"/>
  <c r="C79" i="9"/>
  <c r="BY78" i="9"/>
  <c r="AO78" i="9"/>
  <c r="C78" i="9"/>
  <c r="BY77" i="9"/>
  <c r="AO77" i="9"/>
  <c r="AE77" i="9"/>
  <c r="AG77" i="9" s="1"/>
  <c r="AJ77" i="9" s="1"/>
  <c r="C77" i="9"/>
  <c r="BY76" i="9"/>
  <c r="AO76" i="9"/>
  <c r="AE76" i="9"/>
  <c r="AG76" i="9" s="1"/>
  <c r="AJ76" i="9" s="1"/>
  <c r="C76" i="9"/>
  <c r="BY75" i="9"/>
  <c r="AO75" i="9"/>
  <c r="AE75" i="9"/>
  <c r="AG75" i="9" s="1"/>
  <c r="AJ75" i="9" s="1"/>
  <c r="C75" i="9"/>
  <c r="BY74" i="9"/>
  <c r="AO74" i="9"/>
  <c r="AE74" i="9"/>
  <c r="AG74" i="9" s="1"/>
  <c r="AJ74" i="9" s="1"/>
  <c r="C74" i="9"/>
  <c r="BY73" i="9"/>
  <c r="AO73" i="9"/>
  <c r="AE73" i="9"/>
  <c r="AG73" i="9" s="1"/>
  <c r="AJ73" i="9" s="1"/>
  <c r="C73" i="9"/>
  <c r="BY72" i="9"/>
  <c r="AO72" i="9"/>
  <c r="C72" i="9"/>
  <c r="BY71" i="9"/>
  <c r="AO71" i="9"/>
  <c r="C71" i="9"/>
  <c r="BY70" i="9"/>
  <c r="AO70" i="9"/>
  <c r="C70" i="9"/>
  <c r="BY69" i="9"/>
  <c r="AO69" i="9"/>
  <c r="C69" i="9"/>
  <c r="BY68" i="9"/>
  <c r="AO68" i="9"/>
  <c r="C68" i="9"/>
  <c r="BY67" i="9"/>
  <c r="AO67" i="9"/>
  <c r="C67" i="9"/>
  <c r="BY66" i="9"/>
  <c r="AO66" i="9"/>
  <c r="C66" i="9"/>
  <c r="BY65" i="9"/>
  <c r="AO65" i="9"/>
  <c r="C65" i="9"/>
  <c r="BY64" i="9"/>
  <c r="AO64" i="9"/>
  <c r="C64" i="9"/>
  <c r="BY63" i="9"/>
  <c r="AO63" i="9"/>
  <c r="C63" i="9"/>
  <c r="BY62" i="9"/>
  <c r="AO62" i="9"/>
  <c r="C62" i="9"/>
  <c r="BY61" i="9"/>
  <c r="AO61" i="9"/>
  <c r="C61" i="9"/>
  <c r="BY60" i="9"/>
  <c r="AO60" i="9"/>
  <c r="C60" i="9"/>
  <c r="BY59" i="9"/>
  <c r="AO59" i="9"/>
  <c r="C59" i="9"/>
  <c r="BY58" i="9"/>
  <c r="AO58" i="9"/>
  <c r="C58" i="9"/>
  <c r="BY57" i="9"/>
  <c r="AO57" i="9"/>
  <c r="C57" i="9"/>
  <c r="BY56" i="9"/>
  <c r="AO56" i="9"/>
  <c r="C56" i="9"/>
  <c r="BY55" i="9"/>
  <c r="AO55" i="9"/>
  <c r="AE55" i="9"/>
  <c r="AG55" i="9" s="1"/>
  <c r="AJ55" i="9" s="1"/>
  <c r="C55" i="9"/>
  <c r="BY54" i="9"/>
  <c r="AO54" i="9"/>
  <c r="AE54" i="9"/>
  <c r="AG54" i="9" s="1"/>
  <c r="AJ54" i="9" s="1"/>
  <c r="C54" i="9"/>
  <c r="BY53" i="9"/>
  <c r="AO53" i="9"/>
  <c r="AE53" i="9"/>
  <c r="AG53" i="9" s="1"/>
  <c r="AJ53" i="9" s="1"/>
  <c r="C53" i="9"/>
  <c r="BY52" i="9"/>
  <c r="AO52" i="9"/>
  <c r="AE52" i="9"/>
  <c r="AG52" i="9" s="1"/>
  <c r="AJ52" i="9" s="1"/>
  <c r="C52" i="9"/>
  <c r="BY51" i="9"/>
  <c r="AO51" i="9"/>
  <c r="AE51" i="9"/>
  <c r="AG51" i="9" s="1"/>
  <c r="AJ51" i="9" s="1"/>
  <c r="C51" i="9"/>
  <c r="BY50" i="9"/>
  <c r="AO50" i="9"/>
  <c r="AE50" i="9"/>
  <c r="AG50" i="9" s="1"/>
  <c r="C50" i="9"/>
  <c r="BY49" i="9"/>
  <c r="AO49" i="9"/>
  <c r="AE49" i="9"/>
  <c r="AG49" i="9" s="1"/>
  <c r="AJ49" i="9" s="1"/>
  <c r="C49" i="9"/>
  <c r="BY48" i="9"/>
  <c r="AO48" i="9"/>
  <c r="AE48" i="9"/>
  <c r="AG48" i="9" s="1"/>
  <c r="AJ48" i="9" s="1"/>
  <c r="C48" i="9"/>
  <c r="BY47" i="9"/>
  <c r="AO47" i="9"/>
  <c r="AE47" i="9"/>
  <c r="AG47" i="9" s="1"/>
  <c r="AJ47" i="9" s="1"/>
  <c r="C47" i="9"/>
  <c r="BY46" i="9"/>
  <c r="AO46" i="9"/>
  <c r="AE46" i="9"/>
  <c r="AG46" i="9" s="1"/>
  <c r="AJ46" i="9" s="1"/>
  <c r="C46" i="9"/>
  <c r="BY45" i="9"/>
  <c r="AO45" i="9"/>
  <c r="AE45" i="9"/>
  <c r="AG45" i="9" s="1"/>
  <c r="AJ45" i="9" s="1"/>
  <c r="C45" i="9"/>
  <c r="BY44" i="9"/>
  <c r="AO44" i="9"/>
  <c r="AE44" i="9"/>
  <c r="AG44" i="9" s="1"/>
  <c r="AJ44" i="9" s="1"/>
  <c r="C44" i="9"/>
  <c r="BY43" i="9"/>
  <c r="AO43" i="9"/>
  <c r="AE43" i="9"/>
  <c r="AG43" i="9" s="1"/>
  <c r="C43" i="9"/>
  <c r="BY42" i="9"/>
  <c r="AO42" i="9"/>
  <c r="AE42" i="9"/>
  <c r="AG42" i="9" s="1"/>
  <c r="AJ42" i="9" s="1"/>
  <c r="C42" i="9"/>
  <c r="BY41" i="9"/>
  <c r="AO41" i="9"/>
  <c r="AE41" i="9"/>
  <c r="AG41" i="9" s="1"/>
  <c r="AJ41" i="9" s="1"/>
  <c r="C41" i="9"/>
  <c r="BY40" i="9"/>
  <c r="AO40" i="9"/>
  <c r="AE40" i="9"/>
  <c r="AG40" i="9" s="1"/>
  <c r="AJ40" i="9" s="1"/>
  <c r="C40" i="9"/>
  <c r="BY39" i="9"/>
  <c r="AO39" i="9"/>
  <c r="AE39" i="9"/>
  <c r="AG39" i="9" s="1"/>
  <c r="AJ39" i="9" s="1"/>
  <c r="C39" i="9"/>
  <c r="BY38" i="9"/>
  <c r="AO38" i="9"/>
  <c r="AE38" i="9"/>
  <c r="AG38" i="9" s="1"/>
  <c r="AJ38" i="9" s="1"/>
  <c r="C38" i="9"/>
  <c r="BY37" i="9"/>
  <c r="AO37" i="9"/>
  <c r="AE37" i="9"/>
  <c r="AG37" i="9" s="1"/>
  <c r="AJ37" i="9" s="1"/>
  <c r="C37" i="9"/>
  <c r="BY36" i="9"/>
  <c r="AO36" i="9"/>
  <c r="AE36" i="9"/>
  <c r="AG36" i="9" s="1"/>
  <c r="AJ36" i="9" s="1"/>
  <c r="C36" i="9"/>
  <c r="BY35" i="9"/>
  <c r="AO35" i="9"/>
  <c r="AE35" i="9"/>
  <c r="AG35" i="9" s="1"/>
  <c r="AJ35" i="9" s="1"/>
  <c r="C35" i="9"/>
  <c r="BY34" i="9"/>
  <c r="AO34" i="9"/>
  <c r="AE34" i="9"/>
  <c r="AG34" i="9" s="1"/>
  <c r="AJ34" i="9" s="1"/>
  <c r="C34" i="9"/>
  <c r="BY33" i="9"/>
  <c r="AO33" i="9"/>
  <c r="AE33" i="9"/>
  <c r="AG33" i="9" s="1"/>
  <c r="AJ33" i="9" s="1"/>
  <c r="C33" i="9"/>
  <c r="BY32" i="9"/>
  <c r="AO32" i="9"/>
  <c r="AE32" i="9"/>
  <c r="AG32" i="9" s="1"/>
  <c r="AJ32" i="9" s="1"/>
  <c r="C32" i="9"/>
  <c r="BY31" i="9"/>
  <c r="AO31" i="9"/>
  <c r="AE31" i="9"/>
  <c r="AG31" i="9" s="1"/>
  <c r="AJ31" i="9" s="1"/>
  <c r="C31" i="9"/>
  <c r="BY30" i="9"/>
  <c r="AO30" i="9"/>
  <c r="AE30" i="9"/>
  <c r="AG30" i="9" s="1"/>
  <c r="AJ30" i="9" s="1"/>
  <c r="C30" i="9"/>
  <c r="BY29" i="9"/>
  <c r="AO29" i="9"/>
  <c r="AE29" i="9"/>
  <c r="AG29" i="9" s="1"/>
  <c r="AJ29" i="9" s="1"/>
  <c r="C29" i="9"/>
  <c r="BY28" i="9"/>
  <c r="AO28" i="9"/>
  <c r="AE28" i="9"/>
  <c r="AG28" i="9" s="1"/>
  <c r="C28" i="9"/>
  <c r="BY27" i="9"/>
  <c r="AO27" i="9"/>
  <c r="AE27" i="9"/>
  <c r="AG27" i="9" s="1"/>
  <c r="AJ27" i="9" s="1"/>
  <c r="C27" i="9"/>
  <c r="BY26" i="9"/>
  <c r="AO26" i="9"/>
  <c r="AE26" i="9"/>
  <c r="AG26" i="9" s="1"/>
  <c r="AJ26" i="9" s="1"/>
  <c r="C26" i="9"/>
  <c r="BY25" i="9"/>
  <c r="AO25" i="9"/>
  <c r="AE25" i="9"/>
  <c r="AG25" i="9" s="1"/>
  <c r="AJ25" i="9" s="1"/>
  <c r="C25" i="9"/>
  <c r="BY24" i="9"/>
  <c r="AO24" i="9"/>
  <c r="AE24" i="9"/>
  <c r="AG24" i="9" s="1"/>
  <c r="AJ24" i="9" s="1"/>
  <c r="C24" i="9"/>
  <c r="BY23" i="9"/>
  <c r="AO23" i="9"/>
  <c r="AE23" i="9"/>
  <c r="AG23" i="9" s="1"/>
  <c r="AJ23" i="9" s="1"/>
  <c r="C23" i="9"/>
  <c r="BY22" i="9"/>
  <c r="AO22" i="9"/>
  <c r="AE22" i="9"/>
  <c r="AG22" i="9" s="1"/>
  <c r="AJ22" i="9" s="1"/>
  <c r="C22" i="9"/>
  <c r="BY21" i="9"/>
  <c r="AO21" i="9"/>
  <c r="AE21" i="9"/>
  <c r="AG21" i="9" s="1"/>
  <c r="AJ21" i="9" s="1"/>
  <c r="C21" i="9"/>
  <c r="BY20" i="9"/>
  <c r="AO20" i="9"/>
  <c r="AE20" i="9"/>
  <c r="AG20" i="9" s="1"/>
  <c r="AJ20" i="9" s="1"/>
  <c r="C20" i="9"/>
  <c r="BY19" i="9"/>
  <c r="AO19" i="9"/>
  <c r="AE19" i="9"/>
  <c r="AG19" i="9" s="1"/>
  <c r="AJ19" i="9" s="1"/>
  <c r="C19" i="9"/>
  <c r="BY18" i="9"/>
  <c r="AO18" i="9"/>
  <c r="AE18" i="9"/>
  <c r="AG18" i="9" s="1"/>
  <c r="AJ18" i="9" s="1"/>
  <c r="C18" i="9"/>
  <c r="BY17" i="9"/>
  <c r="AO17" i="9"/>
  <c r="AE17" i="9"/>
  <c r="AG17" i="9" s="1"/>
  <c r="AJ17" i="9" s="1"/>
  <c r="C17" i="9"/>
  <c r="BY16" i="9"/>
  <c r="AO16" i="9"/>
  <c r="AE16" i="9"/>
  <c r="AG16" i="9" s="1"/>
  <c r="AJ16" i="9" s="1"/>
  <c r="C16" i="9"/>
  <c r="BY15" i="9"/>
  <c r="AO15" i="9"/>
  <c r="AE15" i="9"/>
  <c r="AG15" i="9" s="1"/>
  <c r="AJ15" i="9" s="1"/>
  <c r="C15" i="9"/>
  <c r="BY14" i="9"/>
  <c r="AO14" i="9"/>
  <c r="AE14" i="9"/>
  <c r="AG14" i="9" s="1"/>
  <c r="AJ14" i="9" s="1"/>
  <c r="C14" i="9"/>
  <c r="BY13" i="9"/>
  <c r="AO13" i="9"/>
  <c r="AE13" i="9"/>
  <c r="AG13" i="9" s="1"/>
  <c r="AJ13" i="9" s="1"/>
  <c r="C13" i="9"/>
  <c r="BY12" i="9"/>
  <c r="AO12" i="9"/>
  <c r="AE12" i="9"/>
  <c r="AG12" i="9" s="1"/>
  <c r="AJ12" i="9" s="1"/>
  <c r="C12" i="9"/>
  <c r="BY11" i="9"/>
  <c r="AO11" i="9"/>
  <c r="AE11" i="9"/>
  <c r="AG11" i="9" s="1"/>
  <c r="AJ11" i="9" s="1"/>
  <c r="C11" i="9"/>
  <c r="BY10" i="9"/>
  <c r="AO10" i="9"/>
  <c r="AE10" i="9"/>
  <c r="AG10" i="9" s="1"/>
  <c r="AJ10" i="9" s="1"/>
  <c r="C10" i="9"/>
  <c r="BY9" i="9"/>
  <c r="AO9" i="9"/>
  <c r="AE9" i="9"/>
  <c r="AG9" i="9" s="1"/>
  <c r="AJ9" i="9" s="1"/>
  <c r="C9" i="9"/>
  <c r="BY8" i="9"/>
  <c r="AO8" i="9"/>
  <c r="AE8" i="9"/>
  <c r="AG8" i="9" s="1"/>
  <c r="AJ8" i="9" s="1"/>
  <c r="C8" i="9"/>
  <c r="BY7" i="9"/>
  <c r="AO7" i="9"/>
  <c r="AE7" i="9"/>
  <c r="AG7" i="9" s="1"/>
  <c r="AJ7" i="9" s="1"/>
  <c r="C7" i="9"/>
  <c r="BY6" i="9"/>
  <c r="AO6" i="9"/>
  <c r="AE6" i="9"/>
  <c r="AG6" i="9" s="1"/>
  <c r="AJ6" i="9" s="1"/>
  <c r="C6" i="9"/>
  <c r="BY5" i="9"/>
  <c r="AO5" i="9"/>
  <c r="AE5" i="9"/>
  <c r="AG5" i="9" s="1"/>
  <c r="AJ5" i="9" s="1"/>
  <c r="C5" i="9"/>
  <c r="BS2" i="9"/>
  <c r="BR2" i="9"/>
  <c r="BQ2" i="9"/>
  <c r="BP2" i="9"/>
  <c r="BO2" i="9"/>
  <c r="BN2" i="9"/>
  <c r="BM2" i="9"/>
  <c r="BL2" i="9"/>
  <c r="BK2" i="9"/>
  <c r="BJ2" i="9"/>
  <c r="BI2" i="9"/>
  <c r="BH2" i="9"/>
  <c r="BG2" i="9"/>
  <c r="BF2" i="9"/>
  <c r="BE2" i="9"/>
  <c r="BD2" i="9"/>
  <c r="BC2" i="9"/>
  <c r="BB2" i="9"/>
  <c r="BA2" i="9"/>
  <c r="AZ2" i="9"/>
  <c r="AY2" i="9"/>
  <c r="AX2" i="9"/>
  <c r="AW2" i="9"/>
  <c r="AV2" i="9"/>
  <c r="AU2" i="9"/>
  <c r="AT2" i="9"/>
  <c r="AS2" i="9"/>
  <c r="AN3" i="9"/>
  <c r="AM3" i="9"/>
  <c r="AL3" i="9"/>
  <c r="AK3" i="9"/>
  <c r="AI3" i="9"/>
  <c r="AH3" i="9"/>
  <c r="AF3" i="9"/>
  <c r="AD3" i="9"/>
  <c r="AC3" i="9"/>
  <c r="AB3" i="9"/>
  <c r="AA3" i="9"/>
  <c r="Z3" i="9"/>
  <c r="Y3" i="9"/>
  <c r="X3" i="9"/>
  <c r="BU147" i="9" l="1"/>
  <c r="BU15" i="9"/>
  <c r="BU204" i="9"/>
  <c r="BU123" i="9"/>
  <c r="BU133" i="9"/>
  <c r="BU143" i="9"/>
  <c r="BU153" i="9"/>
  <c r="BU163" i="9"/>
  <c r="BU173" i="9"/>
  <c r="BU183" i="9"/>
  <c r="BU193" i="9"/>
  <c r="BU203" i="9"/>
  <c r="BU62" i="9"/>
  <c r="BU82" i="9"/>
  <c r="BU92" i="9"/>
  <c r="BU152" i="9"/>
  <c r="BU162" i="9"/>
  <c r="BU172" i="9"/>
  <c r="BU182" i="9"/>
  <c r="BU192" i="9"/>
  <c r="BU202" i="9"/>
  <c r="BU104" i="9"/>
  <c r="BU114" i="9"/>
  <c r="BU124" i="9"/>
  <c r="BU134" i="9"/>
  <c r="BU144" i="9"/>
  <c r="BU154" i="9"/>
  <c r="BU164" i="9"/>
  <c r="BU174" i="9"/>
  <c r="BU184" i="9"/>
  <c r="BU194" i="9"/>
  <c r="BU75" i="9"/>
  <c r="BU56" i="9"/>
  <c r="BU66" i="9"/>
  <c r="BU129" i="9"/>
  <c r="BU139" i="9"/>
  <c r="BU149" i="9"/>
  <c r="BU159" i="9"/>
  <c r="BU169" i="9"/>
  <c r="BU179" i="9"/>
  <c r="BU189" i="9"/>
  <c r="BU199" i="9"/>
  <c r="BU209" i="9"/>
  <c r="BU122" i="9"/>
  <c r="BU22" i="9"/>
  <c r="BU14" i="9"/>
  <c r="BU24" i="9"/>
  <c r="BU34" i="9"/>
  <c r="BU44" i="9"/>
  <c r="BU85" i="9"/>
  <c r="BU95" i="9"/>
  <c r="BU105" i="9"/>
  <c r="BU115" i="9"/>
  <c r="BU76" i="9"/>
  <c r="BU72" i="9"/>
  <c r="BU27" i="9"/>
  <c r="BU37" i="9"/>
  <c r="BU47" i="9"/>
  <c r="BU57" i="9"/>
  <c r="BU67" i="9"/>
  <c r="BU77" i="9"/>
  <c r="BU87" i="9"/>
  <c r="BU97" i="9"/>
  <c r="BU107" i="9"/>
  <c r="BU117" i="9"/>
  <c r="BU127" i="9"/>
  <c r="BU137" i="9"/>
  <c r="BU148" i="9"/>
  <c r="BU158" i="9"/>
  <c r="BU168" i="9"/>
  <c r="BU178" i="9"/>
  <c r="BU188" i="9"/>
  <c r="BU198" i="9"/>
  <c r="BU208" i="9"/>
  <c r="BU9" i="9"/>
  <c r="BU19" i="9"/>
  <c r="BU29" i="9"/>
  <c r="BU39" i="9"/>
  <c r="BU49" i="9"/>
  <c r="BU79" i="9"/>
  <c r="BU10" i="9"/>
  <c r="BU20" i="9"/>
  <c r="BU30" i="9"/>
  <c r="BU40" i="9"/>
  <c r="BU100" i="9"/>
  <c r="BU110" i="9"/>
  <c r="BU120" i="9"/>
  <c r="BU48" i="9"/>
  <c r="BU58" i="9"/>
  <c r="BU68" i="9"/>
  <c r="BU106" i="9"/>
  <c r="BU116" i="9"/>
  <c r="BU125" i="9"/>
  <c r="BU135" i="9"/>
  <c r="BU145" i="9"/>
  <c r="BU11" i="9"/>
  <c r="BU21" i="9"/>
  <c r="BU59" i="9"/>
  <c r="BU69" i="9"/>
  <c r="BU78" i="9"/>
  <c r="BU88" i="9"/>
  <c r="BU126" i="9"/>
  <c r="BU136" i="9"/>
  <c r="BU146" i="9"/>
  <c r="BU155" i="9"/>
  <c r="BU165" i="9"/>
  <c r="BU175" i="9"/>
  <c r="BU185" i="9"/>
  <c r="BU195" i="9"/>
  <c r="BU205" i="9"/>
  <c r="BU12" i="9"/>
  <c r="BU31" i="9"/>
  <c r="BU41" i="9"/>
  <c r="BU50" i="9"/>
  <c r="BU60" i="9"/>
  <c r="BU70" i="9"/>
  <c r="BU89" i="9"/>
  <c r="BU98" i="9"/>
  <c r="BU108" i="9"/>
  <c r="BU118" i="9"/>
  <c r="BU156" i="9"/>
  <c r="BU166" i="9"/>
  <c r="BU176" i="9"/>
  <c r="BU186" i="9"/>
  <c r="BU196" i="9"/>
  <c r="BU206" i="9"/>
  <c r="BU13" i="9"/>
  <c r="BU32" i="9"/>
  <c r="BU42" i="9"/>
  <c r="BU51" i="9"/>
  <c r="BU61" i="9"/>
  <c r="BU71" i="9"/>
  <c r="BU80" i="9"/>
  <c r="BU90" i="9"/>
  <c r="BU99" i="9"/>
  <c r="BU109" i="9"/>
  <c r="BU119" i="9"/>
  <c r="BU128" i="9"/>
  <c r="BU138" i="9"/>
  <c r="BU157" i="9"/>
  <c r="BU167" i="9"/>
  <c r="BU177" i="9"/>
  <c r="BU187" i="9"/>
  <c r="BU197" i="9"/>
  <c r="BU207" i="9"/>
  <c r="BU18" i="9"/>
  <c r="BU38" i="9"/>
  <c r="BU96" i="9"/>
  <c r="BU43" i="9"/>
  <c r="BU81" i="9"/>
  <c r="BU53" i="9"/>
  <c r="BU63" i="9"/>
  <c r="BU101" i="9"/>
  <c r="BU111" i="9"/>
  <c r="BU121" i="9"/>
  <c r="BU130" i="9"/>
  <c r="BU140" i="9"/>
  <c r="BU6" i="9"/>
  <c r="BU16" i="9"/>
  <c r="BU25" i="9"/>
  <c r="BU35" i="9"/>
  <c r="BU45" i="9"/>
  <c r="BU54" i="9"/>
  <c r="BU64" i="9"/>
  <c r="BU73" i="9"/>
  <c r="BU83" i="9"/>
  <c r="BU93" i="9"/>
  <c r="BU102" i="9"/>
  <c r="BU112" i="9"/>
  <c r="BU131" i="9"/>
  <c r="BU141" i="9"/>
  <c r="BU150" i="9"/>
  <c r="BU160" i="9"/>
  <c r="BU170" i="9"/>
  <c r="BU180" i="9"/>
  <c r="BU190" i="9"/>
  <c r="BU200" i="9"/>
  <c r="BU210" i="9"/>
  <c r="BU8" i="9"/>
  <c r="BU28" i="9"/>
  <c r="BU86" i="9"/>
  <c r="BU23" i="9"/>
  <c r="BU33" i="9"/>
  <c r="BU52" i="9"/>
  <c r="BU91" i="9"/>
  <c r="BU7" i="9"/>
  <c r="BU17" i="9"/>
  <c r="BU26" i="9"/>
  <c r="BU36" i="9"/>
  <c r="BU46" i="9"/>
  <c r="BU55" i="9"/>
  <c r="BU65" i="9"/>
  <c r="BU74" i="9"/>
  <c r="BU84" i="9"/>
  <c r="BU94" i="9"/>
  <c r="BU103" i="9"/>
  <c r="BU113" i="9"/>
  <c r="BU132" i="9"/>
  <c r="BU142" i="9"/>
  <c r="BU151" i="9"/>
  <c r="BU161" i="9"/>
  <c r="BU171" i="9"/>
  <c r="BU181" i="9"/>
  <c r="BU191" i="9"/>
  <c r="BU201" i="9"/>
  <c r="BU211" i="9"/>
  <c r="BT2" i="9"/>
  <c r="BU5" i="9"/>
  <c r="AG3" i="9"/>
  <c r="AJ3" i="9"/>
  <c r="AO3" i="9"/>
  <c r="AJ2" i="9" s="1"/>
  <c r="AE3" i="9"/>
  <c r="AH2" i="9" l="1"/>
  <c r="AR2" i="8" l="1"/>
  <c r="AS1" i="8"/>
  <c r="BW176" i="8"/>
  <c r="BW175" i="8"/>
  <c r="BW174" i="8"/>
  <c r="BW173" i="8"/>
  <c r="BW172" i="8"/>
  <c r="BW171" i="8"/>
  <c r="BW170" i="8"/>
  <c r="BW169" i="8"/>
  <c r="BW168" i="8"/>
  <c r="BW167" i="8"/>
  <c r="BW166" i="8"/>
  <c r="BW165" i="8"/>
  <c r="BW164" i="8"/>
  <c r="BW163" i="8"/>
  <c r="BW162" i="8"/>
  <c r="BW161" i="8"/>
  <c r="BW160" i="8"/>
  <c r="BW159" i="8"/>
  <c r="BW158" i="8"/>
  <c r="BW157" i="8"/>
  <c r="BW156" i="8"/>
  <c r="BW155" i="8"/>
  <c r="BW154" i="8"/>
  <c r="BW153" i="8"/>
  <c r="BW152" i="8"/>
  <c r="BW151" i="8"/>
  <c r="BW150" i="8"/>
  <c r="BW149" i="8"/>
  <c r="BW148" i="8"/>
  <c r="BW147" i="8"/>
  <c r="BW146" i="8"/>
  <c r="BW145" i="8"/>
  <c r="BW144" i="8"/>
  <c r="BW143" i="8"/>
  <c r="BW142" i="8"/>
  <c r="BW141" i="8"/>
  <c r="BW140" i="8"/>
  <c r="BW139" i="8"/>
  <c r="BW138" i="8"/>
  <c r="BW137" i="8"/>
  <c r="BW136" i="8"/>
  <c r="BW135" i="8"/>
  <c r="BW134" i="8"/>
  <c r="BW133" i="8"/>
  <c r="BW132" i="8"/>
  <c r="BW131" i="8"/>
  <c r="BW130" i="8"/>
  <c r="BW129" i="8"/>
  <c r="BW128" i="8"/>
  <c r="BW127" i="8"/>
  <c r="BW126" i="8"/>
  <c r="BW125" i="8"/>
  <c r="BW124" i="8"/>
  <c r="BW123" i="8"/>
  <c r="BW122" i="8"/>
  <c r="BW121" i="8"/>
  <c r="BW120" i="8"/>
  <c r="BW119" i="8"/>
  <c r="BW118" i="8"/>
  <c r="BW117" i="8"/>
  <c r="BW116" i="8"/>
  <c r="BW115" i="8"/>
  <c r="BW114" i="8"/>
  <c r="BW113" i="8"/>
  <c r="BW112" i="8"/>
  <c r="BW111" i="8"/>
  <c r="BW110" i="8"/>
  <c r="BW109" i="8"/>
  <c r="BW108" i="8"/>
  <c r="BW107" i="8"/>
  <c r="BW106" i="8"/>
  <c r="BW105" i="8"/>
  <c r="BW104" i="8"/>
  <c r="BW103" i="8"/>
  <c r="BW102" i="8"/>
  <c r="BW101" i="8"/>
  <c r="BW100" i="8"/>
  <c r="BW99" i="8"/>
  <c r="BW98" i="8"/>
  <c r="BW97" i="8"/>
  <c r="BW96" i="8"/>
  <c r="BW95" i="8"/>
  <c r="BW94" i="8"/>
  <c r="BW93" i="8"/>
  <c r="BW92" i="8"/>
  <c r="BW91" i="8"/>
  <c r="BW90" i="8"/>
  <c r="BW89" i="8"/>
  <c r="BW88" i="8"/>
  <c r="BW87" i="8"/>
  <c r="BW86" i="8"/>
  <c r="BW85" i="8"/>
  <c r="BW84" i="8"/>
  <c r="BW83" i="8"/>
  <c r="BW82" i="8"/>
  <c r="BW81" i="8"/>
  <c r="BW80" i="8"/>
  <c r="BW79" i="8"/>
  <c r="BW78" i="8"/>
  <c r="BW77" i="8"/>
  <c r="BW76" i="8"/>
  <c r="BW75" i="8"/>
  <c r="BW74" i="8"/>
  <c r="BW73" i="8"/>
  <c r="BW72" i="8"/>
  <c r="BW71" i="8"/>
  <c r="BW70" i="8"/>
  <c r="BW69" i="8"/>
  <c r="BW68" i="8"/>
  <c r="BW67" i="8"/>
  <c r="BW66" i="8"/>
  <c r="BW65" i="8"/>
  <c r="BW64" i="8"/>
  <c r="BW63" i="8"/>
  <c r="BW62" i="8"/>
  <c r="BW61" i="8"/>
  <c r="BW60" i="8"/>
  <c r="BW59" i="8"/>
  <c r="BW58" i="8"/>
  <c r="BW57" i="8"/>
  <c r="BW56" i="8"/>
  <c r="BW55" i="8"/>
  <c r="BW54" i="8"/>
  <c r="BW53" i="8"/>
  <c r="BW52" i="8"/>
  <c r="BW51" i="8"/>
  <c r="BW50" i="8"/>
  <c r="BW49" i="8"/>
  <c r="BW48" i="8"/>
  <c r="BW47" i="8"/>
  <c r="BW46" i="8"/>
  <c r="BW45" i="8"/>
  <c r="BW44" i="8"/>
  <c r="BW43" i="8"/>
  <c r="BW42" i="8"/>
  <c r="BW41" i="8"/>
  <c r="BW40" i="8"/>
  <c r="BW39" i="8"/>
  <c r="BW38" i="8"/>
  <c r="BW37" i="8"/>
  <c r="BW36" i="8"/>
  <c r="BW35" i="8"/>
  <c r="BW34" i="8"/>
  <c r="BW33" i="8"/>
  <c r="BW32" i="8"/>
  <c r="BW31" i="8"/>
  <c r="BW30" i="8"/>
  <c r="BW29" i="8"/>
  <c r="BW28" i="8"/>
  <c r="BW27" i="8"/>
  <c r="BW26" i="8"/>
  <c r="BW25" i="8"/>
  <c r="BW24" i="8"/>
  <c r="BW23" i="8"/>
  <c r="BW22" i="8"/>
  <c r="BW21" i="8"/>
  <c r="BW20" i="8"/>
  <c r="BW19" i="8"/>
  <c r="BW18" i="8"/>
  <c r="BW17" i="8"/>
  <c r="BW16" i="8"/>
  <c r="BW15" i="8"/>
  <c r="BW14" i="8"/>
  <c r="BW13" i="8"/>
  <c r="BW12" i="8"/>
  <c r="BW11" i="8"/>
  <c r="BW10" i="8"/>
  <c r="BW9" i="8"/>
  <c r="BW8" i="8"/>
  <c r="BW7" i="8"/>
  <c r="BW6" i="8"/>
  <c r="BW5" i="8"/>
  <c r="BW4" i="8"/>
  <c r="AX2" i="8"/>
  <c r="AY2" i="8" s="1"/>
  <c r="AZ2" i="8" s="1"/>
  <c r="BB2" i="8" s="1"/>
  <c r="BE2" i="8" s="1"/>
  <c r="BF2" i="8" s="1"/>
  <c r="BG2" i="8" s="1"/>
  <c r="BI2" i="8" s="1"/>
  <c r="BL2" i="8" s="1"/>
  <c r="BM2" i="8" s="1"/>
  <c r="BN2" i="8" s="1"/>
  <c r="BP2" i="8" s="1"/>
  <c r="BS2" i="8" s="1"/>
  <c r="BT2" i="8" s="1"/>
  <c r="BU2" i="8" s="1"/>
  <c r="BV2" i="8" s="1"/>
  <c r="AU2" i="8"/>
  <c r="CB176" i="8"/>
  <c r="AQ176" i="8"/>
  <c r="AE176" i="8"/>
  <c r="AG176" i="8" s="1"/>
  <c r="AL176" i="8" s="1"/>
  <c r="C176" i="8"/>
  <c r="CB175" i="8"/>
  <c r="AQ175" i="8"/>
  <c r="AE175" i="8"/>
  <c r="AG175" i="8" s="1"/>
  <c r="AL175" i="8" s="1"/>
  <c r="C175" i="8"/>
  <c r="CB174" i="8"/>
  <c r="AQ174" i="8"/>
  <c r="AE174" i="8"/>
  <c r="AG174" i="8" s="1"/>
  <c r="AL174" i="8" s="1"/>
  <c r="C174" i="8"/>
  <c r="CB173" i="8"/>
  <c r="AQ173" i="8"/>
  <c r="AE173" i="8"/>
  <c r="AG173" i="8" s="1"/>
  <c r="AL173" i="8" s="1"/>
  <c r="C173" i="8"/>
  <c r="CB172" i="8"/>
  <c r="AQ172" i="8"/>
  <c r="AE172" i="8"/>
  <c r="AG172" i="8" s="1"/>
  <c r="AL172" i="8" s="1"/>
  <c r="C172" i="8"/>
  <c r="CB171" i="8"/>
  <c r="AQ171" i="8"/>
  <c r="AE171" i="8"/>
  <c r="AG171" i="8" s="1"/>
  <c r="AL171" i="8" s="1"/>
  <c r="C171" i="8"/>
  <c r="CB170" i="8"/>
  <c r="AQ170" i="8"/>
  <c r="AE170" i="8"/>
  <c r="AG170" i="8" s="1"/>
  <c r="AL170" i="8" s="1"/>
  <c r="C170" i="8"/>
  <c r="CB169" i="8"/>
  <c r="AQ169" i="8"/>
  <c r="AE169" i="8"/>
  <c r="AG169" i="8" s="1"/>
  <c r="AL169" i="8" s="1"/>
  <c r="C169" i="8"/>
  <c r="CB168" i="8"/>
  <c r="AQ168" i="8"/>
  <c r="AE168" i="8"/>
  <c r="AG168" i="8" s="1"/>
  <c r="AL168" i="8" s="1"/>
  <c r="C168" i="8"/>
  <c r="CB167" i="8"/>
  <c r="AQ167" i="8"/>
  <c r="BX167" i="8" s="1"/>
  <c r="AE167" i="8"/>
  <c r="AG167" i="8" s="1"/>
  <c r="AL167" i="8" s="1"/>
  <c r="C167" i="8"/>
  <c r="CB166" i="8"/>
  <c r="AQ166" i="8"/>
  <c r="AE166" i="8"/>
  <c r="AG166" i="8" s="1"/>
  <c r="AL166" i="8" s="1"/>
  <c r="C166" i="8"/>
  <c r="CB165" i="8"/>
  <c r="AQ165" i="8"/>
  <c r="AE165" i="8"/>
  <c r="AG165" i="8" s="1"/>
  <c r="AL165" i="8" s="1"/>
  <c r="C165" i="8"/>
  <c r="CB164" i="8"/>
  <c r="AQ164" i="8"/>
  <c r="AE164" i="8"/>
  <c r="AG164" i="8" s="1"/>
  <c r="AL164" i="8" s="1"/>
  <c r="C164" i="8"/>
  <c r="CB163" i="8"/>
  <c r="AQ163" i="8"/>
  <c r="AE163" i="8"/>
  <c r="AG163" i="8" s="1"/>
  <c r="AL163" i="8" s="1"/>
  <c r="C163" i="8"/>
  <c r="CB162" i="8"/>
  <c r="AQ162" i="8"/>
  <c r="AE162" i="8"/>
  <c r="AG162" i="8" s="1"/>
  <c r="AL162" i="8" s="1"/>
  <c r="C162" i="8"/>
  <c r="CB161" i="8"/>
  <c r="AQ161" i="8"/>
  <c r="AE161" i="8"/>
  <c r="AG161" i="8" s="1"/>
  <c r="AL161" i="8" s="1"/>
  <c r="C161" i="8"/>
  <c r="CB160" i="8"/>
  <c r="AQ160" i="8"/>
  <c r="AE160" i="8"/>
  <c r="AG160" i="8" s="1"/>
  <c r="AL160" i="8" s="1"/>
  <c r="C160" i="8"/>
  <c r="CB159" i="8"/>
  <c r="AQ159" i="8"/>
  <c r="AE159" i="8"/>
  <c r="AG159" i="8" s="1"/>
  <c r="AL159" i="8" s="1"/>
  <c r="C159" i="8"/>
  <c r="CB158" i="8"/>
  <c r="AQ158" i="8"/>
  <c r="AE158" i="8"/>
  <c r="AG158" i="8" s="1"/>
  <c r="AL158" i="8" s="1"/>
  <c r="C158" i="8"/>
  <c r="CB157" i="8"/>
  <c r="AQ157" i="8"/>
  <c r="AE157" i="8"/>
  <c r="AG157" i="8" s="1"/>
  <c r="AL157" i="8" s="1"/>
  <c r="C157" i="8"/>
  <c r="CB156" i="8"/>
  <c r="AQ156" i="8"/>
  <c r="AE156" i="8"/>
  <c r="AG156" i="8" s="1"/>
  <c r="AL156" i="8" s="1"/>
  <c r="C156" i="8"/>
  <c r="CB155" i="8"/>
  <c r="AQ155" i="8"/>
  <c r="AE155" i="8"/>
  <c r="AG155" i="8" s="1"/>
  <c r="AL155" i="8" s="1"/>
  <c r="C155" i="8"/>
  <c r="CB154" i="8"/>
  <c r="AQ154" i="8"/>
  <c r="AE154" i="8"/>
  <c r="AG154" i="8" s="1"/>
  <c r="AL154" i="8" s="1"/>
  <c r="C154" i="8"/>
  <c r="CB153" i="8"/>
  <c r="AQ153" i="8"/>
  <c r="AE153" i="8"/>
  <c r="AG153" i="8" s="1"/>
  <c r="AL153" i="8" s="1"/>
  <c r="C153" i="8"/>
  <c r="CB152" i="8"/>
  <c r="AQ152" i="8"/>
  <c r="AE152" i="8"/>
  <c r="AG152" i="8" s="1"/>
  <c r="AL152" i="8" s="1"/>
  <c r="C152" i="8"/>
  <c r="CB151" i="8"/>
  <c r="AQ151" i="8"/>
  <c r="AE151" i="8"/>
  <c r="AG151" i="8" s="1"/>
  <c r="AL151" i="8" s="1"/>
  <c r="C151" i="8"/>
  <c r="CB150" i="8"/>
  <c r="AQ150" i="8"/>
  <c r="AE150" i="8"/>
  <c r="AG150" i="8" s="1"/>
  <c r="AL150" i="8" s="1"/>
  <c r="C150" i="8"/>
  <c r="CB149" i="8"/>
  <c r="AQ149" i="8"/>
  <c r="AE149" i="8"/>
  <c r="AG149" i="8" s="1"/>
  <c r="AL149" i="8" s="1"/>
  <c r="C149" i="8"/>
  <c r="CB148" i="8"/>
  <c r="AQ148" i="8"/>
  <c r="AE148" i="8"/>
  <c r="AG148" i="8" s="1"/>
  <c r="AL148" i="8" s="1"/>
  <c r="C148" i="8"/>
  <c r="CB147" i="8"/>
  <c r="AQ147" i="8"/>
  <c r="AE147" i="8"/>
  <c r="AG147" i="8" s="1"/>
  <c r="AL147" i="8" s="1"/>
  <c r="C147" i="8"/>
  <c r="CB146" i="8"/>
  <c r="AQ146" i="8"/>
  <c r="AE146" i="8"/>
  <c r="AG146" i="8" s="1"/>
  <c r="AL146" i="8" s="1"/>
  <c r="C146" i="8"/>
  <c r="CB145" i="8"/>
  <c r="AQ145" i="8"/>
  <c r="AE145" i="8"/>
  <c r="AG145" i="8" s="1"/>
  <c r="AL145" i="8" s="1"/>
  <c r="C145" i="8"/>
  <c r="CB144" i="8"/>
  <c r="AQ144" i="8"/>
  <c r="AE144" i="8"/>
  <c r="AG144" i="8" s="1"/>
  <c r="AL144" i="8" s="1"/>
  <c r="C144" i="8"/>
  <c r="CB143" i="8"/>
  <c r="AQ143" i="8"/>
  <c r="AE143" i="8"/>
  <c r="AG143" i="8" s="1"/>
  <c r="AL143" i="8" s="1"/>
  <c r="C143" i="8"/>
  <c r="CB142" i="8"/>
  <c r="AQ142" i="8"/>
  <c r="AE142" i="8"/>
  <c r="AG142" i="8" s="1"/>
  <c r="C142" i="8"/>
  <c r="CB141" i="8"/>
  <c r="AQ141" i="8"/>
  <c r="AE141" i="8"/>
  <c r="AG141" i="8" s="1"/>
  <c r="AL141" i="8" s="1"/>
  <c r="C141" i="8"/>
  <c r="CB140" i="8"/>
  <c r="AQ140" i="8"/>
  <c r="AE140" i="8"/>
  <c r="AG140" i="8" s="1"/>
  <c r="AL140" i="8" s="1"/>
  <c r="C140" i="8"/>
  <c r="CB139" i="8"/>
  <c r="AQ139" i="8"/>
  <c r="AE139" i="8"/>
  <c r="AG139" i="8" s="1"/>
  <c r="AL139" i="8" s="1"/>
  <c r="C139" i="8"/>
  <c r="CB138" i="8"/>
  <c r="AQ138" i="8"/>
  <c r="AE138" i="8"/>
  <c r="AG138" i="8" s="1"/>
  <c r="AL138" i="8" s="1"/>
  <c r="C138" i="8"/>
  <c r="CB137" i="8"/>
  <c r="AQ137" i="8"/>
  <c r="AE137" i="8"/>
  <c r="AG137" i="8" s="1"/>
  <c r="AL137" i="8" s="1"/>
  <c r="C137" i="8"/>
  <c r="CB136" i="8"/>
  <c r="AQ136" i="8"/>
  <c r="AE136" i="8"/>
  <c r="AG136" i="8" s="1"/>
  <c r="AL136" i="8" s="1"/>
  <c r="C136" i="8"/>
  <c r="CB135" i="8"/>
  <c r="AQ135" i="8"/>
  <c r="AE135" i="8"/>
  <c r="AG135" i="8" s="1"/>
  <c r="AL135" i="8" s="1"/>
  <c r="C135" i="8"/>
  <c r="CB134" i="8"/>
  <c r="AQ134" i="8"/>
  <c r="AE134" i="8"/>
  <c r="AG134" i="8" s="1"/>
  <c r="AL134" i="8" s="1"/>
  <c r="C134" i="8"/>
  <c r="CB133" i="8"/>
  <c r="AQ133" i="8"/>
  <c r="AE133" i="8"/>
  <c r="AG133" i="8" s="1"/>
  <c r="AL133" i="8" s="1"/>
  <c r="C133" i="8"/>
  <c r="CB132" i="8"/>
  <c r="AQ132" i="8"/>
  <c r="AE132" i="8"/>
  <c r="AG132" i="8" s="1"/>
  <c r="AL132" i="8" s="1"/>
  <c r="C132" i="8"/>
  <c r="CB131" i="8"/>
  <c r="AQ131" i="8"/>
  <c r="AE131" i="8"/>
  <c r="AG131" i="8" s="1"/>
  <c r="AL131" i="8" s="1"/>
  <c r="C131" i="8"/>
  <c r="CB130" i="8"/>
  <c r="AQ130" i="8"/>
  <c r="AE130" i="8"/>
  <c r="AG130" i="8" s="1"/>
  <c r="AL130" i="8" s="1"/>
  <c r="C130" i="8"/>
  <c r="CB129" i="8"/>
  <c r="AQ129" i="8"/>
  <c r="AE129" i="8"/>
  <c r="AG129" i="8" s="1"/>
  <c r="AL129" i="8" s="1"/>
  <c r="C129" i="8"/>
  <c r="CB128" i="8"/>
  <c r="AQ128" i="8"/>
  <c r="AE128" i="8"/>
  <c r="AG128" i="8" s="1"/>
  <c r="AL128" i="8" s="1"/>
  <c r="C128" i="8"/>
  <c r="CB127" i="8"/>
  <c r="AQ127" i="8"/>
  <c r="BX127" i="8" s="1"/>
  <c r="AE127" i="8"/>
  <c r="AG127" i="8" s="1"/>
  <c r="AL127" i="8" s="1"/>
  <c r="C127" i="8"/>
  <c r="CB126" i="8"/>
  <c r="AQ126" i="8"/>
  <c r="AE126" i="8"/>
  <c r="AG126" i="8" s="1"/>
  <c r="AL126" i="8" s="1"/>
  <c r="C126" i="8"/>
  <c r="CB125" i="8"/>
  <c r="AQ125" i="8"/>
  <c r="AE125" i="8"/>
  <c r="AG125" i="8" s="1"/>
  <c r="AL125" i="8" s="1"/>
  <c r="C125" i="8"/>
  <c r="CB124" i="8"/>
  <c r="AQ124" i="8"/>
  <c r="AE124" i="8"/>
  <c r="AG124" i="8" s="1"/>
  <c r="AL124" i="8" s="1"/>
  <c r="C124" i="8"/>
  <c r="CB123" i="8"/>
  <c r="AQ123" i="8"/>
  <c r="AE123" i="8"/>
  <c r="AG123" i="8" s="1"/>
  <c r="AL123" i="8" s="1"/>
  <c r="C123" i="8"/>
  <c r="CB122" i="8"/>
  <c r="AQ122" i="8"/>
  <c r="AE122" i="8"/>
  <c r="AG122" i="8" s="1"/>
  <c r="AL122" i="8" s="1"/>
  <c r="C122" i="8"/>
  <c r="CB121" i="8"/>
  <c r="AQ121" i="8"/>
  <c r="AE121" i="8"/>
  <c r="AG121" i="8" s="1"/>
  <c r="AL121" i="8" s="1"/>
  <c r="C121" i="8"/>
  <c r="CB120" i="8"/>
  <c r="AQ120" i="8"/>
  <c r="AE120" i="8"/>
  <c r="AG120" i="8" s="1"/>
  <c r="AL120" i="8" s="1"/>
  <c r="C120" i="8"/>
  <c r="CB119" i="8"/>
  <c r="AQ119" i="8"/>
  <c r="AE119" i="8"/>
  <c r="AG119" i="8" s="1"/>
  <c r="AL119" i="8" s="1"/>
  <c r="C119" i="8"/>
  <c r="CB118" i="8"/>
  <c r="AQ118" i="8"/>
  <c r="AE118" i="8"/>
  <c r="AG118" i="8" s="1"/>
  <c r="AL118" i="8" s="1"/>
  <c r="C118" i="8"/>
  <c r="CB117" i="8"/>
  <c r="AQ117" i="8"/>
  <c r="BX117" i="8" s="1"/>
  <c r="AE117" i="8"/>
  <c r="AG117" i="8" s="1"/>
  <c r="AL117" i="8" s="1"/>
  <c r="C117" i="8"/>
  <c r="CB116" i="8"/>
  <c r="AQ116" i="8"/>
  <c r="AE116" i="8"/>
  <c r="AG116" i="8" s="1"/>
  <c r="AL116" i="8" s="1"/>
  <c r="C116" i="8"/>
  <c r="CB115" i="8"/>
  <c r="AQ115" i="8"/>
  <c r="AE115" i="8"/>
  <c r="AG115" i="8" s="1"/>
  <c r="AL115" i="8" s="1"/>
  <c r="C115" i="8"/>
  <c r="CB114" i="8"/>
  <c r="AQ114" i="8"/>
  <c r="AE114" i="8"/>
  <c r="AG114" i="8" s="1"/>
  <c r="AL114" i="8" s="1"/>
  <c r="C114" i="8"/>
  <c r="CB113" i="8"/>
  <c r="AQ113" i="8"/>
  <c r="AE113" i="8"/>
  <c r="AG113" i="8" s="1"/>
  <c r="AL113" i="8" s="1"/>
  <c r="C113" i="8"/>
  <c r="CB112" i="8"/>
  <c r="AQ112" i="8"/>
  <c r="AE112" i="8"/>
  <c r="AG112" i="8" s="1"/>
  <c r="AL112" i="8" s="1"/>
  <c r="C112" i="8"/>
  <c r="CB111" i="8"/>
  <c r="AQ111" i="8"/>
  <c r="AE111" i="8"/>
  <c r="AG111" i="8" s="1"/>
  <c r="AL111" i="8" s="1"/>
  <c r="C111" i="8"/>
  <c r="CB110" i="8"/>
  <c r="AQ110" i="8"/>
  <c r="AE110" i="8"/>
  <c r="AG110" i="8" s="1"/>
  <c r="AL110" i="8" s="1"/>
  <c r="C110" i="8"/>
  <c r="CB109" i="8"/>
  <c r="AQ109" i="8"/>
  <c r="AE109" i="8"/>
  <c r="AG109" i="8" s="1"/>
  <c r="AL109" i="8" s="1"/>
  <c r="C109" i="8"/>
  <c r="CB108" i="8"/>
  <c r="AQ108" i="8"/>
  <c r="AE108" i="8"/>
  <c r="AG108" i="8" s="1"/>
  <c r="AL108" i="8" s="1"/>
  <c r="C108" i="8"/>
  <c r="CB107" i="8"/>
  <c r="AQ107" i="8"/>
  <c r="AE107" i="8"/>
  <c r="AG107" i="8" s="1"/>
  <c r="AL107" i="8" s="1"/>
  <c r="C107" i="8"/>
  <c r="CB106" i="8"/>
  <c r="AQ106" i="8"/>
  <c r="AE106" i="8"/>
  <c r="AG106" i="8" s="1"/>
  <c r="AL106" i="8" s="1"/>
  <c r="C106" i="8"/>
  <c r="CB105" i="8"/>
  <c r="AQ105" i="8"/>
  <c r="AE105" i="8"/>
  <c r="AG105" i="8" s="1"/>
  <c r="C105" i="8"/>
  <c r="CB104" i="8"/>
  <c r="AQ104" i="8"/>
  <c r="AE104" i="8"/>
  <c r="AG104" i="8" s="1"/>
  <c r="AL104" i="8" s="1"/>
  <c r="C104" i="8"/>
  <c r="CB103" i="8"/>
  <c r="AQ103" i="8"/>
  <c r="AE103" i="8"/>
  <c r="AG103" i="8" s="1"/>
  <c r="AL103" i="8" s="1"/>
  <c r="C103" i="8"/>
  <c r="CB102" i="8"/>
  <c r="AQ102" i="8"/>
  <c r="AE102" i="8"/>
  <c r="AG102" i="8" s="1"/>
  <c r="AL102" i="8" s="1"/>
  <c r="C102" i="8"/>
  <c r="CB101" i="8"/>
  <c r="AQ101" i="8"/>
  <c r="AE101" i="8"/>
  <c r="AG101" i="8" s="1"/>
  <c r="AL101" i="8" s="1"/>
  <c r="C101" i="8"/>
  <c r="CB100" i="8"/>
  <c r="AQ100" i="8"/>
  <c r="AE100" i="8"/>
  <c r="AG100" i="8" s="1"/>
  <c r="AL100" i="8" s="1"/>
  <c r="C100" i="8"/>
  <c r="CB99" i="8"/>
  <c r="AQ99" i="8"/>
  <c r="AE99" i="8"/>
  <c r="AG99" i="8" s="1"/>
  <c r="AL99" i="8" s="1"/>
  <c r="C99" i="8"/>
  <c r="CB98" i="8"/>
  <c r="AQ98" i="8"/>
  <c r="AE98" i="8"/>
  <c r="AG98" i="8" s="1"/>
  <c r="AL98" i="8" s="1"/>
  <c r="C98" i="8"/>
  <c r="CB97" i="8"/>
  <c r="AQ97" i="8"/>
  <c r="AE97" i="8"/>
  <c r="AG97" i="8" s="1"/>
  <c r="AL97" i="8" s="1"/>
  <c r="C97" i="8"/>
  <c r="CB96" i="8"/>
  <c r="AQ96" i="8"/>
  <c r="AE96" i="8"/>
  <c r="AG96" i="8" s="1"/>
  <c r="AL96" i="8" s="1"/>
  <c r="C96" i="8"/>
  <c r="CB95" i="8"/>
  <c r="AQ95" i="8"/>
  <c r="AE95" i="8"/>
  <c r="AG95" i="8" s="1"/>
  <c r="AL95" i="8" s="1"/>
  <c r="C95" i="8"/>
  <c r="CB94" i="8"/>
  <c r="AQ94" i="8"/>
  <c r="AE94" i="8"/>
  <c r="AG94" i="8" s="1"/>
  <c r="AL94" i="8" s="1"/>
  <c r="C94" i="8"/>
  <c r="CB93" i="8"/>
  <c r="AQ93" i="8"/>
  <c r="AE93" i="8"/>
  <c r="AG93" i="8" s="1"/>
  <c r="AL93" i="8" s="1"/>
  <c r="C93" i="8"/>
  <c r="CB92" i="8"/>
  <c r="AQ92" i="8"/>
  <c r="AE92" i="8"/>
  <c r="AG92" i="8" s="1"/>
  <c r="AL92" i="8" s="1"/>
  <c r="C92" i="8"/>
  <c r="CB91" i="8"/>
  <c r="AQ91" i="8"/>
  <c r="AE91" i="8"/>
  <c r="AG91" i="8" s="1"/>
  <c r="AL91" i="8" s="1"/>
  <c r="C91" i="8"/>
  <c r="CB90" i="8"/>
  <c r="AQ90" i="8"/>
  <c r="AE90" i="8"/>
  <c r="AG90" i="8" s="1"/>
  <c r="AL90" i="8" s="1"/>
  <c r="C90" i="8"/>
  <c r="CB89" i="8"/>
  <c r="AQ89" i="8"/>
  <c r="AE89" i="8"/>
  <c r="AG89" i="8" s="1"/>
  <c r="AL89" i="8" s="1"/>
  <c r="C89" i="8"/>
  <c r="CB88" i="8"/>
  <c r="AQ88" i="8"/>
  <c r="AE88" i="8"/>
  <c r="AG88" i="8" s="1"/>
  <c r="AL88" i="8" s="1"/>
  <c r="C88" i="8"/>
  <c r="CB87" i="8"/>
  <c r="AQ87" i="8"/>
  <c r="AE87" i="8"/>
  <c r="AG87" i="8" s="1"/>
  <c r="AL87" i="8" s="1"/>
  <c r="C87" i="8"/>
  <c r="CB86" i="8"/>
  <c r="AQ86" i="8"/>
  <c r="AE86" i="8"/>
  <c r="AG86" i="8" s="1"/>
  <c r="AL86" i="8" s="1"/>
  <c r="C86" i="8"/>
  <c r="CB85" i="8"/>
  <c r="AQ85" i="8"/>
  <c r="AE85" i="8"/>
  <c r="AG85" i="8" s="1"/>
  <c r="AL85" i="8" s="1"/>
  <c r="C85" i="8"/>
  <c r="CB84" i="8"/>
  <c r="AQ84" i="8"/>
  <c r="AH84" i="8"/>
  <c r="AH2" i="8" s="1"/>
  <c r="AE84" i="8"/>
  <c r="AG84" i="8" s="1"/>
  <c r="C84" i="8"/>
  <c r="CB83" i="8"/>
  <c r="AQ83" i="8"/>
  <c r="AE83" i="8"/>
  <c r="AG83" i="8" s="1"/>
  <c r="AL83" i="8" s="1"/>
  <c r="C83" i="8"/>
  <c r="CB82" i="8"/>
  <c r="AQ82" i="8"/>
  <c r="AE82" i="8"/>
  <c r="AG82" i="8" s="1"/>
  <c r="AL82" i="8" s="1"/>
  <c r="C82" i="8"/>
  <c r="CB81" i="8"/>
  <c r="AQ81" i="8"/>
  <c r="AE81" i="8"/>
  <c r="AG81" i="8" s="1"/>
  <c r="AL81" i="8" s="1"/>
  <c r="C81" i="8"/>
  <c r="CB80" i="8"/>
  <c r="AQ80" i="8"/>
  <c r="AE80" i="8"/>
  <c r="AG80" i="8" s="1"/>
  <c r="AL80" i="8" s="1"/>
  <c r="C80" i="8"/>
  <c r="CB79" i="8"/>
  <c r="AQ79" i="8"/>
  <c r="AE79" i="8"/>
  <c r="AG79" i="8" s="1"/>
  <c r="AL79" i="8" s="1"/>
  <c r="C79" i="8"/>
  <c r="CB78" i="8"/>
  <c r="AQ78" i="8"/>
  <c r="AE78" i="8"/>
  <c r="AG78" i="8" s="1"/>
  <c r="AL78" i="8" s="1"/>
  <c r="C78" i="8"/>
  <c r="CB77" i="8"/>
  <c r="AQ77" i="8"/>
  <c r="AE77" i="8"/>
  <c r="AG77" i="8" s="1"/>
  <c r="AL77" i="8" s="1"/>
  <c r="C77" i="8"/>
  <c r="CB76" i="8"/>
  <c r="AQ76" i="8"/>
  <c r="AE76" i="8"/>
  <c r="AG76" i="8" s="1"/>
  <c r="AL76" i="8" s="1"/>
  <c r="C76" i="8"/>
  <c r="CB75" i="8"/>
  <c r="AQ75" i="8"/>
  <c r="AE75" i="8"/>
  <c r="AG75" i="8" s="1"/>
  <c r="AL75" i="8" s="1"/>
  <c r="C75" i="8"/>
  <c r="CB74" i="8"/>
  <c r="AQ74" i="8"/>
  <c r="AE74" i="8"/>
  <c r="AG74" i="8" s="1"/>
  <c r="AL74" i="8" s="1"/>
  <c r="C74" i="8"/>
  <c r="CB73" i="8"/>
  <c r="AQ73" i="8"/>
  <c r="C73" i="8"/>
  <c r="CB72" i="8"/>
  <c r="AQ72" i="8"/>
  <c r="C72" i="8"/>
  <c r="CB71" i="8"/>
  <c r="AQ71" i="8"/>
  <c r="C71" i="8"/>
  <c r="CB70" i="8"/>
  <c r="AQ70" i="8"/>
  <c r="C70" i="8"/>
  <c r="CB69" i="8"/>
  <c r="AQ69" i="8"/>
  <c r="AE69" i="8"/>
  <c r="AG69" i="8" s="1"/>
  <c r="AL69" i="8" s="1"/>
  <c r="C69" i="8"/>
  <c r="CB68" i="8"/>
  <c r="AQ68" i="8"/>
  <c r="AE68" i="8"/>
  <c r="AG68" i="8" s="1"/>
  <c r="AL68" i="8" s="1"/>
  <c r="C68" i="8"/>
  <c r="CB67" i="8"/>
  <c r="AQ67" i="8"/>
  <c r="AE67" i="8"/>
  <c r="AG67" i="8" s="1"/>
  <c r="AL67" i="8" s="1"/>
  <c r="C67" i="8"/>
  <c r="CB66" i="8"/>
  <c r="AQ66" i="8"/>
  <c r="AE66" i="8"/>
  <c r="AG66" i="8" s="1"/>
  <c r="AL66" i="8" s="1"/>
  <c r="C66" i="8"/>
  <c r="CB65" i="8"/>
  <c r="AQ65" i="8"/>
  <c r="AE65" i="8"/>
  <c r="AG65" i="8" s="1"/>
  <c r="AL65" i="8" s="1"/>
  <c r="C65" i="8"/>
  <c r="CB64" i="8"/>
  <c r="AQ64" i="8"/>
  <c r="C64" i="8"/>
  <c r="CB63" i="8"/>
  <c r="AQ63" i="8"/>
  <c r="C63" i="8"/>
  <c r="CB62" i="8"/>
  <c r="AQ62" i="8"/>
  <c r="C62" i="8"/>
  <c r="CB61" i="8"/>
  <c r="AQ61" i="8"/>
  <c r="C61" i="8"/>
  <c r="CB60" i="8"/>
  <c r="AQ60" i="8"/>
  <c r="C60" i="8"/>
  <c r="CB59" i="8"/>
  <c r="AQ59" i="8"/>
  <c r="C59" i="8"/>
  <c r="CB58" i="8"/>
  <c r="AQ58" i="8"/>
  <c r="C58" i="8"/>
  <c r="CB57" i="8"/>
  <c r="AQ57" i="8"/>
  <c r="BX57" i="8" s="1"/>
  <c r="C57" i="8"/>
  <c r="CB56" i="8"/>
  <c r="AQ56" i="8"/>
  <c r="C56" i="8"/>
  <c r="CB55" i="8"/>
  <c r="AQ55" i="8"/>
  <c r="C55" i="8"/>
  <c r="CB54" i="8"/>
  <c r="AQ54" i="8"/>
  <c r="C54" i="8"/>
  <c r="CB53" i="8"/>
  <c r="AQ53" i="8"/>
  <c r="C53" i="8"/>
  <c r="CB52" i="8"/>
  <c r="AQ52" i="8"/>
  <c r="C52" i="8"/>
  <c r="CB51" i="8"/>
  <c r="AQ51" i="8"/>
  <c r="C51" i="8"/>
  <c r="CB50" i="8"/>
  <c r="AQ50" i="8"/>
  <c r="C50" i="8"/>
  <c r="CB49" i="8"/>
  <c r="AQ49" i="8"/>
  <c r="C49" i="8"/>
  <c r="CB48" i="8"/>
  <c r="AQ48" i="8"/>
  <c r="C48" i="8"/>
  <c r="CB47" i="8"/>
  <c r="AQ47" i="8"/>
  <c r="AE47" i="8"/>
  <c r="AG47" i="8" s="1"/>
  <c r="C47" i="8"/>
  <c r="CB46" i="8"/>
  <c r="AQ46" i="8"/>
  <c r="AE46" i="8"/>
  <c r="AG46" i="8" s="1"/>
  <c r="AL46" i="8" s="1"/>
  <c r="C46" i="8"/>
  <c r="CB45" i="8"/>
  <c r="AQ45" i="8"/>
  <c r="AE45" i="8"/>
  <c r="AG45" i="8" s="1"/>
  <c r="AL45" i="8" s="1"/>
  <c r="C45" i="8"/>
  <c r="CB44" i="8"/>
  <c r="AQ44" i="8"/>
  <c r="AE44" i="8"/>
  <c r="AG44" i="8" s="1"/>
  <c r="AL44" i="8" s="1"/>
  <c r="C44" i="8"/>
  <c r="CB43" i="8"/>
  <c r="AQ43" i="8"/>
  <c r="AE43" i="8"/>
  <c r="AG43" i="8" s="1"/>
  <c r="AL43" i="8" s="1"/>
  <c r="C43" i="8"/>
  <c r="CB42" i="8"/>
  <c r="AQ42" i="8"/>
  <c r="AE42" i="8"/>
  <c r="AG42" i="8" s="1"/>
  <c r="AL42" i="8" s="1"/>
  <c r="C42" i="8"/>
  <c r="CB41" i="8"/>
  <c r="AQ41" i="8"/>
  <c r="AE41" i="8"/>
  <c r="AG41" i="8" s="1"/>
  <c r="AL41" i="8" s="1"/>
  <c r="C41" i="8"/>
  <c r="CB40" i="8"/>
  <c r="AQ40" i="8"/>
  <c r="AE40" i="8"/>
  <c r="AG40" i="8" s="1"/>
  <c r="AL40" i="8" s="1"/>
  <c r="C40" i="8"/>
  <c r="CB39" i="8"/>
  <c r="AQ39" i="8"/>
  <c r="AE39" i="8"/>
  <c r="AG39" i="8" s="1"/>
  <c r="AL39" i="8" s="1"/>
  <c r="C39" i="8"/>
  <c r="CB38" i="8"/>
  <c r="AQ38" i="8"/>
  <c r="AE38" i="8"/>
  <c r="AG38" i="8" s="1"/>
  <c r="AL38" i="8" s="1"/>
  <c r="C38" i="8"/>
  <c r="CB37" i="8"/>
  <c r="AQ37" i="8"/>
  <c r="BX37" i="8" s="1"/>
  <c r="AE37" i="8"/>
  <c r="AG37" i="8" s="1"/>
  <c r="AL37" i="8" s="1"/>
  <c r="C37" i="8"/>
  <c r="CB36" i="8"/>
  <c r="AQ36" i="8"/>
  <c r="AE36" i="8"/>
  <c r="AG36" i="8" s="1"/>
  <c r="AL36" i="8" s="1"/>
  <c r="C36" i="8"/>
  <c r="CB35" i="8"/>
  <c r="AQ35" i="8"/>
  <c r="AE35" i="8"/>
  <c r="AG35" i="8" s="1"/>
  <c r="AL35" i="8" s="1"/>
  <c r="C35" i="8"/>
  <c r="CB34" i="8"/>
  <c r="AQ34" i="8"/>
  <c r="AE34" i="8"/>
  <c r="AG34" i="8" s="1"/>
  <c r="AL34" i="8" s="1"/>
  <c r="C34" i="8"/>
  <c r="CB33" i="8"/>
  <c r="AQ33" i="8"/>
  <c r="AE33" i="8"/>
  <c r="AG33" i="8" s="1"/>
  <c r="AL33" i="8" s="1"/>
  <c r="C33" i="8"/>
  <c r="CB32" i="8"/>
  <c r="AQ32" i="8"/>
  <c r="AE32" i="8"/>
  <c r="AG32" i="8" s="1"/>
  <c r="AL32" i="8" s="1"/>
  <c r="C32" i="8"/>
  <c r="CB31" i="8"/>
  <c r="AQ31" i="8"/>
  <c r="AE31" i="8"/>
  <c r="AG31" i="8" s="1"/>
  <c r="AL31" i="8" s="1"/>
  <c r="C31" i="8"/>
  <c r="CB30" i="8"/>
  <c r="AQ30" i="8"/>
  <c r="AE30" i="8"/>
  <c r="AG30" i="8" s="1"/>
  <c r="AL30" i="8" s="1"/>
  <c r="C30" i="8"/>
  <c r="CB29" i="8"/>
  <c r="AQ29" i="8"/>
  <c r="AE29" i="8"/>
  <c r="AG29" i="8" s="1"/>
  <c r="AL29" i="8" s="1"/>
  <c r="C29" i="8"/>
  <c r="CB28" i="8"/>
  <c r="AQ28" i="8"/>
  <c r="AE28" i="8"/>
  <c r="AG28" i="8" s="1"/>
  <c r="AL28" i="8" s="1"/>
  <c r="C28" i="8"/>
  <c r="CB27" i="8"/>
  <c r="AQ27" i="8"/>
  <c r="AE27" i="8"/>
  <c r="AG27" i="8" s="1"/>
  <c r="AL27" i="8" s="1"/>
  <c r="C27" i="8"/>
  <c r="CB26" i="8"/>
  <c r="AQ26" i="8"/>
  <c r="AE26" i="8"/>
  <c r="AG26" i="8" s="1"/>
  <c r="AL26" i="8" s="1"/>
  <c r="C26" i="8"/>
  <c r="CB25" i="8"/>
  <c r="AQ25" i="8"/>
  <c r="AE25" i="8"/>
  <c r="AG25" i="8" s="1"/>
  <c r="AL25" i="8" s="1"/>
  <c r="C25" i="8"/>
  <c r="CB24" i="8"/>
  <c r="AQ24" i="8"/>
  <c r="AE24" i="8"/>
  <c r="AG24" i="8" s="1"/>
  <c r="AL24" i="8" s="1"/>
  <c r="C24" i="8"/>
  <c r="CB23" i="8"/>
  <c r="AQ23" i="8"/>
  <c r="AE23" i="8"/>
  <c r="AG23" i="8" s="1"/>
  <c r="AL23" i="8" s="1"/>
  <c r="C23" i="8"/>
  <c r="CB22" i="8"/>
  <c r="AQ22" i="8"/>
  <c r="AE22" i="8"/>
  <c r="AG22" i="8" s="1"/>
  <c r="AL22" i="8" s="1"/>
  <c r="C22" i="8"/>
  <c r="CB21" i="8"/>
  <c r="AQ21" i="8"/>
  <c r="AE21" i="8"/>
  <c r="AG21" i="8" s="1"/>
  <c r="AL21" i="8" s="1"/>
  <c r="C21" i="8"/>
  <c r="CB20" i="8"/>
  <c r="AQ20" i="8"/>
  <c r="AE20" i="8"/>
  <c r="AG20" i="8" s="1"/>
  <c r="AL20" i="8" s="1"/>
  <c r="C20" i="8"/>
  <c r="CB19" i="8"/>
  <c r="AQ19" i="8"/>
  <c r="AE19" i="8"/>
  <c r="AG19" i="8" s="1"/>
  <c r="AL19" i="8" s="1"/>
  <c r="C19" i="8"/>
  <c r="CB18" i="8"/>
  <c r="AQ18" i="8"/>
  <c r="AE18" i="8"/>
  <c r="AG18" i="8" s="1"/>
  <c r="AL18" i="8" s="1"/>
  <c r="C18" i="8"/>
  <c r="CB17" i="8"/>
  <c r="AQ17" i="8"/>
  <c r="AE17" i="8"/>
  <c r="AG17" i="8" s="1"/>
  <c r="AL17" i="8" s="1"/>
  <c r="C17" i="8"/>
  <c r="CB16" i="8"/>
  <c r="AQ16" i="8"/>
  <c r="AE16" i="8"/>
  <c r="AG16" i="8" s="1"/>
  <c r="AL16" i="8" s="1"/>
  <c r="C16" i="8"/>
  <c r="CB15" i="8"/>
  <c r="AQ15" i="8"/>
  <c r="AE15" i="8"/>
  <c r="AG15" i="8" s="1"/>
  <c r="AL15" i="8" s="1"/>
  <c r="C15" i="8"/>
  <c r="CB14" i="8"/>
  <c r="AQ14" i="8"/>
  <c r="AE14" i="8"/>
  <c r="AG14" i="8" s="1"/>
  <c r="AL14" i="8" s="1"/>
  <c r="C14" i="8"/>
  <c r="CB13" i="8"/>
  <c r="AQ13" i="8"/>
  <c r="AE13" i="8"/>
  <c r="AG13" i="8" s="1"/>
  <c r="AL13" i="8" s="1"/>
  <c r="C13" i="8"/>
  <c r="CB12" i="8"/>
  <c r="AQ12" i="8"/>
  <c r="AE12" i="8"/>
  <c r="AG12" i="8" s="1"/>
  <c r="AL12" i="8" s="1"/>
  <c r="C12" i="8"/>
  <c r="CB11" i="8"/>
  <c r="AQ11" i="8"/>
  <c r="AE11" i="8"/>
  <c r="AG11" i="8" s="1"/>
  <c r="AL11" i="8" s="1"/>
  <c r="C11" i="8"/>
  <c r="CB10" i="8"/>
  <c r="AQ10" i="8"/>
  <c r="AE10" i="8"/>
  <c r="AG10" i="8" s="1"/>
  <c r="AL10" i="8" s="1"/>
  <c r="C10" i="8"/>
  <c r="CB9" i="8"/>
  <c r="AQ9" i="8"/>
  <c r="AE9" i="8"/>
  <c r="AG9" i="8" s="1"/>
  <c r="AL9" i="8" s="1"/>
  <c r="C9" i="8"/>
  <c r="CB8" i="8"/>
  <c r="AQ8" i="8"/>
  <c r="AE8" i="8"/>
  <c r="AG8" i="8" s="1"/>
  <c r="AL8" i="8" s="1"/>
  <c r="C8" i="8"/>
  <c r="CB7" i="8"/>
  <c r="AQ7" i="8"/>
  <c r="AE7" i="8"/>
  <c r="AG7" i="8" s="1"/>
  <c r="AL7" i="8" s="1"/>
  <c r="C7" i="8"/>
  <c r="CB6" i="8"/>
  <c r="AQ6" i="8"/>
  <c r="AE6" i="8"/>
  <c r="AG6" i="8" s="1"/>
  <c r="AL6" i="8" s="1"/>
  <c r="C6" i="8"/>
  <c r="CB5" i="8"/>
  <c r="AQ5" i="8"/>
  <c r="AE5" i="8"/>
  <c r="AG5" i="8" s="1"/>
  <c r="AL5" i="8" s="1"/>
  <c r="C5" i="8"/>
  <c r="CB4" i="8"/>
  <c r="AQ4" i="8"/>
  <c r="AE4" i="8"/>
  <c r="AG4" i="8" s="1"/>
  <c r="AL4" i="8" s="1"/>
  <c r="C4" i="8"/>
  <c r="AU3" i="8"/>
  <c r="AV3" i="8" s="1"/>
  <c r="AW3" i="8" s="1"/>
  <c r="AX3" i="8" s="1"/>
  <c r="AY3" i="8" s="1"/>
  <c r="AZ3" i="8" s="1"/>
  <c r="BA3" i="8" s="1"/>
  <c r="BB3" i="8" s="1"/>
  <c r="BC3" i="8" s="1"/>
  <c r="BD3" i="8" s="1"/>
  <c r="BE3" i="8" s="1"/>
  <c r="BF3" i="8" s="1"/>
  <c r="BG3" i="8" s="1"/>
  <c r="BH3" i="8" s="1"/>
  <c r="BI3" i="8" s="1"/>
  <c r="BJ3" i="8" s="1"/>
  <c r="BK3" i="8" s="1"/>
  <c r="BL3" i="8" s="1"/>
  <c r="BM3" i="8" s="1"/>
  <c r="BN3" i="8" s="1"/>
  <c r="BO3" i="8" s="1"/>
  <c r="BP3" i="8" s="1"/>
  <c r="BQ3" i="8" s="1"/>
  <c r="BR3" i="8" s="1"/>
  <c r="BS3" i="8" s="1"/>
  <c r="BT3" i="8" s="1"/>
  <c r="BU3" i="8" s="1"/>
  <c r="BV3" i="8" s="1"/>
  <c r="BV1" i="8"/>
  <c r="BU1" i="8"/>
  <c r="BT1" i="8"/>
  <c r="BS1" i="8"/>
  <c r="BR1" i="8"/>
  <c r="BQ1" i="8"/>
  <c r="BP1" i="8"/>
  <c r="BO1" i="8"/>
  <c r="BN1" i="8"/>
  <c r="BM1" i="8"/>
  <c r="BL1" i="8"/>
  <c r="BK1" i="8"/>
  <c r="BJ1" i="8"/>
  <c r="BI1" i="8"/>
  <c r="BH1" i="8"/>
  <c r="BG1" i="8"/>
  <c r="BF1" i="8"/>
  <c r="BE1" i="8"/>
  <c r="BD1" i="8"/>
  <c r="BC1" i="8"/>
  <c r="BB1" i="8"/>
  <c r="BA1" i="8"/>
  <c r="AZ1" i="8"/>
  <c r="AY1" i="8"/>
  <c r="AX1" i="8"/>
  <c r="AW1" i="8"/>
  <c r="AV1" i="8"/>
  <c r="AU1" i="8"/>
  <c r="AT1" i="8"/>
  <c r="AP2" i="8"/>
  <c r="AO2" i="8"/>
  <c r="AN2" i="8"/>
  <c r="AM2" i="8"/>
  <c r="AK2" i="8"/>
  <c r="AJ2" i="8"/>
  <c r="AI2" i="8"/>
  <c r="AF2" i="8"/>
  <c r="AD2" i="8"/>
  <c r="AC2" i="8"/>
  <c r="AB2" i="8"/>
  <c r="AA2" i="8"/>
  <c r="Z2" i="8"/>
  <c r="Y2" i="8"/>
  <c r="X2" i="8"/>
  <c r="BX84" i="8" l="1"/>
  <c r="BX62" i="8"/>
  <c r="BX72" i="8"/>
  <c r="BX92" i="8"/>
  <c r="BX102" i="8"/>
  <c r="BX112" i="8"/>
  <c r="BX153" i="8"/>
  <c r="BX163" i="8"/>
  <c r="BX5" i="8"/>
  <c r="BX12" i="8"/>
  <c r="BX138" i="8"/>
  <c r="BX32" i="8"/>
  <c r="BX132" i="8"/>
  <c r="BX7" i="8"/>
  <c r="BX17" i="8"/>
  <c r="BX27" i="8"/>
  <c r="BX66" i="8"/>
  <c r="BX76" i="8"/>
  <c r="BX152" i="8"/>
  <c r="BX38" i="8"/>
  <c r="BX48" i="8"/>
  <c r="BX87" i="8"/>
  <c r="BX6" i="8"/>
  <c r="BX130" i="8"/>
  <c r="BX16" i="8"/>
  <c r="BX26" i="8"/>
  <c r="BX35" i="8"/>
  <c r="BX73" i="8"/>
  <c r="BX121" i="8"/>
  <c r="BX131" i="8"/>
  <c r="BX140" i="8"/>
  <c r="BX150" i="8"/>
  <c r="BX36" i="8"/>
  <c r="BX141" i="8"/>
  <c r="BX151" i="8"/>
  <c r="BX123" i="8"/>
  <c r="BX172" i="8"/>
  <c r="BX105" i="8"/>
  <c r="BX30" i="8"/>
  <c r="BX67" i="8"/>
  <c r="BX96" i="8"/>
  <c r="BX116" i="8"/>
  <c r="BX134" i="8"/>
  <c r="BX139" i="8"/>
  <c r="BX11" i="8"/>
  <c r="BX21" i="8"/>
  <c r="BX31" i="8"/>
  <c r="BX126" i="8"/>
  <c r="BX135" i="8"/>
  <c r="BX82" i="8"/>
  <c r="BX41" i="8"/>
  <c r="BX51" i="8"/>
  <c r="BX60" i="8"/>
  <c r="BX79" i="8"/>
  <c r="BX136" i="8"/>
  <c r="BX156" i="8"/>
  <c r="BX166" i="8"/>
  <c r="BX95" i="8"/>
  <c r="BX115" i="8"/>
  <c r="BX20" i="8"/>
  <c r="BX49" i="8"/>
  <c r="BX58" i="8"/>
  <c r="BX106" i="8"/>
  <c r="BX125" i="8"/>
  <c r="BX124" i="8"/>
  <c r="BX129" i="8"/>
  <c r="BX122" i="8"/>
  <c r="BX42" i="8"/>
  <c r="BX128" i="8"/>
  <c r="BX147" i="8"/>
  <c r="BX157" i="8"/>
  <c r="BX44" i="8"/>
  <c r="BX89" i="8"/>
  <c r="BX98" i="8"/>
  <c r="BX159" i="8"/>
  <c r="BX168" i="8"/>
  <c r="BX8" i="8"/>
  <c r="BX45" i="8"/>
  <c r="BX63" i="8"/>
  <c r="BX90" i="8"/>
  <c r="BX118" i="8"/>
  <c r="BX133" i="8"/>
  <c r="BX169" i="8"/>
  <c r="BX9" i="8"/>
  <c r="BX18" i="8"/>
  <c r="BX28" i="8"/>
  <c r="BX46" i="8"/>
  <c r="BX56" i="8"/>
  <c r="BX64" i="8"/>
  <c r="BX74" i="8"/>
  <c r="BX83" i="8"/>
  <c r="BX91" i="8"/>
  <c r="BX100" i="8"/>
  <c r="BX110" i="8"/>
  <c r="BX119" i="8"/>
  <c r="BX142" i="8"/>
  <c r="BX161" i="8"/>
  <c r="BX170" i="8"/>
  <c r="BX54" i="8"/>
  <c r="BX108" i="8"/>
  <c r="BX55" i="8"/>
  <c r="BX99" i="8"/>
  <c r="BX109" i="8"/>
  <c r="BX160" i="8"/>
  <c r="BX10" i="8"/>
  <c r="BX19" i="8"/>
  <c r="BX29" i="8"/>
  <c r="BX47" i="8"/>
  <c r="BX65" i="8"/>
  <c r="BX75" i="8"/>
  <c r="BX101" i="8"/>
  <c r="BX111" i="8"/>
  <c r="BX120" i="8"/>
  <c r="BX143" i="8"/>
  <c r="BX162" i="8"/>
  <c r="BX171" i="8"/>
  <c r="BX144" i="8"/>
  <c r="BX39" i="8"/>
  <c r="BX77" i="8"/>
  <c r="BX85" i="8"/>
  <c r="BX93" i="8"/>
  <c r="BX103" i="8"/>
  <c r="BX113" i="8"/>
  <c r="BX145" i="8"/>
  <c r="BX154" i="8"/>
  <c r="BX164" i="8"/>
  <c r="BX22" i="8"/>
  <c r="BX40" i="8"/>
  <c r="BX50" i="8"/>
  <c r="BX59" i="8"/>
  <c r="BX68" i="8"/>
  <c r="BX78" i="8"/>
  <c r="BX86" i="8"/>
  <c r="BX94" i="8"/>
  <c r="BX104" i="8"/>
  <c r="BX114" i="8"/>
  <c r="BX137" i="8"/>
  <c r="BX146" i="8"/>
  <c r="BX155" i="8"/>
  <c r="BX165" i="8"/>
  <c r="BX173" i="8"/>
  <c r="BX13" i="8"/>
  <c r="BX23" i="8"/>
  <c r="BX69" i="8"/>
  <c r="BX174" i="8"/>
  <c r="BX14" i="8"/>
  <c r="BX24" i="8"/>
  <c r="BX33" i="8"/>
  <c r="BX52" i="8"/>
  <c r="BX61" i="8"/>
  <c r="BX70" i="8"/>
  <c r="BX80" i="8"/>
  <c r="BX148" i="8"/>
  <c r="BX175" i="8"/>
  <c r="BX15" i="8"/>
  <c r="BX25" i="8"/>
  <c r="BX34" i="8"/>
  <c r="BX43" i="8"/>
  <c r="BX53" i="8"/>
  <c r="BX71" i="8"/>
  <c r="BX81" i="8"/>
  <c r="BX88" i="8"/>
  <c r="BX97" i="8"/>
  <c r="BX107" i="8"/>
  <c r="BX149" i="8"/>
  <c r="BX158" i="8"/>
  <c r="BX176" i="8"/>
  <c r="AE2" i="8"/>
  <c r="AL84" i="8"/>
  <c r="AL2" i="8" s="1"/>
  <c r="BX4" i="8"/>
  <c r="BW1" i="8"/>
  <c r="AQ2" i="8"/>
  <c r="AR1" i="8" s="1"/>
  <c r="AG2" i="8"/>
  <c r="BX1" i="8" l="1"/>
  <c r="BB2" i="1" l="1"/>
  <c r="AU2" i="1"/>
  <c r="AN2" i="1"/>
  <c r="AG2" i="1"/>
  <c r="AE2" i="1"/>
</calcChain>
</file>

<file path=xl/sharedStrings.xml><?xml version="1.0" encoding="utf-8"?>
<sst xmlns="http://schemas.openxmlformats.org/spreadsheetml/2006/main" count="26902" uniqueCount="2456">
  <si>
    <t>Projection</t>
  </si>
  <si>
    <t>W2</t>
  </si>
  <si>
    <t>W3</t>
  </si>
  <si>
    <t>W4</t>
  </si>
  <si>
    <t>Sales Area</t>
  </si>
  <si>
    <t>Country</t>
  </si>
  <si>
    <t>ETB FERT</t>
  </si>
  <si>
    <t>Halb- 1000 plant</t>
  </si>
  <si>
    <t>Halb- 1010 plant</t>
  </si>
  <si>
    <t>Rollout HALB</t>
  </si>
  <si>
    <t>Rollout in last 1 year</t>
  </si>
  <si>
    <t>Code status</t>
  </si>
  <si>
    <t>Engine Type</t>
  </si>
  <si>
    <t>Model</t>
  </si>
  <si>
    <t>W/B</t>
  </si>
  <si>
    <t>Color</t>
  </si>
  <si>
    <t>Brk</t>
  </si>
  <si>
    <t>Body</t>
  </si>
  <si>
    <t xml:space="preserve">Veh Type </t>
  </si>
  <si>
    <t>MAP MODEL</t>
  </si>
  <si>
    <t>Sort</t>
  </si>
  <si>
    <t>Delivery Plant</t>
  </si>
  <si>
    <t>Rollout Line
As Is</t>
  </si>
  <si>
    <t>Rollout Line
Planned</t>
  </si>
  <si>
    <t>Description</t>
  </si>
  <si>
    <t>FERT catg</t>
  </si>
  <si>
    <t>1st prio</t>
  </si>
  <si>
    <t>WK1</t>
  </si>
  <si>
    <t>WK2</t>
  </si>
  <si>
    <t>WK3</t>
  </si>
  <si>
    <t>WK4</t>
  </si>
  <si>
    <t>For Opng</t>
  </si>
  <si>
    <t>Total</t>
  </si>
  <si>
    <t>Opng WIP</t>
  </si>
  <si>
    <t>Opng RGP</t>
  </si>
  <si>
    <t>Net Rollout Need</t>
  </si>
  <si>
    <t>Wk2</t>
  </si>
  <si>
    <t>Wk3</t>
  </si>
  <si>
    <t>Wk4</t>
  </si>
  <si>
    <t>Remarks - SOP1</t>
  </si>
  <si>
    <t>Material</t>
  </si>
  <si>
    <t>Desc.</t>
  </si>
  <si>
    <t>Cab Weld Desc.</t>
  </si>
  <si>
    <t>Cab Weld Code</t>
  </si>
  <si>
    <t>Engine Code</t>
  </si>
  <si>
    <t>Engine Desc.</t>
  </si>
  <si>
    <t>Transmission Code</t>
  </si>
  <si>
    <t>TRNS Desc.</t>
  </si>
  <si>
    <t>Rear Axle Code</t>
  </si>
  <si>
    <t>Rear Axle Desc.</t>
  </si>
  <si>
    <t>frame Code</t>
  </si>
  <si>
    <t>Frame Desc.</t>
  </si>
  <si>
    <t>CAB Trim Code</t>
  </si>
  <si>
    <t>CAB Trim Desc.</t>
  </si>
  <si>
    <t>Paint Shop Code</t>
  </si>
  <si>
    <t>Paint Shop Desc.</t>
  </si>
  <si>
    <t>Front Axle Code</t>
  </si>
  <si>
    <t>Front Axle Desc.</t>
  </si>
  <si>
    <t>COUPLING</t>
  </si>
  <si>
    <t>Cooupling Desc.</t>
  </si>
  <si>
    <t>Rear Axle Code2</t>
  </si>
  <si>
    <t>Rear Axle2 Desc.</t>
  </si>
  <si>
    <t>Tag Axle</t>
  </si>
  <si>
    <t>Tag Axle Desc</t>
  </si>
  <si>
    <t>Front Axle 2 Code</t>
  </si>
  <si>
    <t>Front Axle 2 Desc.</t>
  </si>
  <si>
    <t>Front Axle 3 Code</t>
  </si>
  <si>
    <t>Front Axle 3 Desc.</t>
  </si>
  <si>
    <t>Hold</t>
  </si>
  <si>
    <t>HALB Code</t>
  </si>
  <si>
    <t>HALB Desc.</t>
  </si>
  <si>
    <t>Pull In
WIP</t>
  </si>
  <si>
    <t>Material commitment</t>
  </si>
  <si>
    <t>June'26</t>
  </si>
  <si>
    <t>IS</t>
  </si>
  <si>
    <t>DGBR (64)</t>
  </si>
  <si>
    <t>Manager Mail Motors (Patna) (2)</t>
  </si>
  <si>
    <t>Superintendent of Police Parbhani,</t>
  </si>
  <si>
    <t>The Commissioner</t>
  </si>
  <si>
    <t>Indian Airforce (245)</t>
  </si>
  <si>
    <t>India</t>
  </si>
  <si>
    <t>IB</t>
  </si>
  <si>
    <t>Saudi Arabia</t>
  </si>
  <si>
    <t>NEPAL</t>
  </si>
  <si>
    <t>TANZANIA</t>
  </si>
  <si>
    <t>ZIMBABWE</t>
  </si>
  <si>
    <t>MOZAMBIQUE</t>
  </si>
  <si>
    <t>BANGLADESH</t>
  </si>
  <si>
    <t>SRI LANKA</t>
  </si>
  <si>
    <t>MAURITIUS</t>
  </si>
  <si>
    <t>SOUTH AFRICA</t>
  </si>
  <si>
    <t>Sri Lanka</t>
  </si>
  <si>
    <t>UTD.ARAB EMIR.</t>
  </si>
  <si>
    <t>Bangladesh</t>
  </si>
  <si>
    <t>Qatar</t>
  </si>
  <si>
    <t>Tanzania</t>
  </si>
  <si>
    <t>QATAR</t>
  </si>
  <si>
    <t>GHANA</t>
  </si>
  <si>
    <t>South Africa</t>
  </si>
  <si>
    <t>OMAN</t>
  </si>
  <si>
    <t>CL6464</t>
  </si>
  <si>
    <t>CL6428</t>
  </si>
  <si>
    <t>CL6344</t>
  </si>
  <si>
    <t>CL6466</t>
  </si>
  <si>
    <t>Pro2095 F 16F WTANK BSVI AC NGB 5S WTL</t>
  </si>
  <si>
    <t>Pro2059 E MSC 14F BSVI AC AC POR PRM#</t>
  </si>
  <si>
    <t>Pro2114XP H20FT BSVI RB 7S WTMS AC#</t>
  </si>
  <si>
    <t>Pro 2095XP G MSC BSVI AC SR5S WTL RX</t>
  </si>
  <si>
    <t>Eicher 2090 K HVAC PB (31+CD+D) LX BSVI#</t>
  </si>
  <si>
    <t>SklPro 3011L Stf Ac BSVI Pb Ras Rd Esc#</t>
  </si>
  <si>
    <t>PRO 6019XPT F BSVIDW PRM 11X20 10.5BB EB</t>
  </si>
  <si>
    <t>PRO 6028T G BSVI LYPRM 11R20 16BB SB VX</t>
  </si>
  <si>
    <t>PRO6028T G BSVI LYPRM 11X20M 16BBGTMVX</t>
  </si>
  <si>
    <t>PRO6028TM G BSVI DWPRM8EPTO BCSSST9SXP</t>
  </si>
  <si>
    <t>PRO 6035XPT L BSVI DW PRM11R20 23HDHRT</t>
  </si>
  <si>
    <t>PRO 8028XM J BSVI PW 11X20M 16RB PAB</t>
  </si>
  <si>
    <t>PRO 8035XM L BSVI PW 12X20 19.5URB AMT</t>
  </si>
  <si>
    <t>PRO 8035XM L BSVI PW 12X20ML 19RB VHRT</t>
  </si>
  <si>
    <t>PRO6035T L BSVI LYPRM 23BBHD11X20M HRT</t>
  </si>
  <si>
    <t>PRO 6028TM J BSVIDWPRM 10EPTO SST11X20</t>
  </si>
  <si>
    <t>Pro 6028TM J BSVI DWPRM 9EPTO SST11x20</t>
  </si>
  <si>
    <t>Pro 6028XPT/G/CBC/PRM/SRT/11R20/OBDII</t>
  </si>
  <si>
    <t>Pro 8035XM L CBC BSVI AMT</t>
  </si>
  <si>
    <t>Pro 8035XM L CBC BS6 PRM VHRT OBD</t>
  </si>
  <si>
    <t>Pro 6028XPT/G/CBC/PRM/SRT/11X20M/BSVI</t>
  </si>
  <si>
    <t>PRO6028T G BSVI LYPRM 11X20 16BBGTM VX</t>
  </si>
  <si>
    <t>Pro2080XPT D UBT E4LHD4.5Cum AB DW PRM</t>
  </si>
  <si>
    <t>Pro 3009 H EIII E494 24V NAC 36S SAF</t>
  </si>
  <si>
    <t>Pro1080XPT C 4.5 RHD BS4 ABS PRM EXP DW</t>
  </si>
  <si>
    <t xml:space="preserve"> 10.75 H SKL RHD BS IV AB PS ABS SL#</t>
  </si>
  <si>
    <t>Pro 5016T E RHD BS4 TY 10FET HK EXP</t>
  </si>
  <si>
    <t>Pro 1075 F DVC Container BS3 DW PRM EXP#</t>
  </si>
  <si>
    <t>Pro 3008 H SKL STF Bus AC ABS BS3 EXP</t>
  </si>
  <si>
    <t>Pro1080XPT C 3.5FBT BS3 AB PS TY PRM EXP</t>
  </si>
  <si>
    <t>20.15 R LHD E4 JTAC AC 70S SD BUS TEL#</t>
  </si>
  <si>
    <t>20.15 N LHD E3 ACD 61S HHR DD BUS</t>
  </si>
  <si>
    <t>Pro 5025T G B3 OY 16CM 9S BOG VECV EXP#</t>
  </si>
  <si>
    <t>Skyline Pro 3008H LHD AC STF E3 AB PS</t>
  </si>
  <si>
    <t>Pro 6019XPT F BSVI DW 8.5BB NPL EXP#</t>
  </si>
  <si>
    <t>Pro 3008 H AB PS STF BUS ABS BS4 RD EXP</t>
  </si>
  <si>
    <t>10.75 E AB PS BS4 ABS RP SRL B SL EXP</t>
  </si>
  <si>
    <t>10.90 L STR RHD BS3 AB PS BW TNZ EXP</t>
  </si>
  <si>
    <t>10.90L BUS AB PS BS3 SRL B DD HHR TNZ</t>
  </si>
  <si>
    <t>PRO 2075T D SBT PTO BSVI LY PRM ET40S5#</t>
  </si>
  <si>
    <t>PRO 2075T D FBT 4CUMBSVI AC LY PRM #</t>
  </si>
  <si>
    <t>PRO2080XPT D FBT BSVI LY PRM 100L SIDE S</t>
  </si>
  <si>
    <t>PRO2110XPT+ E FET BSVI LY PRM BT AC</t>
  </si>
  <si>
    <t>PRO2110XPT+ E DSD BSVI LY PRM BT AC</t>
  </si>
  <si>
    <t>PRO 2110XPT E FET PTO BSVI LY PRM AC</t>
  </si>
  <si>
    <t>PRO2116T E FET BOX BSVI LY PRM AC</t>
  </si>
  <si>
    <t>PRO 2055T C SBT PTO BSVIAC LYPRM ET40S5</t>
  </si>
  <si>
    <t>PRO2095XPT D FBT BSVI LY PRM 100L SIDE S</t>
  </si>
  <si>
    <t>PRO 2055T C FBT2.8CUMBSVI LY PRM ET40S5</t>
  </si>
  <si>
    <t>PRO2095XPT D FBT BSVI LY PRM STCUP AC</t>
  </si>
  <si>
    <t>PRO2110XPT+ E FET BSVI LY PRM BT R AC</t>
  </si>
  <si>
    <t>2065 E SCL 3X2 FAPS AX</t>
  </si>
  <si>
    <t>2065 E SRL SCL BSVI 3X2 LX FAPS</t>
  </si>
  <si>
    <t>2075 H SCL 3X2 FAPS AX</t>
  </si>
  <si>
    <t>2090 L SCL 5S 3X2 FAPS AX</t>
  </si>
  <si>
    <t>2075 H SRL SCL BSVI 3X2 LX FAPS</t>
  </si>
  <si>
    <t>2090 L SRL STF BSVI 5S ESC</t>
  </si>
  <si>
    <t>SKL PRO 3010 L STF BSVI 2X2 PB RD ESC</t>
  </si>
  <si>
    <t>SKL PRO 3011 L STF AC BSVI RD ESC</t>
  </si>
  <si>
    <t>SKL PRO 3011 L SCL 3L BSVI FAPS</t>
  </si>
  <si>
    <t>SKL PRO 3011 K STF 3L BSVI ESC</t>
  </si>
  <si>
    <t>2075 H SRL STF BSVI ESC</t>
  </si>
  <si>
    <t>SKL PRO 3011 L STF SD BSVI RD ESC</t>
  </si>
  <si>
    <t>2070 E SRL SCL CNG BS6 3X2 FAPS</t>
  </si>
  <si>
    <t>2090 L SRL SCL CNG AC BS6 3X2 FAPS</t>
  </si>
  <si>
    <t>2075 H SKL SCL BSVI 3X2 LX FAPS</t>
  </si>
  <si>
    <t>2070 E SRL SCL AC BSVI 3X2 FAPS</t>
  </si>
  <si>
    <t>2075 H SRL SCL AC BSVI 3X2 FAPS</t>
  </si>
  <si>
    <t>2070 E SRL SCL CNG AC BS6 3X2 FAPS</t>
  </si>
  <si>
    <t>2075 H SRL SCL CNG AC BS6 3X2 FAPS</t>
  </si>
  <si>
    <t>2090 L SKL SCL BSVI 3X2 LX FAPS</t>
  </si>
  <si>
    <t>2050 C SRL SCL BSVI 3X2 HB FAPS</t>
  </si>
  <si>
    <t>2075 H SRL SCL CNG BS6 3X2 FAPS</t>
  </si>
  <si>
    <t>2050 D SRL SCL BSVI 3X2 HB FAPS</t>
  </si>
  <si>
    <t>2065 E SRL STF BSVI ESC</t>
  </si>
  <si>
    <t>2090 L SRL SCL CNG BS6 3X2 FAPS</t>
  </si>
  <si>
    <t>2070 E SRL STF BSVI ESC</t>
  </si>
  <si>
    <t>2090 L SRL RP BSVI ESC</t>
  </si>
  <si>
    <t>2075 G SRL STF BSVI ESC</t>
  </si>
  <si>
    <t>2090 K Srl Stf BSVI Esc</t>
  </si>
  <si>
    <t>2090 L SRL STF CNG BS6 ESC</t>
  </si>
  <si>
    <t>2090 L SRL STF CNG AC BS6 ESC</t>
  </si>
  <si>
    <t>SKL PRO 3010 L SCL 3X3 3L BSVI FAPS</t>
  </si>
  <si>
    <t>Skl Pro 3011 L Stf Ac BSVI Rd LS Esc#</t>
  </si>
  <si>
    <t>2070 E SRL SCL BSVI 3X2 LX FAPS</t>
  </si>
  <si>
    <t>SKL PRO 3010 L SCL 3L BSVI FAPS</t>
  </si>
  <si>
    <t>2075 G SRL SCL BSVI 3X2 LX FAPS</t>
  </si>
  <si>
    <t>2075 H SKL STF BSVI ESC</t>
  </si>
  <si>
    <t>2050 D Srl Stf BSVI Hb</t>
  </si>
  <si>
    <t>2050 D Srl Scl Ac BSVI 3x2 Hb Faps</t>
  </si>
  <si>
    <t>2075 G SCL BSVI 3x2 FAPS AX</t>
  </si>
  <si>
    <t>2075 G SRL SCL AC BSVI 3X2 FAPS MPRM#</t>
  </si>
  <si>
    <t>2075 H Skl Scl BSVI 3x3 Lx Faps</t>
  </si>
  <si>
    <t>2075 G Skl Scl BSVI 3x3 Lx Faps</t>
  </si>
  <si>
    <t>2090 L Skl Dd BSVI Esc 2x2 AL BL Lx#</t>
  </si>
  <si>
    <t>2090 L Skl Scl BSVI 3x3 Lx Faps</t>
  </si>
  <si>
    <t>2090 L Srl Scl Ac BSVI 3x2 Faps</t>
  </si>
  <si>
    <t>2090 K Skl Scl BSVI 3x3 Lx Faps</t>
  </si>
  <si>
    <t>Skl Pro 3011 L Stf 3L BSVI Esc</t>
  </si>
  <si>
    <t>SKL PRO 3011 L STF BSVI LS RD ESC</t>
  </si>
  <si>
    <t>2090 L Srl Stf Ac BSVI Esc</t>
  </si>
  <si>
    <t>2075 G SRL CWC AC BSVI</t>
  </si>
  <si>
    <t>2070 E SRL STF CNG BS6 ESC NW</t>
  </si>
  <si>
    <t>2090 L Skl Stf Ac BSVI Esc</t>
  </si>
  <si>
    <t>2090 L SCL 3x3 FAPS JX</t>
  </si>
  <si>
    <t>2050 D SRL STF BSVI 2x1 PB MAX</t>
  </si>
  <si>
    <t>2090 K SCL BSVI 5S 3X2 FAPS AX</t>
  </si>
  <si>
    <t>Skl pro 3010 L Stf CNG Ac BS6 Esc</t>
  </si>
  <si>
    <t>Skl Pro 3010 L Stf BSVI Rd Esc</t>
  </si>
  <si>
    <t>2070 E SRL CWC CNG BS6 ESC NW</t>
  </si>
  <si>
    <t>Skl Pro 3011 L Stf Ac BSVI Rd Gy Esc#</t>
  </si>
  <si>
    <t>2075 H Skl Scl Ac BSVI 3x2 Faps</t>
  </si>
  <si>
    <t>2050 D SRL STF BSVI 2x1 PB MAX 7.5R16#</t>
  </si>
  <si>
    <t>Skl Pro 3010 L Scl CNG BS6 Faps</t>
  </si>
  <si>
    <t>Skl Pro 3011 L Scl 3L BSVI Faps HHR#</t>
  </si>
  <si>
    <t>Stranger</t>
  </si>
  <si>
    <t>stranger</t>
  </si>
  <si>
    <t>Runner</t>
  </si>
  <si>
    <t>Repeater</t>
  </si>
  <si>
    <t>HD EV Bus</t>
  </si>
  <si>
    <t>NPI Proj</t>
  </si>
  <si>
    <t>Skyline Pro-E 12m LF Ac Tarmac 21s# (Star Air)</t>
  </si>
  <si>
    <t>Skyline Pro E 12m EV STF AC HHR 3x2 DD#</t>
  </si>
  <si>
    <t>Pro 6028XPT G BSVI LB 11R20 16B SB AMT#</t>
  </si>
  <si>
    <t>Private</t>
  </si>
  <si>
    <t>BOM NA</t>
  </si>
  <si>
    <t>FERT_ACTIVE</t>
  </si>
  <si>
    <t>E494_BS6_DSL</t>
  </si>
  <si>
    <t>Pro 2114XP</t>
  </si>
  <si>
    <t>H</t>
  </si>
  <si>
    <t>DAZZLING WHITE</t>
  </si>
  <si>
    <t>MCV</t>
  </si>
  <si>
    <t>WATER TANKER</t>
  </si>
  <si>
    <t>LMD</t>
  </si>
  <si>
    <t>Pro2114XP</t>
  </si>
  <si>
    <t>Appl Plant</t>
  </si>
  <si>
    <t>Bhopal</t>
  </si>
  <si>
    <t>plan@bpl</t>
  </si>
  <si>
    <t>CL4939CW</t>
  </si>
  <si>
    <t>E474_BS6_DSL</t>
  </si>
  <si>
    <t>Pro 2095-P/stg</t>
  </si>
  <si>
    <t>F</t>
  </si>
  <si>
    <t>NEW GOLDEN BROWN</t>
  </si>
  <si>
    <t>AIR</t>
  </si>
  <si>
    <t>Pro2095XP</t>
  </si>
  <si>
    <t>CL4916CW</t>
  </si>
  <si>
    <t>E366_BS6_DSL</t>
  </si>
  <si>
    <t>Pro 2059-PREMIUM</t>
  </si>
  <si>
    <t>E</t>
  </si>
  <si>
    <t>POST OFFICE RED</t>
  </si>
  <si>
    <t>HYD</t>
  </si>
  <si>
    <t>Steel Cont.</t>
  </si>
  <si>
    <t>Pro2059</t>
  </si>
  <si>
    <t>CL5310CW</t>
  </si>
  <si>
    <t>RIVAIRA BLUE</t>
  </si>
  <si>
    <t>Pro2075</t>
  </si>
  <si>
    <t>B</t>
  </si>
  <si>
    <t>plan@ppur</t>
  </si>
  <si>
    <t>J</t>
  </si>
  <si>
    <t>LMD Line</t>
  </si>
  <si>
    <t>D</t>
  </si>
  <si>
    <t>CL5679RUP</t>
  </si>
  <si>
    <t>2090-new sky line-p/stg</t>
  </si>
  <si>
    <t>K</t>
  </si>
  <si>
    <t>New sky line</t>
  </si>
  <si>
    <t>Air</t>
  </si>
  <si>
    <t>RGP Cowl</t>
  </si>
  <si>
    <t>2090-Bus</t>
  </si>
  <si>
    <t>Bus Plant</t>
  </si>
  <si>
    <t>CL4095RUP</t>
  </si>
  <si>
    <t>2075-new sky line-p/stg</t>
  </si>
  <si>
    <t>RGP cowl</t>
  </si>
  <si>
    <t>2075-Bus</t>
  </si>
  <si>
    <t>CL4686RUP</t>
  </si>
  <si>
    <t>Pro Skyline 3011, P/stg</t>
  </si>
  <si>
    <t>L</t>
  </si>
  <si>
    <t>Pro Skyline-3011</t>
  </si>
  <si>
    <t>CL4436RUP</t>
  </si>
  <si>
    <t>G</t>
  </si>
  <si>
    <t>CL4616RUP</t>
  </si>
  <si>
    <t>HCV</t>
  </si>
  <si>
    <t>HD</t>
  </si>
  <si>
    <t>E494_BS6_CNG</t>
  </si>
  <si>
    <t>HD Line</t>
  </si>
  <si>
    <t>MDE5_BS6_DSL</t>
  </si>
  <si>
    <t>N</t>
  </si>
  <si>
    <t>Pro 6019XPT-PREMIUM</t>
  </si>
  <si>
    <t>Pro6019T</t>
  </si>
  <si>
    <t>CL6367</t>
  </si>
  <si>
    <t>Box Body</t>
  </si>
  <si>
    <t>Pro6028TM-BB</t>
  </si>
  <si>
    <t>CL6421</t>
  </si>
  <si>
    <t>MDE8_BS6_DSL</t>
  </si>
  <si>
    <t>Pro 6028T-PREMIUM</t>
  </si>
  <si>
    <t>LEMON YELLOW</t>
  </si>
  <si>
    <t>Pro6028T-BB</t>
  </si>
  <si>
    <t>CL6512</t>
  </si>
  <si>
    <t>CL6420</t>
  </si>
  <si>
    <t>CL6441</t>
  </si>
  <si>
    <t>Pro 6028TM-PREMIUM</t>
  </si>
  <si>
    <t>EPTO</t>
  </si>
  <si>
    <t>CL6495</t>
  </si>
  <si>
    <t>Pro 6035XPT-PREMIUM</t>
  </si>
  <si>
    <t>Pro6035T-BB</t>
  </si>
  <si>
    <t>PURE WHITE</t>
  </si>
  <si>
    <t>CL6366</t>
  </si>
  <si>
    <t>Pro 8028XM-PREMIUM</t>
  </si>
  <si>
    <t>ROCK Body</t>
  </si>
  <si>
    <t>Pro8028XM</t>
  </si>
  <si>
    <t>Pro 8035XM-PREMIUM</t>
  </si>
  <si>
    <t>Pro8035XM</t>
  </si>
  <si>
    <t>Pro 6028XPT-PREMIUM</t>
  </si>
  <si>
    <t>Pro6028XPT-BB</t>
  </si>
  <si>
    <t>Pro 6035T-PREMIUM</t>
  </si>
  <si>
    <t>CL6454</t>
  </si>
  <si>
    <t>CL6601</t>
  </si>
  <si>
    <t>SST EPTO</t>
  </si>
  <si>
    <t>CL6546</t>
  </si>
  <si>
    <t>MDE8_EU3_DSL</t>
  </si>
  <si>
    <t>CL4272RUP</t>
  </si>
  <si>
    <t>E494_EU5_DSL</t>
  </si>
  <si>
    <t>Pro Skyline 3008-LHD</t>
  </si>
  <si>
    <t>CL2997CW</t>
  </si>
  <si>
    <t>E494_EU4_DSL</t>
  </si>
  <si>
    <t>Pro 2080XPT-LHD-PREMIUM</t>
  </si>
  <si>
    <t>UBT</t>
  </si>
  <si>
    <t>Pro2080XPT</t>
  </si>
  <si>
    <t>Pro 2055T-PREMIUM</t>
  </si>
  <si>
    <t>C</t>
  </si>
  <si>
    <t>Pro2055</t>
  </si>
  <si>
    <t>E483_BS6_CNG</t>
  </si>
  <si>
    <t>FBT</t>
  </si>
  <si>
    <t>CL2794CW</t>
  </si>
  <si>
    <t>E483_BS3_DSL</t>
  </si>
  <si>
    <t>Pro 1075-PREMIUM</t>
  </si>
  <si>
    <t>Pro 1075</t>
  </si>
  <si>
    <t>E494_EU3_DSL</t>
  </si>
  <si>
    <t>CL3679RUP</t>
  </si>
  <si>
    <t>Pro Skyline 3009, P/stg</t>
  </si>
  <si>
    <t>Pro Skyline-3009</t>
  </si>
  <si>
    <t>CL3951RUP</t>
  </si>
  <si>
    <t>Terra Yellow</t>
  </si>
  <si>
    <t>CL3447CW</t>
  </si>
  <si>
    <t>E483_BS4_DSL</t>
  </si>
  <si>
    <t>Pro 1080XPT-PREMIUM</t>
  </si>
  <si>
    <t>Pro 1080</t>
  </si>
  <si>
    <t>CL6493</t>
  </si>
  <si>
    <t>E694_BS3_DSL</t>
  </si>
  <si>
    <t>20.15 LHD</t>
  </si>
  <si>
    <t>LHD F/L</t>
  </si>
  <si>
    <t>20.15-LHD</t>
  </si>
  <si>
    <t>Cummins_EU3_DSL</t>
  </si>
  <si>
    <t>CL6415</t>
  </si>
  <si>
    <t>MDE5_EU5_DSL</t>
  </si>
  <si>
    <t>E494_BS3_DSL</t>
  </si>
  <si>
    <t>E694_BS4_DSL</t>
  </si>
  <si>
    <t>E494_BS4_DSL</t>
  </si>
  <si>
    <t>R</t>
  </si>
  <si>
    <t>Faceless cowl</t>
  </si>
  <si>
    <t>CL5261RUP</t>
  </si>
  <si>
    <t>10.75 New Sky line-P/stg</t>
  </si>
  <si>
    <t>10.75-cowl</t>
  </si>
  <si>
    <t>CL6076</t>
  </si>
  <si>
    <t>Pro 5016T</t>
  </si>
  <si>
    <t>Front End Tipper</t>
  </si>
  <si>
    <t>Pro5016T</t>
  </si>
  <si>
    <t>CL6513</t>
  </si>
  <si>
    <t>CL6507</t>
  </si>
  <si>
    <t>Pro 6025TM-PREMIUM</t>
  </si>
  <si>
    <t>Pro6025TM-BB</t>
  </si>
  <si>
    <t>DRY VAN CONT</t>
  </si>
  <si>
    <t>CL3211RUP</t>
  </si>
  <si>
    <t>Pro Skyline 3008, P/stg</t>
  </si>
  <si>
    <t>Pro Skyline 3008</t>
  </si>
  <si>
    <t>CL2357CW</t>
  </si>
  <si>
    <t>CL6176</t>
  </si>
  <si>
    <t>CL6453</t>
  </si>
  <si>
    <t>Pro 5025T-9S Bogi</t>
  </si>
  <si>
    <t>OCHRE YELLOW</t>
  </si>
  <si>
    <t>Pro5025T-BB</t>
  </si>
  <si>
    <t>CL2815RUP</t>
  </si>
  <si>
    <t>CL6633</t>
  </si>
  <si>
    <t>Pro 6019XPT</t>
  </si>
  <si>
    <t>CL2602RUP</t>
  </si>
  <si>
    <t>CL2727RUP</t>
  </si>
  <si>
    <t>CL2941RUP</t>
  </si>
  <si>
    <t>10.90 New Sky line-P/stg</t>
  </si>
  <si>
    <t>10.90-Cowl</t>
  </si>
  <si>
    <t>CL2441RUP</t>
  </si>
  <si>
    <t>Pro 2075T-PREMIUM</t>
  </si>
  <si>
    <t>CL4670CW</t>
  </si>
  <si>
    <t>SBT PTO</t>
  </si>
  <si>
    <t>CL4469CW</t>
  </si>
  <si>
    <t>Pro 2080XPT-PREMIUM</t>
  </si>
  <si>
    <t>DSD Tipper</t>
  </si>
  <si>
    <t>Pro 2095XPT-PREMIUM</t>
  </si>
  <si>
    <t>CL5154CW</t>
  </si>
  <si>
    <t>CL4817CW</t>
  </si>
  <si>
    <t>Pro 2110XPT-PREMIUM</t>
  </si>
  <si>
    <t>Pro2110XPT</t>
  </si>
  <si>
    <t>Pro 2095XP-P/Stg</t>
  </si>
  <si>
    <t>Pro 2059-P/stg</t>
  </si>
  <si>
    <t>CL5294CW</t>
  </si>
  <si>
    <t>CL4994CW</t>
  </si>
  <si>
    <t>CL4972CW</t>
  </si>
  <si>
    <t>Pro 2116T-Premium</t>
  </si>
  <si>
    <t>Pro2116</t>
  </si>
  <si>
    <t>CL4803CW</t>
  </si>
  <si>
    <t>CL4981CW</t>
  </si>
  <si>
    <t>Pro 2116XPT-Premium</t>
  </si>
  <si>
    <t>CL5172CW</t>
  </si>
  <si>
    <t>CL4470CW</t>
  </si>
  <si>
    <t>CL5184CW</t>
  </si>
  <si>
    <t>CL5155CW</t>
  </si>
  <si>
    <t>CL5062CW</t>
  </si>
  <si>
    <t>CL4483RUP</t>
  </si>
  <si>
    <t>2065-new sky line-p/stg</t>
  </si>
  <si>
    <t>2065-Bus</t>
  </si>
  <si>
    <t>Audi Plant</t>
  </si>
  <si>
    <t>CL4484RUP</t>
  </si>
  <si>
    <t>CL4485RUP</t>
  </si>
  <si>
    <t>CL4178RUP</t>
  </si>
  <si>
    <t>CL4198RUP</t>
  </si>
  <si>
    <t>Pro Skyline-3010-p/stg</t>
  </si>
  <si>
    <t>Pro Skyline-3010</t>
  </si>
  <si>
    <t>CL4325RUP</t>
  </si>
  <si>
    <t>CL4192RUP</t>
  </si>
  <si>
    <t>CL4182RUP</t>
  </si>
  <si>
    <t>CL4687RUP</t>
  </si>
  <si>
    <t>CL4414RUP</t>
  </si>
  <si>
    <t>2070-new sky line-p/stg</t>
  </si>
  <si>
    <t>2070-CNG Bus</t>
  </si>
  <si>
    <t>CL4412RUP</t>
  </si>
  <si>
    <t>2090-CNG Bus</t>
  </si>
  <si>
    <t>CL4240RUP</t>
  </si>
  <si>
    <t>CL4093RUP</t>
  </si>
  <si>
    <t>2070-Bus</t>
  </si>
  <si>
    <t>2075-CNG Bus</t>
  </si>
  <si>
    <t>CL4098RUP</t>
  </si>
  <si>
    <t>CL4413RUP</t>
  </si>
  <si>
    <t>CL4411RUP</t>
  </si>
  <si>
    <t>CL4242RUP</t>
  </si>
  <si>
    <t>CL4320RUP</t>
  </si>
  <si>
    <t>2050 new sky line-p/stg</t>
  </si>
  <si>
    <t>2050-Bus</t>
  </si>
  <si>
    <t>CL4339RUP</t>
  </si>
  <si>
    <t>CL4319RUP</t>
  </si>
  <si>
    <t>CL4157RUP</t>
  </si>
  <si>
    <t>CL4340RUP</t>
  </si>
  <si>
    <t>CL4186RUP</t>
  </si>
  <si>
    <t>CL4201RUP</t>
  </si>
  <si>
    <t>CL4202RUP</t>
  </si>
  <si>
    <t>CL4179RUP</t>
  </si>
  <si>
    <t>CL4156RUP</t>
  </si>
  <si>
    <t>CL4435RUP</t>
  </si>
  <si>
    <t>CL4434RUP</t>
  </si>
  <si>
    <t>CL4478RUP</t>
  </si>
  <si>
    <t>CL4477RUP</t>
  </si>
  <si>
    <t>JCBL Plant</t>
  </si>
  <si>
    <t>CL4615RUP</t>
  </si>
  <si>
    <t>CL4408RUP</t>
  </si>
  <si>
    <t>CL4099RUP</t>
  </si>
  <si>
    <t>CL4181RUP</t>
  </si>
  <si>
    <t>CL4470RUP</t>
  </si>
  <si>
    <t>CL4321RUP</t>
  </si>
  <si>
    <t>CL4700RUP</t>
  </si>
  <si>
    <t>CL4262RUP</t>
  </si>
  <si>
    <t>CL4555RUP</t>
  </si>
  <si>
    <t>CL4238RUP</t>
  </si>
  <si>
    <t>CL4502RUP</t>
  </si>
  <si>
    <t>CL4552RUP</t>
  </si>
  <si>
    <t>CL4090RUP</t>
  </si>
  <si>
    <t>CL4241RUP</t>
  </si>
  <si>
    <t>CL4152RUP</t>
  </si>
  <si>
    <t>CL4180RUP</t>
  </si>
  <si>
    <t>CL4324RUP</t>
  </si>
  <si>
    <t>CL4472RUP</t>
  </si>
  <si>
    <t>CL4281RUP</t>
  </si>
  <si>
    <t>CL4699RUP</t>
  </si>
  <si>
    <t>CL4591RUP</t>
  </si>
  <si>
    <t>CL4701RUP</t>
  </si>
  <si>
    <t>CL4589RUP</t>
  </si>
  <si>
    <t>CL4583RUP</t>
  </si>
  <si>
    <t>Electric Veh</t>
  </si>
  <si>
    <t>EV Shop</t>
  </si>
  <si>
    <t>CL4097RUP</t>
  </si>
  <si>
    <t>CL5296RUP</t>
  </si>
  <si>
    <t>FERT_BLOCKED</t>
  </si>
  <si>
    <t>12M Pro EV Bus</t>
  </si>
  <si>
    <t>CL6492</t>
  </si>
  <si>
    <t>Pro EV 3012 Sky line</t>
  </si>
  <si>
    <t>Pro 3012-EV</t>
  </si>
  <si>
    <t>CL6629</t>
  </si>
  <si>
    <t>CL6632</t>
  </si>
  <si>
    <t>CL6617</t>
  </si>
  <si>
    <t>LIGHT BLUE</t>
  </si>
  <si>
    <t>SIGNAL RED</t>
  </si>
  <si>
    <t>CL4945CW</t>
  </si>
  <si>
    <t>CL6357RUP</t>
  </si>
  <si>
    <t>E483_BS3_D_70kW_12V_AB_NAC_PS_B</t>
  </si>
  <si>
    <t>FA140N</t>
  </si>
  <si>
    <t>FRONT AXLE 1090/95 AB (REPL) JF/NHUB</t>
  </si>
  <si>
    <t>Pro1075/F/CBC/RHD/BS3/AB/PRM/BLW/EXP </t>
  </si>
  <si>
    <t>WELDED CABIN/1060~95/RHD/HYB/VE1103</t>
  </si>
  <si>
    <t>CW144</t>
  </si>
  <si>
    <t>EN104T84</t>
  </si>
  <si>
    <t>E483_BS3_D_80kW_12V_AB_NAC_PS_T</t>
  </si>
  <si>
    <t>TM360D</t>
  </si>
  <si>
    <t>TM/ASSY PRO1060 ET35S5 AB NON-PTO</t>
  </si>
  <si>
    <t>RA248D</t>
  </si>
  <si>
    <t>REAR AXLE/1075/ FE AB/BS4/4.3</t>
  </si>
  <si>
    <t>FR1090</t>
  </si>
  <si>
    <t>FRAME ASSY 1060 F CBC BS3 EXP</t>
  </si>
  <si>
    <t>CT1354CW</t>
  </si>
  <si>
    <t>TRMD CAB/1075/CBC/BLW/AB/PS/BS3/EXP</t>
  </si>
  <si>
    <t>PS147</t>
  </si>
  <si>
    <t>CABIN 1090/RHD/STD/PAINTED/HYB/VE</t>
  </si>
  <si>
    <t>FA109N</t>
  </si>
  <si>
    <t>FRONT AXLE 1075~90 RHD AB (REPL)</t>
  </si>
  <si>
    <t>TM360T2</t>
  </si>
  <si>
    <t>ENG+T/M(EN104T84+TM360)COUP 1075/BS3/EXP</t>
  </si>
  <si>
    <t>FA123N</t>
  </si>
  <si>
    <t>FRONT AXLE 1090/95 AB (REPL) JF</t>
  </si>
  <si>
    <t>Pro 1080XPT/CCBC/RHD/BS4/AB/PS/PRM/EXP</t>
  </si>
  <si>
    <t>EN108T1</t>
  </si>
  <si>
    <t>E483_BS4_D_85kW_12V_AB_NAC_PS_T</t>
  </si>
  <si>
    <t>TM300D</t>
  </si>
  <si>
    <t>T/M ASSY/PRO1080XP/PTO/5.57 FDR/ET40S5</t>
  </si>
  <si>
    <t>RA413D</t>
  </si>
  <si>
    <t>REAR AXLE Pro1080XP 5.286 FDR</t>
  </si>
  <si>
    <t>FR374</t>
  </si>
  <si>
    <t>FRAME ASSY Pro 1080XP C CBC TIPPER</t>
  </si>
  <si>
    <t>CT1320CW</t>
  </si>
  <si>
    <t>TRIM CAB/1080C/AB/PS/BLW/BS4/PTO/EXP/PRM</t>
  </si>
  <si>
    <t>FA145N</t>
  </si>
  <si>
    <t>FRONT AXLE 1075/90 AB ABS</t>
  </si>
  <si>
    <t>TM300T2</t>
  </si>
  <si>
    <t>ENG+T/M COUP 1080XP PTO (EN108T1+TM300)</t>
  </si>
  <si>
    <t>TM310D</t>
  </si>
  <si>
    <t>T/M ASSY 1075 AB BS4  ET35S5 4.3</t>
  </si>
  <si>
    <t>RA282D</t>
  </si>
  <si>
    <t>REAR AXLE/1080/AB/BS4/4.3</t>
  </si>
  <si>
    <t>Pro 1080XPT/CCBC/RHD/AB/PS/BS3/EXP/PRM  </t>
  </si>
  <si>
    <t>EN104T96</t>
  </si>
  <si>
    <t>E483_BS3_D_85kW_12V_AB_NAC_PS_T</t>
  </si>
  <si>
    <t>TM369D</t>
  </si>
  <si>
    <t>T/M ASSY/Pro 1080XP/PTO/5.29 FDR/ET40S5</t>
  </si>
  <si>
    <t>RA296D</t>
  </si>
  <si>
    <t>REAR AXLE ASSY 10.80 XPT 5.57-340DH</t>
  </si>
  <si>
    <t>FR331</t>
  </si>
  <si>
    <t>CT1088CW</t>
  </si>
  <si>
    <t>TRIMMED CABIN/1080/RHD/AB/PS/PTO/PRM/EXP</t>
  </si>
  <si>
    <t>TM369T1</t>
  </si>
  <si>
    <t>ENG+T/M 1080XP PTO (EN104T96+TM369D) EXP</t>
  </si>
  <si>
    <t>TM265D</t>
  </si>
  <si>
    <t>T/M ASSY/10.95/RHD/BSIII/VE1103</t>
  </si>
  <si>
    <t>10.75/H/RHD/BS4/CWC/AB/PS/SRILANKA</t>
  </si>
  <si>
    <t>WELD COWL LCV STR, FRM BSIV (FOR ECO STA</t>
  </si>
  <si>
    <t>IA341290</t>
  </si>
  <si>
    <t>EN108T9</t>
  </si>
  <si>
    <t>E483_BS4_D_80kW_12V_AB_NAC_PS_B</t>
  </si>
  <si>
    <t>FR420</t>
  </si>
  <si>
    <t>FRAME ASSY 1075 H CWC BS4 ABS</t>
  </si>
  <si>
    <t>CT2133RUP</t>
  </si>
  <si>
    <t>F/LCOWL/1075/H/AB/PS/BS4/ABS/ITS/EXP</t>
  </si>
  <si>
    <t>TM310T2</t>
  </si>
  <si>
    <t>ENG+T/M COUP 1090 (EN108T9+TM310)</t>
  </si>
  <si>
    <t>10.75 E F/L /CWC/AB/PS/NG/BS4/ABS/EXP</t>
  </si>
  <si>
    <t>FR412</t>
  </si>
  <si>
    <t>FRAME ASSY 1075 E F/L CWC BS4 ABS</t>
  </si>
  <si>
    <t>1090/L F/L CWC/AB/PS/BS3/4.3/TNZ/EXP</t>
  </si>
  <si>
    <t>EN104T98</t>
  </si>
  <si>
    <t>E483_BS3_D_80kW_12V_AB_NAC_PS_B</t>
  </si>
  <si>
    <t>TM377D</t>
  </si>
  <si>
    <t>TM/ASSY/10.19/TANZA/AB/BS3/ET35S5/N-PTO</t>
  </si>
  <si>
    <t>RA333D</t>
  </si>
  <si>
    <t>REAR AXLE/1090/AB/PS/BS3/4.3 FDR/EXP</t>
  </si>
  <si>
    <t>FR2100</t>
  </si>
  <si>
    <t>FRAME ASSY/10.90 L F/L CWC/BS3/EXP</t>
  </si>
  <si>
    <t>CT1444RUP</t>
  </si>
  <si>
    <t>TRIM ASSY/F/L COWL/1090/RHD/AB/PS/EXP</t>
  </si>
  <si>
    <t>FA168N</t>
  </si>
  <si>
    <t>FRONT AXLE 10.90 AB (REPL) JF/NHUB</t>
  </si>
  <si>
    <t>TM377T1</t>
  </si>
  <si>
    <t>ENG+TM COUP  BS3 (EN104T98+TM377D)</t>
  </si>
  <si>
    <t>1090/L F/L CWC/PS/BS3/AB/SRL-B/TNZ/EXP</t>
  </si>
  <si>
    <t>EN104T99</t>
  </si>
  <si>
    <t>RA230D</t>
  </si>
  <si>
    <t>REAR AXLE 1090 FE AB 4.7FDR JF NS EXP</t>
  </si>
  <si>
    <t>FR2073</t>
  </si>
  <si>
    <t>FRAME ASSY.10.90 L F/L CWC KRL TANZANIA</t>
  </si>
  <si>
    <t>TM265T15</t>
  </si>
  <si>
    <t>ENG+TM CUP 1090L BSIII(EN104T99 +TM265D)</t>
  </si>
  <si>
    <t>Pro3008 H F/L 4V ABPS BS3 AC ABS STF EXP</t>
  </si>
  <si>
    <t>WELD COWL ASSEMBLY VE-3100</t>
  </si>
  <si>
    <t>IA324700</t>
  </si>
  <si>
    <t>EN415</t>
  </si>
  <si>
    <t>E494_BS3_D_90kW_24V_AB_AC_PS_B</t>
  </si>
  <si>
    <t>TM284D</t>
  </si>
  <si>
    <t>TM ASSY 1090 L CWC BSIV ET40S5 /4.33</t>
  </si>
  <si>
    <t>RA221D</t>
  </si>
  <si>
    <t>REAR AXLE ASSY 10.75/90 ABS B3 VE3100</t>
  </si>
  <si>
    <t>FR335</t>
  </si>
  <si>
    <t>FRAME ASSY/10.75/H/CWC/RHD/BSIVE3100</t>
  </si>
  <si>
    <t>CT1043RUP</t>
  </si>
  <si>
    <t>TRM/Pro3008/H/F/LCOWL/AB/PS/BS4/24V/EXP*</t>
  </si>
  <si>
    <t>FA143N</t>
  </si>
  <si>
    <t>FRONT AXLE ASSY 1090 L RHD BSIV VE3100</t>
  </si>
  <si>
    <t>TM284T3</t>
  </si>
  <si>
    <t>ENGINE+T/M ASSY (EN415+TM284)</t>
  </si>
  <si>
    <t>Pro3008H HP F/L CWC AB PS BS4 4V ABS RD</t>
  </si>
  <si>
    <t>WELD COWL ASSEMBLY</t>
  </si>
  <si>
    <t>IA342665</t>
  </si>
  <si>
    <t>EN425</t>
  </si>
  <si>
    <t>E494_BS4_D_100kW_12V_AB_NAC_PS_B</t>
  </si>
  <si>
    <t>TM289D</t>
  </si>
  <si>
    <t>TM ASSY 1090 L CWC BSIII ET40S6 /4.8</t>
  </si>
  <si>
    <t>RA240D</t>
  </si>
  <si>
    <t>REAR AXLE ASSY Pro 3008/3009 ABS B4 4.33</t>
  </si>
  <si>
    <t>FR458</t>
  </si>
  <si>
    <t>FRAME ASSY/Pro3008/H/CWC/RHD/BS4/RD</t>
  </si>
  <si>
    <t>CT1272RUP</t>
  </si>
  <si>
    <t>TRM/Pro3008 F/LCWL /AB/PS/BS4/12V/ITS</t>
  </si>
  <si>
    <t>FA148N</t>
  </si>
  <si>
    <t>FRONT AXLE ASSY 1090 RHD AB VE3100 ABS</t>
  </si>
  <si>
    <t>TM289T7</t>
  </si>
  <si>
    <t>ENGINE+T/M ASSY (EN425+TM289)</t>
  </si>
  <si>
    <t>Pro3008/H CWC/AC/LHD/E5/AB</t>
  </si>
  <si>
    <t>WELD COWL ASSEMBLY BUILTUP</t>
  </si>
  <si>
    <t>IA459945</t>
  </si>
  <si>
    <t>EN5502</t>
  </si>
  <si>
    <t>E494_EU5_D_110KW_24V_AB_AC_PS_B</t>
  </si>
  <si>
    <t>TM594D</t>
  </si>
  <si>
    <t>TMASSY/Pro3008/ET40S6/BS3/NPTO/EXP/LHD</t>
  </si>
  <si>
    <t>RA318D</t>
  </si>
  <si>
    <t>REAR AXLE ASSY Pro 3008 ABS B4 4.33</t>
  </si>
  <si>
    <t>FR2377</t>
  </si>
  <si>
    <t>Skyline Pro 3008 LHD Euro 5</t>
  </si>
  <si>
    <t>CT1654RUP</t>
  </si>
  <si>
    <t>TRIM/3008/F/L CWC/LHD/AB/PS/E5/AC/6S/24V</t>
  </si>
  <si>
    <t>FA185N</t>
  </si>
  <si>
    <t>FRONT AXLE 1075 LHD AB EXP</t>
  </si>
  <si>
    <t>TM594T1</t>
  </si>
  <si>
    <t>ENG &amp; TM COUP (EN5502 + TM594D)</t>
  </si>
  <si>
    <t>E494_BS3_D_110kW_24V_AB_AC_PS_B</t>
  </si>
  <si>
    <t>TM365D</t>
  </si>
  <si>
    <t>TM/ASSY/10.75 BUS BS4/ET40S6/N-PTO/LHD</t>
  </si>
  <si>
    <t>FR2034</t>
  </si>
  <si>
    <t>FRAME ASSY H-W/B LHD BS3</t>
  </si>
  <si>
    <t>CT1371RUP</t>
  </si>
  <si>
    <t>TRIM/3008/F/L CWC/LHD/AB/PS/E3/AC/6S/24V</t>
  </si>
  <si>
    <t>Pro3008/H/ F/L CWC/LHD/AC/E3/AB/PS</t>
  </si>
  <si>
    <t>EN435</t>
  </si>
  <si>
    <t>TM365T2</t>
  </si>
  <si>
    <t>ENG &amp; TM COUP (EN435+TM365D)</t>
  </si>
  <si>
    <t>Pro 3009/F/L CWC/BS3/EXP/TNZ</t>
  </si>
  <si>
    <t>WELD COWL ASSY PRO3009 EXPT  BUILT-UP</t>
  </si>
  <si>
    <t>IA357048</t>
  </si>
  <si>
    <t>EN106T67</t>
  </si>
  <si>
    <t>E483_BS3_D_85kW_12V_AB_NAC_PS_B</t>
  </si>
  <si>
    <t>TM390D</t>
  </si>
  <si>
    <t>TM ASSY/PRO3009L/ET35S6/BUS/AB/BS3/EXP</t>
  </si>
  <si>
    <t>RA361D</t>
  </si>
  <si>
    <t>REAR AXLE ASSY 4.8FDR - 320DH</t>
  </si>
  <si>
    <t>FR1209</t>
  </si>
  <si>
    <t>FRAME ASSY Pro3009 BS3 EXP.</t>
  </si>
  <si>
    <t>CT1483RUP</t>
  </si>
  <si>
    <t>TRIM ASSY/F/L CWL/Pro3009/BS3/EXP</t>
  </si>
  <si>
    <t>FA141N</t>
  </si>
  <si>
    <t>FRONT AXLE ASSY 1090 H RHD AB JnNURM</t>
  </si>
  <si>
    <t>TM390T1</t>
  </si>
  <si>
    <t>ENGINE + T/M COUP(EN106T67+TM390D)</t>
  </si>
  <si>
    <t>Pro 3009/H/F/L CWC/E3</t>
  </si>
  <si>
    <t>IA451253</t>
  </si>
  <si>
    <t>EN1125</t>
  </si>
  <si>
    <t>E494_EU3_D_110kW_24V_AB_NAC_PS_B_I5</t>
  </si>
  <si>
    <t>TM582D</t>
  </si>
  <si>
    <t>TMASSY/Pro3009/ET40S6/NPTO/BS3/EXP</t>
  </si>
  <si>
    <t>RA379D</t>
  </si>
  <si>
    <t>FR2146</t>
  </si>
  <si>
    <t>CT1542RUP</t>
  </si>
  <si>
    <t>TRIM ASSY/F/L CWL/Pro3009/E3</t>
  </si>
  <si>
    <t>FA189N</t>
  </si>
  <si>
    <t>FRONT AXLE Pro3009 H CWC BS6</t>
  </si>
  <si>
    <t>TM582T1</t>
  </si>
  <si>
    <t>ENGINE + T/M COUP(EN1125+TM582D)</t>
  </si>
  <si>
    <t>E494_BS6_D_120kW_24V_AB_AC_PS_B_I5</t>
  </si>
  <si>
    <t>TM285D</t>
  </si>
  <si>
    <t>TM ASSY 1090 L CWC BSIII ET40S6 /4.33</t>
  </si>
  <si>
    <t>RA415D</t>
  </si>
  <si>
    <t>REAR AXLE ASSY 4.8FDR - 320DH/BSVI/ESC</t>
  </si>
  <si>
    <t>RA381D</t>
  </si>
  <si>
    <t>WELD COWL ASSY PRO BSVI BUILT-UP</t>
  </si>
  <si>
    <t>IA351875</t>
  </si>
  <si>
    <t>EN1106</t>
  </si>
  <si>
    <t>E494_BS6_D_120kW_12V_AB_NAC_PS_B_I5</t>
  </si>
  <si>
    <t>RA380D</t>
  </si>
  <si>
    <t>REAR AXLE ASSY 4.33FDR - 320DH/BSVI/ESC</t>
  </si>
  <si>
    <t>TM285T3</t>
  </si>
  <si>
    <t>ENGINE + T/M COUP(EN1106+TM285D)</t>
  </si>
  <si>
    <t>SKL Pro 3009/H/CWC/3L/BSVI/FAPS</t>
  </si>
  <si>
    <t>IA450081</t>
  </si>
  <si>
    <t>EN1001O37</t>
  </si>
  <si>
    <t>E474_BS6_D_105kW_12V_AB_NAC_PS_B</t>
  </si>
  <si>
    <t>TM585D</t>
  </si>
  <si>
    <t>TM/ASSY/Pro3011/BS6/ET40S5/N-PTO</t>
  </si>
  <si>
    <t>RA312D</t>
  </si>
  <si>
    <t>FR2382</t>
  </si>
  <si>
    <t>FRAME ASSY SKL  3009 H STF 3L BSVI  FAPS</t>
  </si>
  <si>
    <t>CT1570RUP</t>
  </si>
  <si>
    <t>TRIM ASSY/F/L CWL/Pro 3009/BSVI/OBD-II</t>
  </si>
  <si>
    <t>FA217N</t>
  </si>
  <si>
    <t>TM585T1</t>
  </si>
  <si>
    <t>ENGINE + T/M COUP(EN1001O37+TM585D)</t>
  </si>
  <si>
    <t>EN2103</t>
  </si>
  <si>
    <t>E494_BS6_C_100kW_12V_AB_NAC_PS_B_I5</t>
  </si>
  <si>
    <t>RA303D</t>
  </si>
  <si>
    <t>REAR AXLE ASSY 4.33FDR - 320DH</t>
  </si>
  <si>
    <t>TM289T18</t>
  </si>
  <si>
    <t>ENGINE+T/M ASSY (EN2103+TM289)</t>
  </si>
  <si>
    <t>3010/L/F/L CWC/BSVI/ESC</t>
  </si>
  <si>
    <t>FR2219</t>
  </si>
  <si>
    <t>FRAME ASSY Pro3010 L CWC BSVI ESC</t>
  </si>
  <si>
    <t>CT1618RUP</t>
  </si>
  <si>
    <t>TRIM F/L CWL/Pro3010/BSVI/ESC</t>
  </si>
  <si>
    <t>3010/L/F/L CWC/AC/BSVI/ESC</t>
  </si>
  <si>
    <t>EN1112</t>
  </si>
  <si>
    <t>CT1621RUP</t>
  </si>
  <si>
    <t>TRIM F/L CWL/Pro3010/BSVI/24V/AC/ESC</t>
  </si>
  <si>
    <t>TM285T5</t>
  </si>
  <si>
    <t>ENGINE + T/M COUP(EN1112+TM285D)</t>
  </si>
  <si>
    <t>3010/L/F/L CWC/AC/RP/BSVI/ESC</t>
  </si>
  <si>
    <t>FR2217</t>
  </si>
  <si>
    <t>SKL Pro3010L F/L CWC/STF/AC/BSVI/RAS/ESC</t>
  </si>
  <si>
    <t>EN1145</t>
  </si>
  <si>
    <t>FR6523N</t>
  </si>
  <si>
    <t>SKL 3010 L STF AC BSVI 2X2 PB RD ESC</t>
  </si>
  <si>
    <t>TM285T12</t>
  </si>
  <si>
    <t>ENGINE + T/M COUP(EN1145+TM285D)</t>
  </si>
  <si>
    <t>SKL Pro 3010 L CWC 3L BSVI FAPS</t>
  </si>
  <si>
    <t>FR2398</t>
  </si>
  <si>
    <t>FR ASSY SKLPRO 3010 L STF 3L BSVI FAPS</t>
  </si>
  <si>
    <t>TRMD/Pro3010 L/CWC/BS6/ABS/CNG</t>
  </si>
  <si>
    <t>SKL Pro3010 L/CWC/BS6/ABS/CNG/Faps</t>
  </si>
  <si>
    <t>FR1251</t>
  </si>
  <si>
    <t>FRAME ASSY/Pro3010/L F/L CWL/BS6.</t>
  </si>
  <si>
    <t>CT1503RUP</t>
  </si>
  <si>
    <t>SKL Pro3010 L/CWC/CNG/AC/ABS/BSVI/ESC</t>
  </si>
  <si>
    <t>EN2104</t>
  </si>
  <si>
    <t>E494_BS6_C_100kW_24V_AB_AC_PS_B_I5</t>
  </si>
  <si>
    <t>RA385D</t>
  </si>
  <si>
    <t>FR2186</t>
  </si>
  <si>
    <t>FRAME ASSY/Pro3010/L F/L CWL/BSVI/ AC</t>
  </si>
  <si>
    <t>CT1585RUP</t>
  </si>
  <si>
    <t>TRIM ASSY/Pro3010LCWCABS/ACCNG24VBSVIESC</t>
  </si>
  <si>
    <t>TM289T20</t>
  </si>
  <si>
    <t>ENGINE+T/M ASSY (EN2104+TM289)</t>
  </si>
  <si>
    <t>Pro 3011/ K CWC/ 3L/ BSVI/OBD-II/ESC</t>
  </si>
  <si>
    <t>WELD COWL ASSY. WIDER BODY BSVI E474</t>
  </si>
  <si>
    <t>IA451703</t>
  </si>
  <si>
    <t>FR2211</t>
  </si>
  <si>
    <t>FRAME ASSY SKL PRO 3011K STF 3L BSVI ESC</t>
  </si>
  <si>
    <t>CT1612RUP</t>
  </si>
  <si>
    <t>TRIM ASSY/F/L CWL/Pro3011/BSVI/ESC</t>
  </si>
  <si>
    <t>Pro3011/L/F/L CWC/AC/BSVI/ESC</t>
  </si>
  <si>
    <t>WELD COWL ASSEMBLY WIDER BODY BSVI</t>
  </si>
  <si>
    <t>IA352855</t>
  </si>
  <si>
    <t>EN1113</t>
  </si>
  <si>
    <t>E494_BS6_D_120kW_24V_AB_AC_PS_B</t>
  </si>
  <si>
    <t>FR2451</t>
  </si>
  <si>
    <t>FRAME ASSY Pro3011 L CWC BSVI ESC</t>
  </si>
  <si>
    <t>CT1626RUP</t>
  </si>
  <si>
    <t>TRIM F/L CWL/Pro3011/BSVI/AC/24V/ESC</t>
  </si>
  <si>
    <t>TM285T7</t>
  </si>
  <si>
    <t>ENGINE + T/M COUP(EN1113+TM285D)</t>
  </si>
  <si>
    <t>SKL Pro3011L F/L CWC/STF/AC/BSVI/RAS/ESC</t>
  </si>
  <si>
    <t>EN1146</t>
  </si>
  <si>
    <t>FR6522N</t>
  </si>
  <si>
    <t>FRAME ASSY/Pro3011L/CWC/BSVI/ESC/RAS</t>
  </si>
  <si>
    <t>TM285T14</t>
  </si>
  <si>
    <t>ENGINE + T/M COUP(EN1146+TM285D)</t>
  </si>
  <si>
    <t>SKL Pro 3011/L/CWC/ 3L/ BSVI/FAPS</t>
  </si>
  <si>
    <t>FR2383</t>
  </si>
  <si>
    <t>FRAME ASSY  SKL  3011 L SCL 3L BSVI FAPS</t>
  </si>
  <si>
    <t>CT1577RUP</t>
  </si>
  <si>
    <t>TRIM ASSY/F/L CWL/Pro3011/BSVI/OBD-II</t>
  </si>
  <si>
    <t>Pro3011/L/F/L CWC/BSVI/ESC</t>
  </si>
  <si>
    <t>CT1619RUP</t>
  </si>
  <si>
    <t>TM285T15</t>
  </si>
  <si>
    <t>Pro 3011/ L CWC/ 3L/ BSVI/ESC</t>
  </si>
  <si>
    <t>FR2180</t>
  </si>
  <si>
    <t>FRAME PHANTOM SKL PRO 3011 L SCL 3L BSVI</t>
  </si>
  <si>
    <t>CT1579RUP</t>
  </si>
  <si>
    <t>SKL Pro 3011 G CWC 3L  BSVI ESC</t>
  </si>
  <si>
    <t>FR6414</t>
  </si>
  <si>
    <t>FRAME ASSY PRO 3011G SKL CWC 3L BSVI ESC</t>
  </si>
  <si>
    <t>CT2390RUP</t>
  </si>
  <si>
    <t>TRIM ASSY/G/CWL/3011/SKL/BSVI/ESC</t>
  </si>
  <si>
    <t>E494_BS6_D_120kW_12V_AB_AC_PS_T_I5</t>
  </si>
  <si>
    <t>RA564D</t>
  </si>
  <si>
    <t>REAR AXLE ASSY/ABS/5.857/370DH</t>
  </si>
  <si>
    <t>FA522N</t>
  </si>
  <si>
    <t>FRONT AXLE/Pro 3015/ABS</t>
  </si>
  <si>
    <t>E494_BS6_D_120kW_12V_AB_AC_PS_T_I5_HEGR</t>
  </si>
  <si>
    <t>Pro2110XPT/ECBC PTO/BS6/PRM/AC</t>
  </si>
  <si>
    <t>WELDED CABIN/2095/WITH HATCH/2M</t>
  </si>
  <si>
    <t>CW169</t>
  </si>
  <si>
    <t>EN3307</t>
  </si>
  <si>
    <t>TM563D</t>
  </si>
  <si>
    <t>TM/ASSY/PRO2110XPT/ET60S5/PTO HYVA BS6</t>
  </si>
  <si>
    <t>RA940D</t>
  </si>
  <si>
    <t>REAR AXLE/Pro 2114XPT/ABS/395DH/6.166</t>
  </si>
  <si>
    <t>FR2453</t>
  </si>
  <si>
    <t>FRAME ASSY/Pro 2110XPT/E/PTO</t>
  </si>
  <si>
    <t>CT25011CW</t>
  </si>
  <si>
    <t>TRIM CAB/Pro 2110XPT/PTO/BS6/PRM/5S/AC</t>
  </si>
  <si>
    <t>PS170</t>
  </si>
  <si>
    <t>PAINTED CABIN 2095/WITH HATCH/2M</t>
  </si>
  <si>
    <t>FA542N</t>
  </si>
  <si>
    <t>FRONT AXLE/Pro2110xpt</t>
  </si>
  <si>
    <t>TM563T4</t>
  </si>
  <si>
    <t>ENG+T/M COUP (TM563+EN3307)</t>
  </si>
  <si>
    <t>EN1156</t>
  </si>
  <si>
    <t>TM563T3</t>
  </si>
  <si>
    <t>ENG+T/M COUP (TM563+EN1156)</t>
  </si>
  <si>
    <t>FA548N</t>
  </si>
  <si>
    <t>FRONT AXLE/Pro2110/ABS</t>
  </si>
  <si>
    <t>Pro 2110XPT E CBC PTO BSVI PRM AC</t>
  </si>
  <si>
    <t>Pro2110XPT/ECBC PTO/BS6/PRM/OBDII/AC</t>
  </si>
  <si>
    <t>E494_BS6_D_120KW_12V_AB_AC_PS_T</t>
  </si>
  <si>
    <t>2050C/F/L/CWC/HB/ABS/BSVI/FAPS</t>
  </si>
  <si>
    <t>WELD COWL ASSY 1050/1075/1090 BS6(BUILTU</t>
  </si>
  <si>
    <t>IA350130</t>
  </si>
  <si>
    <t>EN1001O18</t>
  </si>
  <si>
    <t>E366_BS6_D_75kW_12V_HB_NAC_PS_B</t>
  </si>
  <si>
    <t>TM361D</t>
  </si>
  <si>
    <t>TM/ASSY 10.50 BSVI BUS/ET30S5/N-PTO</t>
  </si>
  <si>
    <t>RA336D</t>
  </si>
  <si>
    <t>REAR AXLE ASSY 4.3FDR - 267DH</t>
  </si>
  <si>
    <t>FR2380</t>
  </si>
  <si>
    <t>FRAME ASSY 2050 C BSVI HB FAPS</t>
  </si>
  <si>
    <t>CT1546RUP</t>
  </si>
  <si>
    <t>TRIMASSY F/L BUS/2050/C/D/HB/PS/BS6/OBD2</t>
  </si>
  <si>
    <t>FA183N</t>
  </si>
  <si>
    <t>FRONT AXLE 2050D CWC HB BS6</t>
  </si>
  <si>
    <t>TM361T9</t>
  </si>
  <si>
    <t>ENGINE + T/M COUP(EN1001O18+TM361D)</t>
  </si>
  <si>
    <t>2050D/F/L/CWC/HB/ABS/BSVI/FAPS</t>
  </si>
  <si>
    <t>FR2379</t>
  </si>
  <si>
    <t>FRAME ASSY 2050 D BSVI HB FAPS</t>
  </si>
  <si>
    <t>2050D/F/L/CWC/HB/ABS/BSVI</t>
  </si>
  <si>
    <t>2050D/F/L/CWC/HB/PS/ABS/BSVI/AC/FAPS</t>
  </si>
  <si>
    <t>EN1001O25</t>
  </si>
  <si>
    <t>E366_BS6_D_75kW_12V_HB_AC_PS_B</t>
  </si>
  <si>
    <t>RA317D</t>
  </si>
  <si>
    <t>REAR AXLE ASSY 4.7FDR - 267DH</t>
  </si>
  <si>
    <t>CT1548RUP</t>
  </si>
  <si>
    <t>TRIM F/LCWL/2050C/HB/PS/BSVI/5S/AC/OBDII</t>
  </si>
  <si>
    <t>TM361T11</t>
  </si>
  <si>
    <t>ENGINE + T/M COUP(EN1001O25 +TM361D)</t>
  </si>
  <si>
    <t>2050 D/SRL/CWC/STF/BSVI/MAX</t>
  </si>
  <si>
    <t>CT1655RUP</t>
  </si>
  <si>
    <t>TRIM F/L BUS/2050/C/D/HB/PS/BSVI/TLCS/AX</t>
  </si>
  <si>
    <t>2050 D/SRL/CWC/STF/BSVI/MAX/7.5R16</t>
  </si>
  <si>
    <t>2065 E CWC BSVI 3x2 AX/JX FAPS</t>
  </si>
  <si>
    <t>WELD COWL ASSY. MARKET 20.65 E BSVI</t>
  </si>
  <si>
    <t>IA450271</t>
  </si>
  <si>
    <t>EN1001O36</t>
  </si>
  <si>
    <t>E366_BS6_D_75kW_12V_AB_NAC_PS_B</t>
  </si>
  <si>
    <t>TM384D</t>
  </si>
  <si>
    <t>TM/ASSY/2065/BSVI BUS/ET30S5/N-PTO/AB</t>
  </si>
  <si>
    <t>RA310D</t>
  </si>
  <si>
    <t>REAR AXLE ASSY 4.7FDR - 305DH/BSVI/ESC</t>
  </si>
  <si>
    <t>FR2162</t>
  </si>
  <si>
    <t>FRAME ASSY 2065 E SRL CWC BS6</t>
  </si>
  <si>
    <t>CT2459RUP</t>
  </si>
  <si>
    <t>TRIM ASSY/COWL/2065 E/BSVI/FAPS/CS</t>
  </si>
  <si>
    <t>FA203N</t>
  </si>
  <si>
    <t>FRONT AXLE 2065 E CWC AB BS6</t>
  </si>
  <si>
    <t>TM384T2</t>
  </si>
  <si>
    <t>ENGINE + T/M COUP(EN1001O36+TM384D)OBD</t>
  </si>
  <si>
    <t>2065/E CWC/SRL/BS6/OBD-II</t>
  </si>
  <si>
    <t>WELD COWL ASSY.20.65E BSVI(BUILT_UP)</t>
  </si>
  <si>
    <t>IA450270</t>
  </si>
  <si>
    <t>CT1549RUP</t>
  </si>
  <si>
    <t>TRIM ASSY/F/L COWL/2065 E /BSVI/ABOBD-II</t>
  </si>
  <si>
    <t>2065/E CWC/SRL/BSVI/ESC</t>
  </si>
  <si>
    <t>FR2183</t>
  </si>
  <si>
    <t>FRAME ASSY 2065 E SRL CWC BSVI ESC</t>
  </si>
  <si>
    <t>CT1582RUP</t>
  </si>
  <si>
    <t>TRIM ASSY/F/L COWL/2065 E /BSVI/ESC</t>
  </si>
  <si>
    <t>2070/E F/L CWC/SRL/AC/BS6/OBD-II</t>
  </si>
  <si>
    <t>EN1001O32</t>
  </si>
  <si>
    <t>E474_BS6_D_105kW_12V_AB_AC_PS_B</t>
  </si>
  <si>
    <t>TM363D</t>
  </si>
  <si>
    <t>TM/ASSY/10.75 BSVI/ET35S5 AB-N PTO</t>
  </si>
  <si>
    <t>FR2156</t>
  </si>
  <si>
    <t>FRAME PHANTOM 2070E SRL CWC BS6</t>
  </si>
  <si>
    <t>CT1560RUP</t>
  </si>
  <si>
    <t>TRIMASSY/F/L CWL2075E/BSVIABPSAC5SOBD-II</t>
  </si>
  <si>
    <t>FA188N</t>
  </si>
  <si>
    <t>FRONT AXLE 2075 H CWC AB BS6</t>
  </si>
  <si>
    <t>TM363T17</t>
  </si>
  <si>
    <t>ENGINE + T/M COUP(EN1001O32+TM363D)OBD</t>
  </si>
  <si>
    <t>EN1001O57</t>
  </si>
  <si>
    <t>E474_BS6_D_105kW_12V_AB_NAC_PS_B_120HP</t>
  </si>
  <si>
    <t>TM363T19</t>
  </si>
  <si>
    <t>ENGINE + T/M COUP(EN1001O57+TM363D)OBD</t>
  </si>
  <si>
    <t>2070/E F/L CWC/SRL/BS6/OBD-II/ESC</t>
  </si>
  <si>
    <t>FR2184</t>
  </si>
  <si>
    <t>FRAME PHANTOM 2070E SRL CWC BSVI ESC</t>
  </si>
  <si>
    <t>CT1600RUP</t>
  </si>
  <si>
    <t>TRIM F/L COWL/2070/E/BSVI/AB/5S/ESC</t>
  </si>
  <si>
    <t>2070/E F/L CWC/SRL/BS6/OBD-II</t>
  </si>
  <si>
    <t>CT1559RUP</t>
  </si>
  <si>
    <t>TRIM ASSY/F/L COWL/2070 E BSVIAB5SOBD-II</t>
  </si>
  <si>
    <t>2070 E F/L CWC AB PS BS6 CNG FAPS</t>
  </si>
  <si>
    <t>WELD COWL 20.70/75/90STR BSVI CNG B-up</t>
  </si>
  <si>
    <t>IA356413</t>
  </si>
  <si>
    <t>EN300T9</t>
  </si>
  <si>
    <t>E483_BS6_C_85kW_12V_AB_NAC_PS_B_I5</t>
  </si>
  <si>
    <t>TM374D</t>
  </si>
  <si>
    <t>TM/ASSY/20.75 CNG CW BS6/ET35S5/N-PTO AB</t>
  </si>
  <si>
    <t>RA329D</t>
  </si>
  <si>
    <t>REAR AXLE/2075/AB/4.7FDR/305DH</t>
  </si>
  <si>
    <t>FR2407</t>
  </si>
  <si>
    <t>FRAME INSTAL 2070 E WB CNG BS6</t>
  </si>
  <si>
    <t>CT1442RUP</t>
  </si>
  <si>
    <t>TRIM ASSY/2070 F/L CWC/AB/PS/BS6/CNG/5S</t>
  </si>
  <si>
    <t>TM374T2</t>
  </si>
  <si>
    <t>ENG+TM COUP CNG BS6 (EN300T9+TM374D)</t>
  </si>
  <si>
    <t>20.70 E F/L CWC AC AB PS BS6 CNG FAPS</t>
  </si>
  <si>
    <t>EN300T8</t>
  </si>
  <si>
    <t>E483_BS6_C_85kW_12V_AB_CHAC_PS_B_I5</t>
  </si>
  <si>
    <t>RA328D</t>
  </si>
  <si>
    <t>REAR AXLE/2070/AB/5.857FDR/305DH</t>
  </si>
  <si>
    <t>FR2399</t>
  </si>
  <si>
    <t>FRAME INSTAL 2070 EWB CNG BS6 FAPS</t>
  </si>
  <si>
    <t>CT2874RUP</t>
  </si>
  <si>
    <t>TRIM ASSY/2075/H/BS6/AB/CNG/5S/AC/FAPS</t>
  </si>
  <si>
    <t>TM374T1</t>
  </si>
  <si>
    <t>ENG+TM COUP CNG BS6 (EN300T8+TM374D)</t>
  </si>
  <si>
    <t>RA382D</t>
  </si>
  <si>
    <t>REAR AXLE/2075/AB/4.7FDR/305DH/BS6/ESC</t>
  </si>
  <si>
    <t>FR2423</t>
  </si>
  <si>
    <t>FRAME ASSY/2070/E/SRL/CNG/BS6/ESC</t>
  </si>
  <si>
    <t>CT2551RUP</t>
  </si>
  <si>
    <t>2075H/AB/PS/SRL/BSVI/ABS/OBD-II</t>
  </si>
  <si>
    <t>FR2137</t>
  </si>
  <si>
    <t>FRAME ASSY 2075 H SRL CWC BS6 AB OBDII</t>
  </si>
  <si>
    <t>CT1561RUP</t>
  </si>
  <si>
    <t>TRIM ASSY/F/L CWL2075HABPS/BSVI/5SOBD-II</t>
  </si>
  <si>
    <t>2075/G/CWC/AB/PS/BSVI/ABS/FAPS</t>
  </si>
  <si>
    <t>FR2245</t>
  </si>
  <si>
    <t>2075 G SRL SCL 3x2 AC BS VI</t>
  </si>
  <si>
    <t>FR2195</t>
  </si>
  <si>
    <t>2075 H SKL STF PB AC GPS BS VI ESC</t>
  </si>
  <si>
    <t>2075 H CWC BSVI 3x2 AX/JX FAPS</t>
  </si>
  <si>
    <t>CT2460RUP</t>
  </si>
  <si>
    <t>TRIM ASSY/COWL/2075/E/BSVI/ABS/FAPS/CS</t>
  </si>
  <si>
    <t>2075H/AB/PS/SRL/BSVI/ABS/OBD-II/ESC</t>
  </si>
  <si>
    <t>FR2193</t>
  </si>
  <si>
    <t>2075 H SRL STF DD GPS BS VI ESC</t>
  </si>
  <si>
    <t>CT1601RUP</t>
  </si>
  <si>
    <t>TRIM F/L CWL/2075H/AB/PS/BSVI/5S/ESC</t>
  </si>
  <si>
    <t>2075 H SKL CWC BSVI LX</t>
  </si>
  <si>
    <t>2075H/SRL/AB/PS/AC/BS6/OBD-II</t>
  </si>
  <si>
    <t>2075/G/CWC/AB/PS/BSVI/ABS/ESC</t>
  </si>
  <si>
    <t>FR2196</t>
  </si>
  <si>
    <t>FRAME ASSY 2075 G CWC BS VI ESC</t>
  </si>
  <si>
    <t>2075H/AB/PS/BS6/ABS/OBD-II/ESC</t>
  </si>
  <si>
    <t>2075/G/CWC/AB/PS/BSVI/ABS/FAPS/AJX</t>
  </si>
  <si>
    <t>IA457951</t>
  </si>
  <si>
    <t>CT2565RUP</t>
  </si>
  <si>
    <t>TRIM ASSY/COWL/2075/BSVI/ABS/FAPS/CS/AJX</t>
  </si>
  <si>
    <t>2075H/F/L/CWC/Skl/BSVI/Lx/Faps</t>
  </si>
  <si>
    <t>2075 G SKL CWC BSVI LX</t>
  </si>
  <si>
    <t>FR2155</t>
  </si>
  <si>
    <t>FRAME PHANTOM 2075G  CWC BS6</t>
  </si>
  <si>
    <t>REAR AXLE ASSY 5.286FDR - 305DH</t>
  </si>
  <si>
    <t>2075/H/CWC/AB/PS/AC/BS6/ABS/OBD-II</t>
  </si>
  <si>
    <t>FR2153</t>
  </si>
  <si>
    <t>FRAME ASSY 2075 H CWC BS6 AB</t>
  </si>
  <si>
    <t>CT1567RUP</t>
  </si>
  <si>
    <t>TRIM ASSY/F/L CWL/2075G/BSVI/5S/OBD-II</t>
  </si>
  <si>
    <t>FR2388</t>
  </si>
  <si>
    <t>2075 H F/L CWC AC/AB PS BS6 CNG/FAPS</t>
  </si>
  <si>
    <t>2075 H/CWC/AB/PS/ABS/CNG/BSVI/FAPS</t>
  </si>
  <si>
    <t>CT1440RUP</t>
  </si>
  <si>
    <t>TRIM ASSY/2075 H/BS6/AB/PS/CNG/5S</t>
  </si>
  <si>
    <t>2090 K SRL CWC HVAC BSVI ESC LX</t>
  </si>
  <si>
    <t>EN1001O15</t>
  </si>
  <si>
    <t>FR2198</t>
  </si>
  <si>
    <t>2090 K CWC GPS BS VI ESC</t>
  </si>
  <si>
    <t>CT2532RUP</t>
  </si>
  <si>
    <t>TRIM ASSY/2090/HVAC/BSVI/ESC/TEL/LX</t>
  </si>
  <si>
    <t>TM363T21</t>
  </si>
  <si>
    <t>ENGINE + T/M COUP(EN1001O15+TM363D) AC</t>
  </si>
  <si>
    <t>2090 L CWC BSVI 3x2 AX/JX FAPS</t>
  </si>
  <si>
    <t>FR2160</t>
  </si>
  <si>
    <t>FRAME INSTALL 2090 BSVI STARLINE 5S</t>
  </si>
  <si>
    <t>CT2461RUP</t>
  </si>
  <si>
    <t>TRM ASSY/CWL/2090L/ABS/BSVI/5S/FAPS/CS</t>
  </si>
  <si>
    <t>2090L/F/L/CWC/AB/PS/BS6/5S/OBD-II</t>
  </si>
  <si>
    <t>CT1554RUP</t>
  </si>
  <si>
    <t>TRIM ASSY/2090/K/CWC/BSVI/OBD-II</t>
  </si>
  <si>
    <t>2090L/F/L/CWC/AB/PS/BS6/5S/OBD-II/ESC</t>
  </si>
  <si>
    <t>FR2197</t>
  </si>
  <si>
    <t>2090 L SRL 5S STF DD GPS BS VI ESC</t>
  </si>
  <si>
    <t>CT1596RUP</t>
  </si>
  <si>
    <t>TRIM ASSY/2090/K/CWC/BSVI/ESC</t>
  </si>
  <si>
    <t>TM367D</t>
  </si>
  <si>
    <t>T/M/ASSY /2090/BS6/BUS/ET35S6</t>
  </si>
  <si>
    <t>RA308D</t>
  </si>
  <si>
    <t>FR2151</t>
  </si>
  <si>
    <t>2090 L CWC AC GPS BS VI OBD II</t>
  </si>
  <si>
    <t>FA187N</t>
  </si>
  <si>
    <t>FRONT AXLE 2090L CWC AB BS6</t>
  </si>
  <si>
    <t>TM367T5</t>
  </si>
  <si>
    <t>ENGINE + T/M COUP(EN1001O15+TM367D)</t>
  </si>
  <si>
    <t>EN1001O20</t>
  </si>
  <si>
    <t>RA315D</t>
  </si>
  <si>
    <t>TM367T6</t>
  </si>
  <si>
    <t>ENGINE + T/M COUP(EN1001O20+TM367D)</t>
  </si>
  <si>
    <t>2090 L SKL CWC BSVI LX</t>
  </si>
  <si>
    <t>CT1557RUP</t>
  </si>
  <si>
    <t>TRM ASSY/F/L CWL2090L/AB/PSBSVI6S/OBD-II</t>
  </si>
  <si>
    <t>2090L/F/L/CWC/AB/PS/BS6/OBD-II/ESC</t>
  </si>
  <si>
    <t>FR2185</t>
  </si>
  <si>
    <t>FRAME ASSY 2090L SKL CWC BSVI ESC</t>
  </si>
  <si>
    <t>CT1598RUP</t>
  </si>
  <si>
    <t>TRM ASSY/F/L CWL2090L/AB/PSBSVI6S/ESC</t>
  </si>
  <si>
    <t>FR2194</t>
  </si>
  <si>
    <t>2090 L CWC GPS BS VI ESC</t>
  </si>
  <si>
    <t>2090L/F/L/CWC/AB/PS/BSVI/ESC</t>
  </si>
  <si>
    <t>CT1584RUP</t>
  </si>
  <si>
    <t>TRM ASSY F/L CWL/2090L/PS/6S/BSVI/ESC/AC</t>
  </si>
  <si>
    <t>TM367T7</t>
  </si>
  <si>
    <t>ENGINE + T/M COUP (EN1001O32+TM367D)</t>
  </si>
  <si>
    <t>2090/K/F/L/CWC/AB/PS/BS6/5S/ESC</t>
  </si>
  <si>
    <t>CT1594RUP</t>
  </si>
  <si>
    <t>TRM F/L CWL/2090L/AB/PS/5S/AC/ESC</t>
  </si>
  <si>
    <t>2090 L CWC SKL RP BSVI ESC LX</t>
  </si>
  <si>
    <t>CT2472RUP</t>
  </si>
  <si>
    <t>TRM ASSY CWL2090L/BSVI/2*2/ESC</t>
  </si>
  <si>
    <t>2090L/F/L/CWC/Skl/ BSVI/Lx/Faps</t>
  </si>
  <si>
    <t>CT1556RUP</t>
  </si>
  <si>
    <t>TRM ASSY/FL CWL/2090LAB/PS/BSVI/6SOBD-II</t>
  </si>
  <si>
    <t>2090L/F/L/CWC/AB/PS/ABS/AC/BS6/OBD-II</t>
  </si>
  <si>
    <t>2090 K SKL CWC BSVI LX</t>
  </si>
  <si>
    <t>FR2161</t>
  </si>
  <si>
    <t>2090 K CWC GPS BS VI OBD II</t>
  </si>
  <si>
    <t>2090L/F/L/CWC/AB/PS/ABS/BS6/OBD-II/ESC</t>
  </si>
  <si>
    <t>2090/L/CWC/AB/PS/BSVI/FAPS/AJX</t>
  </si>
  <si>
    <t>2090K/F/L/CWC/AB/PS/BS6/5S/FAPS/AJX</t>
  </si>
  <si>
    <t>FR2415</t>
  </si>
  <si>
    <t>FRAME ASSY 2090 K SRL BSVI 5S FAPS</t>
  </si>
  <si>
    <t>2090 L F/L CWC AC/AB PS BS6 CNG/FAPS</t>
  </si>
  <si>
    <t>FR2445</t>
  </si>
  <si>
    <t>FR ASSY 2090 L CNG SKL STF BS6 AC</t>
  </si>
  <si>
    <t>RA332D</t>
  </si>
  <si>
    <t>REAR AXLE/2090/AB/5.286 FDR/305DH</t>
  </si>
  <si>
    <t>FR2441</t>
  </si>
  <si>
    <t>2090 L CNG SKL STF BS6</t>
  </si>
  <si>
    <t>2090 L F/L CWC AB PS BS6 CNG FAPS</t>
  </si>
  <si>
    <t>CT1443RUP</t>
  </si>
  <si>
    <t>TRIM ASSY/2090 F/L CWC/AB/PS/BS6/CNG/5S</t>
  </si>
  <si>
    <t>2090/L/F/L CWC AB PS BS6 CNG/SCL/SC/NW</t>
  </si>
  <si>
    <t>RA387D</t>
  </si>
  <si>
    <t>REAR AXLE/2090/AB/5.286 FDR/305DH/ESC</t>
  </si>
  <si>
    <t>FR2472</t>
  </si>
  <si>
    <t>FRAME ASSY/2090/L/AB/PS/CNG/BS6/ESC/AC</t>
  </si>
  <si>
    <t>CT1645RUP</t>
  </si>
  <si>
    <t>TRIM ASSY/2090 F/L /AB/PS/BS6/CNG/5S/ESC</t>
  </si>
  <si>
    <t>2090 L F/L CWC AC/AB/PS BS6/CNG/ESC</t>
  </si>
  <si>
    <t>RA383D</t>
  </si>
  <si>
    <t>REAR AXLE/2070/AB/5.857FDR/305DH/BS6/ESC</t>
  </si>
  <si>
    <t>FR2447</t>
  </si>
  <si>
    <t>FRAME ASSY/2090 L/AB/PS/BS6/CNG/ESC/AC</t>
  </si>
  <si>
    <t>CT1587RUP</t>
  </si>
  <si>
    <t>TRIM ASSY2070/AC CWCAB/PSCNG5S/BS6/ESC</t>
  </si>
  <si>
    <t>2015/N/F/LCWC/LHD/AC/E3/ABS</t>
  </si>
  <si>
    <t>WELD COWL ASSLY-20.15 LHD_PDO</t>
  </si>
  <si>
    <t>IA357795</t>
  </si>
  <si>
    <t>EN769</t>
  </si>
  <si>
    <t>E694_BS3_D_134kW_24V_AB_NAC_PS_B</t>
  </si>
  <si>
    <t>TM796D</t>
  </si>
  <si>
    <t>T/M ASSY/2015/COWL/6S/5.286</t>
  </si>
  <si>
    <t>RA730D</t>
  </si>
  <si>
    <t>REAR AXLE/2015/BS3/5.286/LHD/ABS</t>
  </si>
  <si>
    <t>FR883N</t>
  </si>
  <si>
    <t>FRAME ASSY/2015/LHD/ABS</t>
  </si>
  <si>
    <t>CT6138</t>
  </si>
  <si>
    <t>F/L COWL/2015/LHD/PS/6S/24V/AC/ABS</t>
  </si>
  <si>
    <t>FA641N</t>
  </si>
  <si>
    <t>FRONT AXLE 2015 LHD PS ABS</t>
  </si>
  <si>
    <t>TM796T1</t>
  </si>
  <si>
    <t>ENG &amp; T/M COUP 2015 (EN769+TM796 5.286)</t>
  </si>
  <si>
    <t>20.15 N LHD CWC E5 HVAC 65S SD</t>
  </si>
  <si>
    <t>IA457061</t>
  </si>
  <si>
    <t>EN842</t>
  </si>
  <si>
    <t>MDE5_E5_24V_NAC_B</t>
  </si>
  <si>
    <t>TM873D</t>
  </si>
  <si>
    <t>TM ASSY/20.15/ET90S6/NPTO/E5/LHD</t>
  </si>
  <si>
    <t>RA950D</t>
  </si>
  <si>
    <t>REAR AXLE/20.15/LHD/E5/4.8FDR</t>
  </si>
  <si>
    <t>FR6406N</t>
  </si>
  <si>
    <t>FRAME ASSY. 2015/N/WS/6S/EU5</t>
  </si>
  <si>
    <t>CT6401</t>
  </si>
  <si>
    <t>F/L COWL/20.15/LHD/E5/HVAC/SD</t>
  </si>
  <si>
    <t>FA783N</t>
  </si>
  <si>
    <t>FRONT AXLE Pro 2015 LHD/E4/ABS</t>
  </si>
  <si>
    <t>TM873T1</t>
  </si>
  <si>
    <t>ENG &amp; T/M COUP E5 (TM873D+EN842)</t>
  </si>
  <si>
    <t>20.15 R LHD IS CWC E4 ACD 70S HHR SD BUS</t>
  </si>
  <si>
    <t>EN791</t>
  </si>
  <si>
    <t>E694_BS4_D_144kW_24V_AB_NAC_PS_B</t>
  </si>
  <si>
    <t>RA855D</t>
  </si>
  <si>
    <t>REAR AXLE/Pro 6016/BS6/5.286/RHD/ABS/SE</t>
  </si>
  <si>
    <t>FR6318N</t>
  </si>
  <si>
    <t>FRAME ASSY/2015/LHD/ACD</t>
  </si>
  <si>
    <t>CT6414</t>
  </si>
  <si>
    <t>TM796T3</t>
  </si>
  <si>
    <t>ENG &amp; T/M COUP 2015 (EN791+TM796D)</t>
  </si>
  <si>
    <t>FR6122N</t>
  </si>
  <si>
    <t>FRAME ASSY/2015/N/LHD/ABS</t>
  </si>
  <si>
    <t>CT6132</t>
  </si>
  <si>
    <t>WELDED CABIN/PRO 5016/RHD/LR/HBGSL</t>
  </si>
  <si>
    <t>CW623</t>
  </si>
  <si>
    <t>PS628</t>
  </si>
  <si>
    <t>PAINTED CABIN/PRO 5016/RHD/LR/HBGSL</t>
  </si>
  <si>
    <t>FA630N</t>
  </si>
  <si>
    <t>FRONT AXLE PRO 5016T RHD BS4 10BLT</t>
  </si>
  <si>
    <t>Pro 5016T E CBC RHD FET HK BS4 EXP</t>
  </si>
  <si>
    <t>EN734</t>
  </si>
  <si>
    <t>E694_BS4_D_144kW_24V_AB_NAC_PS_T</t>
  </si>
  <si>
    <t>TM831D</t>
  </si>
  <si>
    <t>T/M ASSY/ET90S6/PRO 5040/RHD/6.428/PTO</t>
  </si>
  <si>
    <t>RA742D</t>
  </si>
  <si>
    <t>REAR AXLE PRO 5016TIPPER/RHD/ 5.857</t>
  </si>
  <si>
    <t>FR779N</t>
  </si>
  <si>
    <t>FRAME ASSY Pro 5016T CAB/3485WB/BS4</t>
  </si>
  <si>
    <t>CT984</t>
  </si>
  <si>
    <t>CAB PRO 5016TIP/24V/ABS/TRIMMED/FET/IS</t>
  </si>
  <si>
    <t>TM831T1</t>
  </si>
  <si>
    <t>ENG &amp; TM CUP 5040 BS4(EN734+TM831)</t>
  </si>
  <si>
    <t>WELDED CABIN/PRO 5035TT/RHD/LR/HBGSL</t>
  </si>
  <si>
    <t>CW625</t>
  </si>
  <si>
    <t>EN837</t>
  </si>
  <si>
    <t>Cummins_Inline (truck) 180 HP BSIII</t>
  </si>
  <si>
    <t>PS630</t>
  </si>
  <si>
    <t>PAINTED CABIN/PRO 5035TT/RHD/LR/HBGSL</t>
  </si>
  <si>
    <t>FA609N</t>
  </si>
  <si>
    <t>FRONT AXLE 6X4,TERRA25 RHD (REPL)</t>
  </si>
  <si>
    <t>TANDEM REAR FWD AXLE(R1)</t>
  </si>
  <si>
    <t>Pro 5025T G CBC B3 OY 16CM 9S B</t>
  </si>
  <si>
    <t>TM843</t>
  </si>
  <si>
    <t>TM843D,T/M ASSY/Pro5025G/ZF/9S/EXP</t>
  </si>
  <si>
    <t>RA918N</t>
  </si>
  <si>
    <t>REAR AXLE FWD/T25/VECV/BOGI/6.833</t>
  </si>
  <si>
    <t>FR6401N</t>
  </si>
  <si>
    <t>FRAME ASSY/Pro5025T/G/RHD/5000WB</t>
  </si>
  <si>
    <t>CT6334</t>
  </si>
  <si>
    <t>TRIM CABIN/Pro5025G/24V/BS3/NABS/EXP</t>
  </si>
  <si>
    <t>TM843T3</t>
  </si>
  <si>
    <t>ENG+T/M CUP Pro 5025G BS3 (TM843+EN837)</t>
  </si>
  <si>
    <t>RA919N</t>
  </si>
  <si>
    <t>REAR AXLE REAR/T25/VECV/BOGI/6.833/EX</t>
  </si>
  <si>
    <t>WELDED CABIN/VE2100-2.3M/RHD/WIDE/SPLR</t>
  </si>
  <si>
    <t>CW616</t>
  </si>
  <si>
    <t>PS615</t>
  </si>
  <si>
    <t>PAINTED CABIN/VE2100-2.3M/WIDE/SPLR</t>
  </si>
  <si>
    <t>TM1007D</t>
  </si>
  <si>
    <t>TM ASSY. 9 SPEED</t>
  </si>
  <si>
    <t>Skyline Pro E 12m EV CWC AC</t>
  </si>
  <si>
    <t>12M STAFF WELD COWL</t>
  </si>
  <si>
    <t>IA456958</t>
  </si>
  <si>
    <t>RA931D</t>
  </si>
  <si>
    <t>REAR AXLE ASSY/12 M EV/440DH/6.43FDR</t>
  </si>
  <si>
    <t>FR6459N</t>
  </si>
  <si>
    <t>FRAME ASSY 12M EV BUS AIR SUSPSPENSION</t>
  </si>
  <si>
    <t>CT6374</t>
  </si>
  <si>
    <t>TRIM CAB ASSY 12M EV STAFF</t>
  </si>
  <si>
    <t>FA810N</t>
  </si>
  <si>
    <t>FRONT AXLE ASSY 12m EV staff ABS</t>
  </si>
  <si>
    <t>WELDED CABIN/VE2100-2.3M/RHD/WIDE/DAY</t>
  </si>
  <si>
    <t>CW619</t>
  </si>
  <si>
    <t>EN831</t>
  </si>
  <si>
    <t>TM854D</t>
  </si>
  <si>
    <t>T/M ASSY/ Pro6019T/ET90S6/RHD/PTO</t>
  </si>
  <si>
    <t>RA872D</t>
  </si>
  <si>
    <t>REAR AXLE/6019TBS6/458DH-5.857FDR/ABS</t>
  </si>
  <si>
    <t>FR6074N</t>
  </si>
  <si>
    <t>CT6289</t>
  </si>
  <si>
    <t>Pro6019XPT/2.3DAY/BS6/PRM/OBD/240HP</t>
  </si>
  <si>
    <t>PS623</t>
  </si>
  <si>
    <t>PAINTED CABIN VE2100 2.3M WIDE DAY</t>
  </si>
  <si>
    <t>FA772N</t>
  </si>
  <si>
    <t>FRONT AXLE PRO 6019T ABS KERLA BS6</t>
  </si>
  <si>
    <t>TM854T17</t>
  </si>
  <si>
    <t>ENG+T/M COUPLING(EN831+TM854D)PRM BS6</t>
  </si>
  <si>
    <t>Pro 6019XPT F CBC PRM BS6 11x20 EB OBD</t>
  </si>
  <si>
    <t>CT6558</t>
  </si>
  <si>
    <t>TM854T19</t>
  </si>
  <si>
    <t>ENG+T/M COUPLING(EN831+TM854D)BS6</t>
  </si>
  <si>
    <t>TM1004D</t>
  </si>
  <si>
    <t>TM ASSY 9 SPEED PTO</t>
  </si>
  <si>
    <t>RA938N</t>
  </si>
  <si>
    <t>FA737N</t>
  </si>
  <si>
    <t>FRONT AXLE VE2100 6X4 RHD ABS EXPORT</t>
  </si>
  <si>
    <t>RA939N</t>
  </si>
  <si>
    <t>TANDEM REAR REAR AXLE(R2)</t>
  </si>
  <si>
    <t>EN818</t>
  </si>
  <si>
    <t>MDE8_EU3_D_24V_AC_T_EPTO</t>
  </si>
  <si>
    <t>TM1003D</t>
  </si>
  <si>
    <t>TM ASSY/140S9/DD/SAE1/N-PTO/TWIN LEV/RH</t>
  </si>
  <si>
    <t>FR6460N</t>
  </si>
  <si>
    <t>FRAME ASSY/RHD/6X4TP/280HP/VECV AXLE/EXP</t>
  </si>
  <si>
    <t>TM11003T1</t>
  </si>
  <si>
    <t>ENG+T/M COUPLING (EN818+TM1003D) EXP</t>
  </si>
  <si>
    <t>Pro6025TM G RHD CBC E3 DW PRM EXP</t>
  </si>
  <si>
    <t>CT6411</t>
  </si>
  <si>
    <t>Pro6025TM/E3/PRM/EXP/DW/EXP</t>
  </si>
  <si>
    <t>Pro 6028T/G/CBC/PRM/SRT/11R20/VX/OBDII</t>
  </si>
  <si>
    <t>EN814</t>
  </si>
  <si>
    <t>MDE8_BS6_D_24V_AC_T_OBDII</t>
  </si>
  <si>
    <t>RA864N</t>
  </si>
  <si>
    <t>TANDEM REAR FWD AXLE R1 5.29 W/O DIFF TF</t>
  </si>
  <si>
    <t>FR6293N</t>
  </si>
  <si>
    <t>FRAME ASSY/RHD/6X4T/STR WB/BS6/VEX N FBT</t>
  </si>
  <si>
    <t>CT6254</t>
  </si>
  <si>
    <t>TRIM CAB/2.3DAY/RHD/BS6/ABS/PRM/SRT/VEX</t>
  </si>
  <si>
    <t>FA770N</t>
  </si>
  <si>
    <t>FRONT AXLE Pro 6028T 6X4, RHD (REPL) BS6</t>
  </si>
  <si>
    <t>TM1004T25</t>
  </si>
  <si>
    <t>ENG+T/M COUPLING(EN814+TM1004D) BS6 OBD</t>
  </si>
  <si>
    <t>RA866N</t>
  </si>
  <si>
    <t>TANDEM REAR REAR AXLE(R2)5.29 W/O DIFF Q</t>
  </si>
  <si>
    <t>Pro6028T/CBC/SRT/PRM/11X20ML/VX/BSVI/BB</t>
  </si>
  <si>
    <t>Pro 6028T/G/CBC/PRM/SRT/11X20/VX/OBDII</t>
  </si>
  <si>
    <t>RA927N</t>
  </si>
  <si>
    <t>TANDEM REAR FWD AXLE R1 4.8  470DH</t>
  </si>
  <si>
    <t>FR6455N</t>
  </si>
  <si>
    <t>FR ASSY/Pro6028XPT/6X4/SHRTR/BSVI/FS/VX</t>
  </si>
  <si>
    <t>CT6370</t>
  </si>
  <si>
    <t>6028XPT/HSA/SLP/BSVI/PRM/VEX/ABS/300HP</t>
  </si>
  <si>
    <t>RA928N</t>
  </si>
  <si>
    <t>TANDEM REAR RR AXLE(R2)4.8FDR 470DH</t>
  </si>
  <si>
    <t>Pro 6028XPT/G/CBC/AMT/PRM/SRT/11R20/BSVI</t>
  </si>
  <si>
    <t>TM1008D</t>
  </si>
  <si>
    <t>TM ASSY/140S9/SAE2/PTO/AMT</t>
  </si>
  <si>
    <t>FR6594N</t>
  </si>
  <si>
    <t>FR ASSY/Pro6028XPT/AMT/SHRTR/BSVI/FS/VX</t>
  </si>
  <si>
    <t>CT6535</t>
  </si>
  <si>
    <t>TM1008T8</t>
  </si>
  <si>
    <t>ENG+TM COUP(EN814+TM1004) BSVI AMT</t>
  </si>
  <si>
    <t>CW613</t>
  </si>
  <si>
    <t>PS616</t>
  </si>
  <si>
    <t>FA764N</t>
  </si>
  <si>
    <t>FRONT AXLE FRONT PRO 6019T BS4 HB CGT</t>
  </si>
  <si>
    <t>TANDEM REAR AXLE(R2)6.166FDR ABS RMC BCS</t>
  </si>
  <si>
    <t>Pro 6028TM G BSVI PRM CBC 8EPTO BCS 9SXP</t>
  </si>
  <si>
    <t>EN839</t>
  </si>
  <si>
    <t>MDE5_BS6_D_24V_NAC_T_OBDII</t>
  </si>
  <si>
    <t>RA922N</t>
  </si>
  <si>
    <t>TANDEM REAR FWD AXLE(R1)5.286FDR RMC BCS</t>
  </si>
  <si>
    <t>FR6338N</t>
  </si>
  <si>
    <t>FRAME ASSY Pro 6028TM RMC BS6 BCS PRM</t>
  </si>
  <si>
    <t>CT6359</t>
  </si>
  <si>
    <t>6028TM/2.3D/XP/BCS/PRM/BSVI/240HP/9SLOGO</t>
  </si>
  <si>
    <t>TM1007T36</t>
  </si>
  <si>
    <t>ENG+T/M CUPLING (EN839+TM1007D)OBDII PRM</t>
  </si>
  <si>
    <t>RA923N</t>
  </si>
  <si>
    <t>TANDEM REAR AXLE(R2)5.286FDR ABS RMC BCS</t>
  </si>
  <si>
    <t>Pro6028TM J BSVI CBCSST PRM 10EPTO 11X20</t>
  </si>
  <si>
    <t>EN827</t>
  </si>
  <si>
    <t>MDE8_BS6_D_24V_AC_T_OBD</t>
  </si>
  <si>
    <t>RA934N</t>
  </si>
  <si>
    <t>TANDEM REAR FWD AXLE R1 5.286 - 440DH</t>
  </si>
  <si>
    <t>FR6488N</t>
  </si>
  <si>
    <t>FR ASSY/Pro6028TM/J/BSVI/PRM/10EPTO/SST</t>
  </si>
  <si>
    <t>CT6385</t>
  </si>
  <si>
    <t>6028TM/2.3D/BSVI/PRMABS/SRT/SST/300HP</t>
  </si>
  <si>
    <t>TM1003T27</t>
  </si>
  <si>
    <t>ENG+T/M CUPLNG(EN827+TM1003D) BSVI PRM</t>
  </si>
  <si>
    <t>RA935N</t>
  </si>
  <si>
    <t>TANDEM REAR REAR AXLE(R2) 5.286FDR 440DH</t>
  </si>
  <si>
    <t>Pro 6028TM J BSVI CBC SST PRM 11X20</t>
  </si>
  <si>
    <t>FR6486N</t>
  </si>
  <si>
    <t>FRAMEASSY/Pro6028TM/J/BSVI/PRM/9EPTO/SST</t>
  </si>
  <si>
    <t>RA936N</t>
  </si>
  <si>
    <t>TANDEM REAR FWD AXLE RA1 5.76FDR 305DH</t>
  </si>
  <si>
    <t>FR6456N</t>
  </si>
  <si>
    <t>FRAME ASSY PRO 6035T(8X4T) BS6 FS HRT</t>
  </si>
  <si>
    <t>CT6371</t>
  </si>
  <si>
    <t>TRIM CAB/2.3DAY/8X4T/BS6/ABS/PRM/OBD/HRT</t>
  </si>
  <si>
    <t>FA768N</t>
  </si>
  <si>
    <t>Front Axle Pro 6035T RHD FA1 ABS</t>
  </si>
  <si>
    <t>RA937N</t>
  </si>
  <si>
    <t>TANDEM REAR AXLE RA2, 5.76FDR -305DH AB</t>
  </si>
  <si>
    <t>FA769N</t>
  </si>
  <si>
    <t>FRONT AXLE Pro 6035T RHD FA2 NON ABS</t>
  </si>
  <si>
    <t>Pro 6035XPT L CBC BSVI PRM 11R20 300HP</t>
  </si>
  <si>
    <t>RA944N</t>
  </si>
  <si>
    <t>TANDEM REAR FWD AXLE RA1 1.38FDR 305DH</t>
  </si>
  <si>
    <t>FR6497N</t>
  </si>
  <si>
    <t>FRAME ASSY Pro 6035XPT(8X4T) BSVI FS HRT</t>
  </si>
  <si>
    <t>CT6398</t>
  </si>
  <si>
    <t>6035XPT /HSA/SPL/BSVI/ABS/PRM/HRT/300HP</t>
  </si>
  <si>
    <t>RA945N</t>
  </si>
  <si>
    <t>TANDEM REAR AXLE RA2 1_38FDR 305DH ABS</t>
  </si>
  <si>
    <t>Pro 6035T L CBC BS6 PRM 11X20ML OBD HRT</t>
  </si>
  <si>
    <t>Pro8028XM J CBC BS6 11X20ML VHRT PAB OBD</t>
  </si>
  <si>
    <t>WELDED CABIN/BIW ASSY CAB-SLP TIPER 8000</t>
  </si>
  <si>
    <t>CW629</t>
  </si>
  <si>
    <t>TM1006D</t>
  </si>
  <si>
    <t>TM ASSY 9 SPEED PRO8000 PTO</t>
  </si>
  <si>
    <t>RA836N</t>
  </si>
  <si>
    <t>TANDEM REARFWD AXLE 1, 6.34FDR-305DH-HRT</t>
  </si>
  <si>
    <t>FR6298N</t>
  </si>
  <si>
    <t>FRAME ASSY Pro8028XM 4585 VHRTPAB BS6 FS</t>
  </si>
  <si>
    <t>CT6293</t>
  </si>
  <si>
    <t>TRIM CAB/Pro8028XM/SLP-STD/BSVI/PAB/HVAC</t>
  </si>
  <si>
    <t>PS683</t>
  </si>
  <si>
    <t>PAINTED CABIN/CAB-SLP TIPER 8000</t>
  </si>
  <si>
    <t>FA738N</t>
  </si>
  <si>
    <t>FRONT AXLE VE2100 6X4,TIP RHD (REPL) BS6</t>
  </si>
  <si>
    <t>TM1006T15</t>
  </si>
  <si>
    <t>ENG+T/M COUP(EN814+TM1006D)OBD BS6</t>
  </si>
  <si>
    <t>RA837N</t>
  </si>
  <si>
    <t>TANDEM REARAXLE 2, 6.34FDR-305DH-HRT ABS</t>
  </si>
  <si>
    <t>WELDED CABIN/BIW ASSY CAB-SLP TT 8000</t>
  </si>
  <si>
    <t>CW630</t>
  </si>
  <si>
    <t>RA979N</t>
  </si>
  <si>
    <t>REAR AXLE PRO8035 AXLE FRONT</t>
  </si>
  <si>
    <t>FR6458N</t>
  </si>
  <si>
    <t>FRAME ASSY Pro8035XM 5285WB VHRT AMT</t>
  </si>
  <si>
    <t>CT6343</t>
  </si>
  <si>
    <t>TRIMCAB/Pro8035XM/SLP-STD/BSVI/AMT/DGMS</t>
  </si>
  <si>
    <t>PS684</t>
  </si>
  <si>
    <t>PAINTED CABIN/BIW ASSY CAB-SLP TT 8000</t>
  </si>
  <si>
    <t>FA753N</t>
  </si>
  <si>
    <t>Front Axle Pro 8035 XM RHD FA1 ABS</t>
  </si>
  <si>
    <t>TM1008T3</t>
  </si>
  <si>
    <t>ENG+T/M COUP(EN814+TM1008D) 8035XM AMT</t>
  </si>
  <si>
    <t>RA996N</t>
  </si>
  <si>
    <t>TANDEM REARAXLE 2 6.34FDR 305DH HRT ABS</t>
  </si>
  <si>
    <t>FA754N</t>
  </si>
  <si>
    <t>FRONT AXLE Pro 8035XM RHD FA2 NON ABS</t>
  </si>
  <si>
    <t>FR6137N</t>
  </si>
  <si>
    <t>FRAME ASSY Pro 8035XM 5285WB VEHRT BS6</t>
  </si>
  <si>
    <t>CT6258</t>
  </si>
  <si>
    <t>TRIMCAB/Pro8035XM/SLP-STD/BS6/OBD/DGMS</t>
  </si>
  <si>
    <t>TM1006T8</t>
  </si>
  <si>
    <t>TANDEM R1 AXLE(R1)6.166FDR W/O DIFF</t>
  </si>
  <si>
    <t>Pro 8035XM NG L CBC  PW 12X24 BSVI 400HP</t>
  </si>
  <si>
    <t>WELDCABIN/BIW ASSY CAB-SLP TT 8000 400HP</t>
  </si>
  <si>
    <t>CW636</t>
  </si>
  <si>
    <t>EN851</t>
  </si>
  <si>
    <t>TM1200</t>
  </si>
  <si>
    <t>TM ASSY PTO I shift AMT-G</t>
  </si>
  <si>
    <t>RA6003N</t>
  </si>
  <si>
    <t>FR6609N</t>
  </si>
  <si>
    <t>FRAME ASSY Pro8035XM 12X24 VHRT 400HP</t>
  </si>
  <si>
    <t>CT6551</t>
  </si>
  <si>
    <t>TRIM CAB/Pro8035XM/STD/BSVI/AMT/400HP</t>
  </si>
  <si>
    <t>PS687</t>
  </si>
  <si>
    <t>PAINTCABIN/BIW ASSY CAB-SLP TT 8000 400H</t>
  </si>
  <si>
    <t>FA843N</t>
  </si>
  <si>
    <t>Front Axle Pro 8035XM 400HP RHD FA2 ABS</t>
  </si>
  <si>
    <t>TM1200T1</t>
  </si>
  <si>
    <t>ENG+T/M(EN851+TM1200) 8035XM AMT 400HP</t>
  </si>
  <si>
    <t>RA6002N</t>
  </si>
  <si>
    <t>FA842N</t>
  </si>
  <si>
    <t>Front Axle Pro 8035XM 400HP RHD FA1 ABS</t>
  </si>
  <si>
    <t>Pro 8035XM NG L CBC  PW 12X20 BSVI 400HP</t>
  </si>
  <si>
    <t>FR6675N</t>
  </si>
  <si>
    <t>Pro 8035XM NG P BSVI PW CBC</t>
  </si>
  <si>
    <t>E366_BS6_D_75kW_12V_HB_AC_PS_T</t>
  </si>
  <si>
    <t>PS169</t>
  </si>
  <si>
    <t>PAINTED CABIN 2049/W/O HATCH/1.8M</t>
  </si>
  <si>
    <t>EN1001O47</t>
  </si>
  <si>
    <t>RA316D</t>
  </si>
  <si>
    <t>REAR AXLE 2059/HB/4.3FDR/305DH</t>
  </si>
  <si>
    <t>FA175N</t>
  </si>
  <si>
    <t>FRONT AXLE ASSY Pro 2055T BSVI HB NABS</t>
  </si>
  <si>
    <t>TM361O6</t>
  </si>
  <si>
    <t>ENGINE +T/M COUP (EN1001O47+TM361D)</t>
  </si>
  <si>
    <t>CT4674CW</t>
  </si>
  <si>
    <t>TRIMCAB/Pro2059/BS6/HB/NGB/5S/BASE/AC</t>
  </si>
  <si>
    <t>RA363D</t>
  </si>
  <si>
    <t>REAR AXLE 2055T/HB/BS6/4.8FDR/320DH</t>
  </si>
  <si>
    <t>EN1001O48</t>
  </si>
  <si>
    <t>E474_BS6_D_105kW_12V_HB_AC_PS_T</t>
  </si>
  <si>
    <t>Pro 2055T C CBC PTO BSVI AC PRM ET40S5</t>
  </si>
  <si>
    <t>TM578D</t>
  </si>
  <si>
    <t>TM ASSY/PRO 2055HT/BS6/ET40S5/PTO/HB</t>
  </si>
  <si>
    <t>FR343B</t>
  </si>
  <si>
    <t>PHANTOM FRAME PRO2055T/WB-C/2.8cum/BS6/L</t>
  </si>
  <si>
    <t>CT4862CW</t>
  </si>
  <si>
    <t>TRIM/Pro2055T/BSVI/LY/PRM/AC/5S</t>
  </si>
  <si>
    <t>TM578O5</t>
  </si>
  <si>
    <t>ENGINE + T/M COUP(TM578+EN1001O48)</t>
  </si>
  <si>
    <t>Pro2059 E CBC 14F BSVI AC AC NGB PRM</t>
  </si>
  <si>
    <t>FR279B</t>
  </si>
  <si>
    <t>FR/Pro2059 E MSC 14ft BSVI NGB PRM#</t>
  </si>
  <si>
    <t>E474_BS6_D_105kW_12V_AB_AC_PS_T</t>
  </si>
  <si>
    <t>FR481B</t>
  </si>
  <si>
    <t>FR481B FRAME ASSY PRO 2059 B 10FT AC</t>
  </si>
  <si>
    <t>PS181</t>
  </si>
  <si>
    <t>PAINTED CABIN/2070/W/O ROOF HATCH/2M  </t>
  </si>
  <si>
    <t>EN1001O54</t>
  </si>
  <si>
    <t>EN1001O49</t>
  </si>
  <si>
    <t>RA414D</t>
  </si>
  <si>
    <t>REAR AXLE Assy Pro 2075 4.8 FDR-340DH</t>
  </si>
  <si>
    <t>FA255N</t>
  </si>
  <si>
    <t>FRONT AXLE ASSY Pro2075T</t>
  </si>
  <si>
    <t>Pro 2075T D CBC 4cumBSVI LY PRM ET40S5</t>
  </si>
  <si>
    <t>TM562D</t>
  </si>
  <si>
    <t>TM/ASSY/PRO 2080XPT/BS6/ET40S5/PTO</t>
  </si>
  <si>
    <t>FR479B</t>
  </si>
  <si>
    <t>PHANTOM FRAME PRO2075T WB D LY ET40S5</t>
  </si>
  <si>
    <t>CT4672CW</t>
  </si>
  <si>
    <t>Trim cab/Pro2075T/LY/PRM/ET40S5/AC</t>
  </si>
  <si>
    <t>TM562O4</t>
  </si>
  <si>
    <t>ENGINE + T/M COUP(EN1001O49+TM562D)</t>
  </si>
  <si>
    <t>TM363O17</t>
  </si>
  <si>
    <t>ENGINE + T/M COUP(TM363D +EN1001O54)</t>
  </si>
  <si>
    <t>INSTALL FRAME ASSY Pro2095XP FWB 16FT</t>
  </si>
  <si>
    <t>FA191N</t>
  </si>
  <si>
    <t>FRONT AXLE Pro 2075/RHD/AB/BS6</t>
  </si>
  <si>
    <t>Pro 2080T D CBC LHD EIV AC AB PS DW PRM</t>
  </si>
  <si>
    <t>EN592</t>
  </si>
  <si>
    <t>E494_EU4_D_110kW_24V_AB_AC_PS_T</t>
  </si>
  <si>
    <t>TM577D</t>
  </si>
  <si>
    <t>TM ASSY/PRO 2080T/PTO/ET40S5/EXPO</t>
  </si>
  <si>
    <t>RA358D</t>
  </si>
  <si>
    <t>REAR AXLE/2080/4.8 FDR/AB</t>
  </si>
  <si>
    <t>FR204B</t>
  </si>
  <si>
    <t>FRAME ASSY/Pro 2080 D/ W/B /AB</t>
  </si>
  <si>
    <t>CT4798CW</t>
  </si>
  <si>
    <t>TRIMCAB/Pro2095/AB/LHD/EIV/PS/PRM/6S/24V</t>
  </si>
  <si>
    <t>FA219N</t>
  </si>
  <si>
    <t>FRONT AXLE ASSY PRO2095 AB LHD</t>
  </si>
  <si>
    <t>TM577T1</t>
  </si>
  <si>
    <t>ENGINE + T/M COUP(TM577D+EN592)</t>
  </si>
  <si>
    <t>Pro2080XPT D CBC 4.5cum BS6 PRM 100L</t>
  </si>
  <si>
    <t>EN1001O51</t>
  </si>
  <si>
    <t>RA313D</t>
  </si>
  <si>
    <t>REAR AXLE 2095/AB/BS4NG/5.57FDR/340DH</t>
  </si>
  <si>
    <t>FR515B</t>
  </si>
  <si>
    <t>PHANTOM FRAME PRO2080XPT WB D 100L STC</t>
  </si>
  <si>
    <t>CT4684CW</t>
  </si>
  <si>
    <t>TRIM CAB/PRO2095XPT/D/PTO/LY/PRM/5S/AC</t>
  </si>
  <si>
    <t>TM562O6</t>
  </si>
  <si>
    <t>EN +T/M COUP (EN1001O51+TM562D)</t>
  </si>
  <si>
    <t>Pro2095 F 16F CBC  BSVI AC NGB 5S WTL</t>
  </si>
  <si>
    <t>RA320D</t>
  </si>
  <si>
    <t>REAR  AXLE Pro2095XP/AB/BS6/4.8FDR/320DH</t>
  </si>
  <si>
    <t>FR333B</t>
  </si>
  <si>
    <t>INSTALL FRAME ASSY-Pro2095XP FWB 16FT</t>
  </si>
  <si>
    <t>CT4725CW</t>
  </si>
  <si>
    <t>TRIM CAB/Pro2095/BSVI/NGB/BASE/AC/WTL</t>
  </si>
  <si>
    <t>FA246N</t>
  </si>
  <si>
    <t>FRONT AXLE 2095 RHD AB BSVI</t>
  </si>
  <si>
    <t>Pro 2095XP G CBC BSVI AC SR5S WTL RX</t>
  </si>
  <si>
    <t>EN1001O59</t>
  </si>
  <si>
    <t>E474_BS6_D_105kW_12V_AB_AC_PS_T_120HP</t>
  </si>
  <si>
    <t>RA394D</t>
  </si>
  <si>
    <t>REAR AXLE Pro2095XP/BS6/4.8FDR/340D</t>
  </si>
  <si>
    <t>FR282B</t>
  </si>
  <si>
    <t>INSTALL FRAME ASSY-Pro2095XP GWB 18FT</t>
  </si>
  <si>
    <t>CT4728CW</t>
  </si>
  <si>
    <t>TRIM CAB/Pro2095XP/BSVI/AC/WTL</t>
  </si>
  <si>
    <t>TM363O16</t>
  </si>
  <si>
    <t>ENGINE +T/M COUP (EN1001O59+TM363D)</t>
  </si>
  <si>
    <t>EN5501</t>
  </si>
  <si>
    <t>E494_EU5_D_110KW_24V_AB_AC_PS_T</t>
  </si>
  <si>
    <t>FR511B</t>
  </si>
  <si>
    <t>PHANTOM FRAME PRO2095XPT WB D FBT STC</t>
  </si>
  <si>
    <t>Pro2095XPT D CBC BSVI PRM 100L side STC</t>
  </si>
  <si>
    <t>Pro2095XPT D CBC PTO BSVI LY PRM X UP AC</t>
  </si>
  <si>
    <t>RA397D</t>
  </si>
  <si>
    <t>REAR AXLE 2095/AB/BSVI/5.57FDR/340DH</t>
  </si>
  <si>
    <t>CT4678CW</t>
  </si>
  <si>
    <t>TRIM CAB/PRO2095XPT/PS/PTO/LY/AB/AC/PRM</t>
  </si>
  <si>
    <t>TM588D</t>
  </si>
  <si>
    <t>TM ASSY/PRO2114/ET50S7/NPTO/BS6</t>
  </si>
  <si>
    <t>E494_BS6_D_120kW_12V_AB_NAC_PS_T_I5</t>
  </si>
  <si>
    <t>FR358B</t>
  </si>
  <si>
    <t>Frame Assy Pro 2114XP S H 20FT BS6 7S</t>
  </si>
  <si>
    <t>TM588O6</t>
  </si>
  <si>
    <t>ENG+T/M COUP (TM588+EN1156)/2114XP/AC</t>
  </si>
  <si>
    <t>Pro2114XP CBC 20FT BSVI7S WTMS 9KL AC</t>
  </si>
  <si>
    <t>CT4908CW</t>
  </si>
  <si>
    <t>TRIM CAB/Pro2114XP/H/BSVI/7S/AC</t>
  </si>
  <si>
    <t>Pro2116T E 6S CBC PTO BSVI PRM AC</t>
  </si>
  <si>
    <t>EN1168</t>
  </si>
  <si>
    <t>TM871D</t>
  </si>
  <si>
    <t>TM ASSY/Pro2116/ET70S6/PTO/BS6</t>
  </si>
  <si>
    <t>RA590D</t>
  </si>
  <si>
    <t>RA590/REAR AXLE/PRO 2116T/440DH 6.166FDR</t>
  </si>
  <si>
    <t>FR549B</t>
  </si>
  <si>
    <t>FRAME ASSY/Pro2116T/E/BSVI/PRM/RDL/AC</t>
  </si>
  <si>
    <t>CT4207CW</t>
  </si>
  <si>
    <t>TRIM CAB/Pro2116/BSVI/12V/PTO/6S/PRM/AC</t>
  </si>
  <si>
    <t>FA535N</t>
  </si>
  <si>
    <t>FRONT AXLE/Pro2116 T/PTO BSVI/PROTO</t>
  </si>
  <si>
    <t>TM871O1</t>
  </si>
  <si>
    <t>ENGINE+T/M COUP(TM871D+EN1168)-2116T/AC</t>
  </si>
  <si>
    <t>Pro2116XPT F 6S CBC PTO BSVI PRM</t>
  </si>
  <si>
    <t>EN1158</t>
  </si>
  <si>
    <t>E494_BS6_D_120KW_24V_AB_AC_PS_T</t>
  </si>
  <si>
    <t>RA598D</t>
  </si>
  <si>
    <t>REAR AXLE/PRO 2116XPT/440DH 6.166FDR</t>
  </si>
  <si>
    <t>FR550B</t>
  </si>
  <si>
    <t>FRAME ASSY/Pro2116XPT/E/BSVI/PRM/AC</t>
  </si>
  <si>
    <t>CT4209CW</t>
  </si>
  <si>
    <t>TRIM CAB/Pro2116XPT/24V/PTO/6S/PRM/AC</t>
  </si>
  <si>
    <t>TM871O3</t>
  </si>
  <si>
    <t>ENGINE+T/M COUP(TM871D+EN1158)2116XPT/AC</t>
  </si>
  <si>
    <t>CL4432RUP</t>
  </si>
  <si>
    <t>2075 G Skl Scl BSVI 3x2 Lx Faps</t>
  </si>
  <si>
    <t>SOP1 Sales demand for May 2026</t>
  </si>
  <si>
    <t>July'26</t>
  </si>
  <si>
    <t>Post Office UP</t>
  </si>
  <si>
    <t>S P Rajasthan(1)</t>
  </si>
  <si>
    <t>Executive Engineer, Punjab</t>
  </si>
  <si>
    <t>Municipal, Chandigarh (2)</t>
  </si>
  <si>
    <t>NMRDA Nagpur (10)</t>
  </si>
  <si>
    <t>IG of Police (Provision) , Ranchi</t>
  </si>
  <si>
    <t>DY SP Logistics (UP)</t>
  </si>
  <si>
    <t>Pro2059 B MSC 10F BSVI AC POR BASE WTL#</t>
  </si>
  <si>
    <t>Pro 2110XPT E FET PTO BSVI LY PRM AC</t>
  </si>
  <si>
    <t>Pro 6028T G BSVI LY PRM11X20 16SB HYDMS</t>
  </si>
  <si>
    <t>Pro2075 F16ftPRISON BSVI NB BASE WTL NAC</t>
  </si>
  <si>
    <t>Pro 2114XP H TCST 19FT BSVI FB 7S NAC#</t>
  </si>
  <si>
    <t>PRO 6035XPT L BSVI DW PRM11X20M 23HDHRT</t>
  </si>
  <si>
    <t>PRO 8035XM L BSVI PW 12X20ML 29BB AMT</t>
  </si>
  <si>
    <t>PRO 6028XPT G BSVI DWPRM 11X20M 16BBSB</t>
  </si>
  <si>
    <t>PRO 6028XPT G BSVI DWPRM 11R20 16BBGTM</t>
  </si>
  <si>
    <t>PRO 6028TM J BSVI DW PRM 9EPTO SST</t>
  </si>
  <si>
    <t>Pro 2080XPT D UBT LHD E5 AB PS DW PRM#</t>
  </si>
  <si>
    <t>10.75 H SRL B 3x2 SCL BUS BS3 EXP NPL</t>
  </si>
  <si>
    <t>2090 L SRL 2X2 SCL BUS BS6 EXP NPL#</t>
  </si>
  <si>
    <t>2075 G SRL 2X2 SCL BUS BS6 EXP NPL#</t>
  </si>
  <si>
    <t>2075 H SRL 2X2 SCL BUS BS6 EXP NPL#</t>
  </si>
  <si>
    <t>Pro2080XPT D FBT BSVI NBL PRM sideSTC AC</t>
  </si>
  <si>
    <t>2070 E Srl Stf BSVI 2x1</t>
  </si>
  <si>
    <t>Skl Pro 3011 L Stf 3L Gy BSVI Esc</t>
  </si>
  <si>
    <t>2075 H SRL STF CNG BS6 ESC</t>
  </si>
  <si>
    <t>2090 K Srl Scl BSVI 3x2 Lx Faps</t>
  </si>
  <si>
    <t>SKL PRO 3009 H SCL 3L BSVI FAPS</t>
  </si>
  <si>
    <t>2075 H SRL STF AC BSVI ESC</t>
  </si>
  <si>
    <t>SKL PRO 3010 L STF BSVI ESC</t>
  </si>
  <si>
    <t>2090 K Skl Scl BSVI 3x2 Lx Faps</t>
  </si>
  <si>
    <t>SKL PRO 3010 L STF AC BSVI 2X2 PB RD ESC</t>
  </si>
  <si>
    <t>2090 L Srl Stf BSVI 5S Esc GY</t>
  </si>
  <si>
    <t>Skl Pro 3009 H Scl BSVI Faps</t>
  </si>
  <si>
    <t>2090 K SRL SCL AC BSVI 3X2 FAPS MPRM#</t>
  </si>
  <si>
    <t>Skl Pro 3011 G Stf 3L 3x2 BSVI Esc</t>
  </si>
  <si>
    <t>G Total</t>
  </si>
  <si>
    <t>10153271P</t>
  </si>
  <si>
    <t>10153270P</t>
  </si>
  <si>
    <t>Skyline Pro E 12m EV Intercity AC PB </t>
  </si>
  <si>
    <t>Skyline Pro E 12m EV INTERCITY AC HHR</t>
  </si>
  <si>
    <t>2050 E STF BSVI 2x1 HB HHR MAX 4C RT (radial tyre)</t>
  </si>
  <si>
    <t>2050 E STF BSVI 2x1 HB PB MAX 4C RT (radial tyre)</t>
  </si>
  <si>
    <t>2050 E Scl BSVI Hb Faps 4c (cross ply tyre)</t>
  </si>
  <si>
    <t>SOP1 plan for May'26</t>
  </si>
  <si>
    <t>CL4696CW</t>
  </si>
  <si>
    <t>CL6322</t>
  </si>
  <si>
    <t>CL4138CW</t>
  </si>
  <si>
    <t>Pro 2075-P/Stg- ABS</t>
  </si>
  <si>
    <t>NEPTUNE BLUE</t>
  </si>
  <si>
    <t>prison van</t>
  </si>
  <si>
    <t>CL4495CW</t>
  </si>
  <si>
    <t>CL4620CW</t>
  </si>
  <si>
    <t>FAWN BEIGE</t>
  </si>
  <si>
    <t>Troop Carrier</t>
  </si>
  <si>
    <t>CL6497</t>
  </si>
  <si>
    <t>CL6471</t>
  </si>
  <si>
    <t>Skyl Pro 3008H LHD AC STF E5 6S AB PS</t>
  </si>
  <si>
    <t>CL4310CW</t>
  </si>
  <si>
    <t xml:space="preserve"> SKYLINE Pro 3009 L BS3 NAC RD RLC TNZ</t>
  </si>
  <si>
    <t xml:space="preserve"> 20.15N LHD E5 JT HVAC 65S SD PW BUS TEL</t>
  </si>
  <si>
    <t>Pro 6025TM G RH 6CM 280E3 DW PR EXP</t>
  </si>
  <si>
    <t>CL2457RUP</t>
  </si>
  <si>
    <t>20.15 N LHD E3 EBS HVAC 57S SD PDO BUS</t>
  </si>
  <si>
    <t>CL5308RUP</t>
  </si>
  <si>
    <t>CL5306RUP</t>
  </si>
  <si>
    <t>CL5307RUP</t>
  </si>
  <si>
    <t>NAVY BLUE</t>
  </si>
  <si>
    <t xml:space="preserve"> Pro2116XPT F 6S FET PTO BSVI LY PRM</t>
  </si>
  <si>
    <t>CL6357RUP/CL4545RUP</t>
  </si>
  <si>
    <t>CL5312RUP</t>
  </si>
  <si>
    <t>2090 L Srl Scl BSVI 5S 3x2 Lx Faps#</t>
  </si>
  <si>
    <t>Skl Pro 3010 L Ac BSVI 2X2 Pb Sw Esc</t>
  </si>
  <si>
    <t>CL4476RUP</t>
  </si>
  <si>
    <t>CL4185RUP</t>
  </si>
  <si>
    <t>SklPro 3010L Stf Ac BSVI Pb Ras Rd Esc#</t>
  </si>
  <si>
    <t>Skl Pro 3010 L Ac BSVI Sw Esc</t>
  </si>
  <si>
    <t>CL4195RUP</t>
  </si>
  <si>
    <t>2070 E SRL SCL AC BSVI 3X2 FAPS MPRM#</t>
  </si>
  <si>
    <t>2075 H SRL SCL AC BSVI 3X2 FAPS MPRM#</t>
  </si>
  <si>
    <t>2090 L Srl Scl Ac BSVI 3x2 Faps Mprm#</t>
  </si>
  <si>
    <t>2070 E Srl Stf CNG BS6 Esc</t>
  </si>
  <si>
    <t>CL4404RUP</t>
  </si>
  <si>
    <t>CL4433RUP</t>
  </si>
  <si>
    <t>CL4812RUP</t>
  </si>
  <si>
    <t>Skl Pro 3010 L Stf 3L BSVI Pb Esc(40+D)</t>
  </si>
  <si>
    <t>Skyline Pro-E 12m LF Ac Tarmac 21s#</t>
  </si>
  <si>
    <t>Skyline Pro-E 12m LF Ac Tarmac 21s Rcb</t>
  </si>
  <si>
    <t>Skyline Pro E 3012 H AC MWD WC PMS LVMU</t>
  </si>
  <si>
    <t>Pro 8035XM NG L BSVI PW 21 URB 12X24#</t>
  </si>
  <si>
    <t>Pro 8035XM NG P BSVI PW 33 UBB 12X20#</t>
  </si>
  <si>
    <t>CL5301RUP</t>
  </si>
  <si>
    <t>CL5300RUP</t>
  </si>
  <si>
    <t>Exp Shop</t>
  </si>
  <si>
    <t>1075/H/F/LCWC/BS3/AB/PS/60%OH/SRL-B/NPL</t>
  </si>
  <si>
    <t>WELD COWL LCV STRAIGHT FRAME (BUILT-UP B</t>
  </si>
  <si>
    <t>IA337420</t>
  </si>
  <si>
    <t>EN106T29</t>
  </si>
  <si>
    <t>TM237D</t>
  </si>
  <si>
    <t>T/M ASSY/1075/AB/BSIV/4.7FDR</t>
  </si>
  <si>
    <t>FR268</t>
  </si>
  <si>
    <t>FRAME ASSY 10.75 H F/L CWC MF (60% OH)</t>
  </si>
  <si>
    <t>CT1168RUP</t>
  </si>
  <si>
    <t>F/L COWL 1075/RHD/AB/PS/BS3/SRL-B/EXP**</t>
  </si>
  <si>
    <t>TM237T9</t>
  </si>
  <si>
    <t>ENG+TM CUP 1075CWC BSIII (EN106T29+TM237</t>
  </si>
  <si>
    <t>Pro 3009/H/F/L CWC/BSVI/FAPS</t>
  </si>
  <si>
    <t>FR2395</t>
  </si>
  <si>
    <t>SKL PRO 3009 H SCL BSVI FAPS</t>
  </si>
  <si>
    <t>CT1379RUP</t>
  </si>
  <si>
    <t>TRIM ASSY/F/L CWL/Pro3009/BSVI/OBD-II</t>
  </si>
  <si>
    <t>FR2215</t>
  </si>
  <si>
    <t>Pro3010 L CWC BSVI ESC</t>
  </si>
  <si>
    <t>SKL Pro 3010 L F/L CWC/STF/BSVI/ESC</t>
  </si>
  <si>
    <t>FR2449</t>
  </si>
  <si>
    <t>FR ASSY SKLPRO 3010 L STF 3L BSVI ESC</t>
  </si>
  <si>
    <t>CT1607RUP</t>
  </si>
  <si>
    <t>TRIM ASSY/F/L CWL/Pro 3009/BSVI/ESC</t>
  </si>
  <si>
    <t>2075/G/CWC/AB/PS/BSVI/ABS/NPL EXP</t>
  </si>
  <si>
    <t>RA432D</t>
  </si>
  <si>
    <t>REAR AXLE/AB/ABS/4.8FDR/320DH/EXP NPL</t>
  </si>
  <si>
    <t>FR2536</t>
  </si>
  <si>
    <t>FRAME ASSY 2075 G SRL SCL AC BS VI NPL</t>
  </si>
  <si>
    <t>CT2584RUP</t>
  </si>
  <si>
    <t>TRIM ASSY/F/L CWL2075HABPS/BSVI/5S/EXP</t>
  </si>
  <si>
    <t>2075H/AB/PS/SRL/BSVI/ABS/OBD-II/NPL/EXP</t>
  </si>
  <si>
    <t>FR2537</t>
  </si>
  <si>
    <t>2075H/SRL/AB/PS/BS6/OBD-II/ESC</t>
  </si>
  <si>
    <t>CT1583RUP</t>
  </si>
  <si>
    <t>TRIM ASSY/FL CWL2075E/AB/PS/AC/5SBSVIESC</t>
  </si>
  <si>
    <t>2075 H SRL CWC CNG BS6 ESC NW</t>
  </si>
  <si>
    <t>FR2429</t>
  </si>
  <si>
    <t>FRAME ASSY/2075 H/AB/PS/BS6/CNG/ESC</t>
  </si>
  <si>
    <t>CT1641RUP</t>
  </si>
  <si>
    <t>TRIM ASSY/2075 H/BS6/AB/PS/CNG/5S/ESC</t>
  </si>
  <si>
    <t>2090L/F/L/CWC/AB/PS/BS6/5S/OBD-II/NPL/EX</t>
  </si>
  <si>
    <t>CT2585RUP</t>
  </si>
  <si>
    <t>TRIM ASSY/2090/K/CWC/BSVI/NPL/EXP</t>
  </si>
  <si>
    <t>FR2531</t>
  </si>
  <si>
    <t>FRAME ASSY 2090 L BSVI LX FAPS</t>
  </si>
  <si>
    <t>2090K/F/L/CWC/AB/PS/BS6/5S/FAPS</t>
  </si>
  <si>
    <t>2090/K/F/L/CWC/AB/PS/BSVI/5S/AC/FAPS</t>
  </si>
  <si>
    <t>CT1552RUP</t>
  </si>
  <si>
    <t>TRM ASSY F/L CWL/2090L/AB/PS/5S/AC/OBDII</t>
  </si>
  <si>
    <t>MDE5_BS6_D_24V_T_ OBD II</t>
  </si>
  <si>
    <t>FRAME ASSY/RHD/4X2TIP/ABS/BS6/NPL</t>
  </si>
  <si>
    <t>Pro 6019XPT F CBC BSVI 8.5BB NPL EXP</t>
  </si>
  <si>
    <t>Pro6019XPT/2.3DAY/BSVI/24V/240HP/EXP</t>
  </si>
  <si>
    <t>Pro 6028T/G/CBC/PRM/ABS/SRT/BS6/OBDII</t>
  </si>
  <si>
    <t>FR6292N</t>
  </si>
  <si>
    <t>FRAME ASSY/RHD/6X4T/SHORT W-B/BS6 N FBT</t>
  </si>
  <si>
    <t>CT6251</t>
  </si>
  <si>
    <t>TRIMCAB/2.3DAY/RHD/BS6/ABS/PRM/SRT/OBDII</t>
  </si>
  <si>
    <t>Pro6028XPT/SLP/BSVI/PRM/VX/ABS/325HP/AMT</t>
  </si>
  <si>
    <t>Pro 6028TM J BSVI CBC SST PRM</t>
  </si>
  <si>
    <t>Pro 6035XPT L CBC BSVI PRM 11X20M 300HP</t>
  </si>
  <si>
    <t>WELDED CABIN/2049/W/O HATCH/1.8M</t>
  </si>
  <si>
    <t>CW002B</t>
  </si>
  <si>
    <t>Pro2059 B CBC 10F BSVI AC BASE WTL</t>
  </si>
  <si>
    <t>CT4701CW</t>
  </si>
  <si>
    <t>TRIM CAB/PRO2059/NGB/5S/AC/BASE/WTL</t>
  </si>
  <si>
    <t>PS003B</t>
  </si>
  <si>
    <t>PAINTED CABIN/2095/WITH HATCH/2M</t>
  </si>
  <si>
    <t>WELDED CABIN/2095/W/O HATCH/2M/LHD</t>
  </si>
  <si>
    <t>CW005B</t>
  </si>
  <si>
    <t>Pro2075 F16ft CBC BS6 PS UMB BASE WTL</t>
  </si>
  <si>
    <t>EN1001O5</t>
  </si>
  <si>
    <t>E474_BS6_D_105kW_12V_AB_NAC_PS_T</t>
  </si>
  <si>
    <t>RA324D</t>
  </si>
  <si>
    <t>REAR  AXLE Pro 2075/AB/BS6/4.3-305DH/ABS</t>
  </si>
  <si>
    <t>FR332B</t>
  </si>
  <si>
    <t>CT2337CW</t>
  </si>
  <si>
    <t>TRIMED CAB/Pro2075/BS6/BASE/PS//NB/WTL</t>
  </si>
  <si>
    <t>FA195N</t>
  </si>
  <si>
    <t>FRONT AXLE Pro 2075/RHD/AB/BS6/ABS</t>
  </si>
  <si>
    <t>TM363O6</t>
  </si>
  <si>
    <t>ENGINE + T/M COUP(TM363D+EN1001O5)</t>
  </si>
  <si>
    <t>Pro 2080XPT D CBC LHD E5 AB PS DW PRM</t>
  </si>
  <si>
    <t>FR592B</t>
  </si>
  <si>
    <t>PHANTOM FRAME PRO2080XPT D LHD E5 AB PS</t>
  </si>
  <si>
    <t>CT2397CW</t>
  </si>
  <si>
    <t>TRIM CAB/Pro2080XPT/E5/PS/AB/DW/PRM</t>
  </si>
  <si>
    <t>TM577T2</t>
  </si>
  <si>
    <t>ENGINE + T/M COUP(TM577D+EN5501)</t>
  </si>
  <si>
    <t>Pro2114XP H CBC 19FT BSVI 7S </t>
  </si>
  <si>
    <t>EN1108</t>
  </si>
  <si>
    <t>FR433B</t>
  </si>
  <si>
    <t>PHANTOM FRAME PRO2114XP WB H 19FT BS6 7S</t>
  </si>
  <si>
    <t>CT2368CW</t>
  </si>
  <si>
    <t>TM588O1</t>
  </si>
  <si>
    <t>ENGINE + T/M COUP(TM588D+EN1108)-Pro2114</t>
  </si>
  <si>
    <t xml:space="preserve"> Pro2114XP G FSD 17FT BSVI NGB R 7S</t>
  </si>
  <si>
    <t>Opng WIP/ RGP</t>
  </si>
  <si>
    <t>BAL</t>
  </si>
  <si>
    <t>IB003687_Van Pump STG  (ZF )</t>
  </si>
  <si>
    <t>IC518200_Exhust Brake _GT Emission</t>
  </si>
  <si>
    <t>IE454800_Mux ECU Critical</t>
  </si>
  <si>
    <t>BOM Not Avialable</t>
  </si>
  <si>
    <t>1-3</t>
  </si>
  <si>
    <t>ow</t>
  </si>
  <si>
    <t>SOP1 Sales demand for June2026</t>
  </si>
  <si>
    <t>Aug'26</t>
  </si>
  <si>
    <t>SOP1 plan for June'2026</t>
  </si>
  <si>
    <t>MAIL MOTOR,  Ahmedabad (6)</t>
  </si>
  <si>
    <t xml:space="preserve">MP Police </t>
  </si>
  <si>
    <t>PRTC (98)</t>
  </si>
  <si>
    <t>CRPF (31)</t>
  </si>
  <si>
    <t>Registrar IIT Indore</t>
  </si>
  <si>
    <t>CRPF (43)</t>
  </si>
  <si>
    <t>CRPF (12) /CISF (4)</t>
  </si>
  <si>
    <t>CRPF (16)</t>
  </si>
  <si>
    <t>UGANDA</t>
  </si>
  <si>
    <t>BAHRAIN</t>
  </si>
  <si>
    <t>ZAMBIA</t>
  </si>
  <si>
    <t>SAUDI ARABIA</t>
  </si>
  <si>
    <t>ANGOLA</t>
  </si>
  <si>
    <t>India-Bhutan</t>
  </si>
  <si>
    <t>CL6465</t>
  </si>
  <si>
    <t>PRO 2095XP G MSC BSVI AC SR5S WTL RX</t>
  </si>
  <si>
    <t>PRO2095 F 16F WTANK BSVI AC NGB 5S WTL</t>
  </si>
  <si>
    <t>PRO2059 E MSC 14F BSVI AC AC POR PRM#</t>
  </si>
  <si>
    <t>PRO2059 B MSC 10F BSVI AC POR BASE WTL#</t>
  </si>
  <si>
    <t>PRO 2095XP G MSC BSVI AC 5S POR RX#</t>
  </si>
  <si>
    <t>PRO 2075F PRI VAN 4G BSVI ABS NB#</t>
  </si>
  <si>
    <t>2075 H SRL STF DD BSVI ESC PRTC#</t>
  </si>
  <si>
    <t>SKL PRO 3011L STF 3L DD BSVI BM ESC#</t>
  </si>
  <si>
    <t>2090 L SRL SCL DD BSVI 5S 3X2 FAPS</t>
  </si>
  <si>
    <t>PRO 2114XP H TCST19FT BS6 DW 7S AC#</t>
  </si>
  <si>
    <t>PRO 2114XP H TCST19FT BS6 BM 7S AC#</t>
  </si>
  <si>
    <t>PRO 6028XPT G BSVI DWPRM 11X20M16BBGTM</t>
  </si>
  <si>
    <t>PRO 6035XPT L BSVI DW PRM11X20 23HD HRT</t>
  </si>
  <si>
    <t>PRO6035T L BSVI LY PRM 23BBHD11X20 HRT</t>
  </si>
  <si>
    <t>PRO 6028XPT/G/CBC/PRM/SRT/11R20/OBDII</t>
  </si>
  <si>
    <t>PRO 8035XM L CBC BSVI AMT</t>
  </si>
  <si>
    <t>PRO 8035XM L CBC BS6 PRM VHRT OBD</t>
  </si>
  <si>
    <t>PRO 6028XPT/G/CBC/PRM/SRT/11X20M/BSVI</t>
  </si>
  <si>
    <t>PRO 6028XPT/G/CBC/PRM/SRT/11X20/OBDII</t>
  </si>
  <si>
    <t>PRO 6028XPT G BSVI DWPRM 11R20 16BB SB</t>
  </si>
  <si>
    <t>PRO 6028XPT G BSVI DWPRM11X20M 14RBWRS</t>
  </si>
  <si>
    <t>PRO 6028XPT J BSVI DWPRM 11X20M 20BBHD</t>
  </si>
  <si>
    <t>PRO 6028XPT J BSVI DW PRM 11R20 20BBHD</t>
  </si>
  <si>
    <t>Skyl Pro 3008H LHD E5 HVAC STF TEL FL#</t>
  </si>
  <si>
    <t>Skyl Pro 3008 H LHD E4 AC 31S STF#</t>
  </si>
  <si>
    <t>20.15 N LHD E4 ACD 47S 2X2 SCL TEL BUS</t>
  </si>
  <si>
    <t>20.15 N LHD E4 ACD 55S SCL TEL STS BUS#</t>
  </si>
  <si>
    <t>20.15 N LHD E4 ACD 47S SCL TEL STS BUS#</t>
  </si>
  <si>
    <t>20.15 N LHD E3 AC 61S HHR DD BUS</t>
  </si>
  <si>
    <t>Pro 5025T G B3 TY 14CM 6S BCS VECVEXP#</t>
  </si>
  <si>
    <t>Skyl Pro 3008H LHD AC SCH E4 6S AB ZY</t>
  </si>
  <si>
    <t>Pro 2055T C FBT 2.8Cum BS3 PRM DW EXP</t>
  </si>
  <si>
    <t>2090 L SRL SCL BSVI 5S FAPS</t>
  </si>
  <si>
    <t>2075 H SRL SCL BSVI FAPS</t>
  </si>
  <si>
    <t>SKL PRO 3010 L STF AC BSVI RD ESC</t>
  </si>
  <si>
    <t>SKL PRO 3010 L STF 3L BSVI RD ESC</t>
  </si>
  <si>
    <t>2090 L SKL STF BSVI ESC</t>
  </si>
  <si>
    <t>Skl Pro 3009 H Stf BSVI 2x2 Pb Rd Esc</t>
  </si>
  <si>
    <t>2075 H SKL STF AC BSVI PB ESC</t>
  </si>
  <si>
    <t>2075 H SKL STF AC BSVI ESC</t>
  </si>
  <si>
    <t>2065 E SRL SCL BSVI 3X3 LX FAPS</t>
  </si>
  <si>
    <t>2090 L SKL STF AC BSVI 2X2 PB ESC</t>
  </si>
  <si>
    <t>SKL PRO 3009 H STF AC BSVI 2X2 PB RD ESC</t>
  </si>
  <si>
    <t>2090 L SRL SCL CNG BS6 FAPS</t>
  </si>
  <si>
    <t>2090 L SCL 3X2 FAPS JX</t>
  </si>
  <si>
    <t>2075 G SCL BSVI 3x3 FAPS JX</t>
  </si>
  <si>
    <t>2070 E Srl Stf Ac BSVI Esc</t>
  </si>
  <si>
    <t>2065 E Srl Scl BSVI Faps</t>
  </si>
  <si>
    <t>2090 L Srl Scl Ac BSVI Faps HHR Mprm#</t>
  </si>
  <si>
    <t>2090 L Skl Scl Ac BSVI 3x2 Faps</t>
  </si>
  <si>
    <t>2075 G Srl Scl BSVI Faps</t>
  </si>
  <si>
    <t>2090 L Srl Scl Ac BSVI Faps</t>
  </si>
  <si>
    <t>2050 D Srl Scl BSVI Hb Faps</t>
  </si>
  <si>
    <t>2070 E Srl Scl Ac BSVI Faps</t>
  </si>
  <si>
    <t>Skl Pro 3010 L Stf CNG BS6 Esc</t>
  </si>
  <si>
    <t>2090 K Srl Stf Ac BSVI Esc</t>
  </si>
  <si>
    <t>2050 D Srl Stf Ac BSVI Hb</t>
  </si>
  <si>
    <t>2075 G Srl Stf Ac BSVI Esc</t>
  </si>
  <si>
    <t>2075 G Srl Scl Ac BSVI Faps</t>
  </si>
  <si>
    <t>Skl Pro 3010 L Stf CNG Ac BS6 Pb 2x2 Esc</t>
  </si>
  <si>
    <t>Skl Pro 3011 L Stf BSVI 2x2 Pb Rd Esc</t>
  </si>
  <si>
    <t>Skl Pro 3010 L Rp BSVI Rd Esc</t>
  </si>
  <si>
    <t>Skyline Pro E 13.5m AC SLP 36+D#</t>
  </si>
  <si>
    <t>2075 G Skl Scl BSVI 3x2 Faps</t>
  </si>
  <si>
    <t>2090 K Srl Scl BSVI Faps</t>
  </si>
  <si>
    <t>PRO2116XPT F 6S FET PTO BSVI LY PRM</t>
  </si>
  <si>
    <t>runner</t>
  </si>
  <si>
    <t>repeater</t>
  </si>
  <si>
    <t>BPCH2001</t>
  </si>
  <si>
    <t>2050 C Srl Scl BSVI 3x2 Hb Faps 4c</t>
  </si>
  <si>
    <t>Skyline Pro E 12m STF AC HHR 2x2 TPT#</t>
  </si>
  <si>
    <t>CL5293CW</t>
  </si>
  <si>
    <t>Pro 2095XP-P/stg</t>
  </si>
  <si>
    <t>CL4088RUP</t>
  </si>
  <si>
    <t>S</t>
  </si>
  <si>
    <t>CL6496</t>
  </si>
  <si>
    <t>CL6452</t>
  </si>
  <si>
    <t>CL6534</t>
  </si>
  <si>
    <t>CL6458</t>
  </si>
  <si>
    <t>CL6457</t>
  </si>
  <si>
    <t>CL6585</t>
  </si>
  <si>
    <t>CL6651</t>
  </si>
  <si>
    <t>CL6643</t>
  </si>
  <si>
    <t>CL6498</t>
  </si>
  <si>
    <t>CL6639</t>
  </si>
  <si>
    <t>CL6467</t>
  </si>
  <si>
    <t>Pro 5025T</t>
  </si>
  <si>
    <t>CL2806RUP</t>
  </si>
  <si>
    <t>CL6640</t>
  </si>
  <si>
    <t>CL2954CW</t>
  </si>
  <si>
    <t>SitaSingh Bus Plant</t>
  </si>
  <si>
    <t>CL4565RUP</t>
  </si>
  <si>
    <t>CL4177RUP</t>
  </si>
  <si>
    <t>CL4154RUP</t>
  </si>
  <si>
    <t>CL4184RUP</t>
  </si>
  <si>
    <t>CL4200RUP</t>
  </si>
  <si>
    <t>CL4155RUP</t>
  </si>
  <si>
    <t>CL4086RUP</t>
  </si>
  <si>
    <t>CL4588RUP</t>
  </si>
  <si>
    <t>CL4263RUP</t>
  </si>
  <si>
    <t>CL4471RUP</t>
  </si>
  <si>
    <t>CL4437RUP</t>
  </si>
  <si>
    <t>CL4197RUP</t>
  </si>
  <si>
    <t>CL6573</t>
  </si>
  <si>
    <t>13.5M Pro EV Bus</t>
  </si>
  <si>
    <t>faceless cowl</t>
  </si>
  <si>
    <t>SMK Bus plant</t>
  </si>
  <si>
    <t>CL4100RUP</t>
  </si>
  <si>
    <t>CL5299RUP</t>
  </si>
  <si>
    <t>RCB Bus plant</t>
  </si>
  <si>
    <t>E694_BS6_CNG</t>
  </si>
  <si>
    <t>CL6606</t>
  </si>
  <si>
    <t>Built-up</t>
  </si>
  <si>
    <t>E449_BS6_DSL</t>
  </si>
  <si>
    <t>Export Shop</t>
  </si>
  <si>
    <t>Prison Van</t>
  </si>
  <si>
    <t>Pro 2075-P/stg</t>
  </si>
  <si>
    <t>CL4425CW</t>
  </si>
  <si>
    <t>BLUE MOON</t>
  </si>
  <si>
    <t>CL5309CW</t>
  </si>
  <si>
    <t>CL5071RUP</t>
  </si>
  <si>
    <t>E494_BS4_D_122kW_24V_AB_AC_PS_B</t>
  </si>
  <si>
    <t>Opng WIP/ rgp</t>
  </si>
  <si>
    <t>E483_BS3_D_70kW_12V_HB_NAC_PS_T</t>
  </si>
  <si>
    <t>Pro3008/H CWC/AC/LHD/Euro-IV/AB</t>
  </si>
  <si>
    <t>EN434</t>
  </si>
  <si>
    <t>FR2025</t>
  </si>
  <si>
    <t>FRAME ASSY H-W/B LHD BS4</t>
  </si>
  <si>
    <t>CT2572RUP</t>
  </si>
  <si>
    <t>TRIM/3008/F/L CWC/LHD/AB/PS/E3/TL/6S/24V</t>
  </si>
  <si>
    <t>TM365T1</t>
  </si>
  <si>
    <t>ENG &amp; TM COUP (EN434+TM365D)</t>
  </si>
  <si>
    <t>EN1110</t>
  </si>
  <si>
    <t>FRAME ASSY Pro3009 H CWC BSVI ESC</t>
  </si>
  <si>
    <t>TM285T6</t>
  </si>
  <si>
    <t>ENGINE + T/M COUP(EN1110+TM285D)</t>
  </si>
  <si>
    <t>Pro 3009/H/F/L CWC/BSVI/ESC</t>
  </si>
  <si>
    <t>FR2182</t>
  </si>
  <si>
    <t>CT1581RUP</t>
  </si>
  <si>
    <t>TRIM ASSY/F/L CWL/Pro3009/BSVI/ESC</t>
  </si>
  <si>
    <t>Pro 3009/H/F/L CWC/BS6/AC</t>
  </si>
  <si>
    <t>CT1615RUP</t>
  </si>
  <si>
    <t>TRIM F/L CWL/Pro3009/BSVI/24V/AC/ESC</t>
  </si>
  <si>
    <t>Pro 3010/L/CWC/STF/3L/BSVI/ESC  </t>
  </si>
  <si>
    <t>SKL Pro3010 L/CWC/BS6/ABS/CNG/ESC</t>
  </si>
  <si>
    <t>FR2231</t>
  </si>
  <si>
    <t>Pro3010/L F/L CWL/BS6/ESC</t>
  </si>
  <si>
    <t>CT1634RUP</t>
  </si>
  <si>
    <t>TRMD/Pro3010 L/CWC/BS6/ABS/CNG/ESC</t>
  </si>
  <si>
    <t>2050D/F/L/CWC/HB/PS/ABS/BSVI</t>
  </si>
  <si>
    <t>2070/E F/L CWC/SRL/AC/BSVI/ESC</t>
  </si>
  <si>
    <t>2075/H/CWC/AB/PS/AC/BS6/ABS/OBD-II/ESC</t>
  </si>
  <si>
    <t>CT1605RUP</t>
  </si>
  <si>
    <t>TRIM ASSY/F/L CWL/2075G/BSVI/5S/ESC</t>
  </si>
  <si>
    <t>2075/G/SRL/AB/PS/BSVI/AC/ESC</t>
  </si>
  <si>
    <t>2075/G/CWC/BS6/OBD-II</t>
  </si>
  <si>
    <t>FR2163</t>
  </si>
  <si>
    <t>FRAME ASSY 2075 G BSVI BUS SKYLINE</t>
  </si>
  <si>
    <t>2090L/F/L/CWC/AB/PS/AC/BS6/OBD-II</t>
  </si>
  <si>
    <t>FR2157</t>
  </si>
  <si>
    <t>2090 L SKL OBD II</t>
  </si>
  <si>
    <t>2090 K SRL CWC AC GPS BS VI ESC</t>
  </si>
  <si>
    <t>20.15 N LHD E4 ACD 55+D 3X2 SCL TEL BUS</t>
  </si>
  <si>
    <t>EN779</t>
  </si>
  <si>
    <t>TM796T2</t>
  </si>
  <si>
    <t>ENG &amp; T/M COUP 2015 (EN779+TM796D)</t>
  </si>
  <si>
    <t>20.15 N LHD E4 ACD SCL TEL BUS</t>
  </si>
  <si>
    <t>20.15 R LHD CWC E5 HVAC EXP</t>
  </si>
  <si>
    <t>FR6509N</t>
  </si>
  <si>
    <t>FRAME ASSY. 2015/R/WS/6S/EU5</t>
  </si>
  <si>
    <t>FA822N</t>
  </si>
  <si>
    <t>FRONT AXLE Pro 6019 CWC/BS6/ABS/FAS/8T</t>
  </si>
  <si>
    <t>TANDEM REAR FWD AXLE(R2)</t>
  </si>
  <si>
    <t>Pro 5025T G CBC BS3 TY 6S BCSVECV_AXLE</t>
  </si>
  <si>
    <t>TM857D</t>
  </si>
  <si>
    <t>TM/ASSY/PRO 5025T/ET80S6/PTO/BS3</t>
  </si>
  <si>
    <t>RA932N</t>
  </si>
  <si>
    <t>FR6450N</t>
  </si>
  <si>
    <t>CT6383</t>
  </si>
  <si>
    <t>TRIM CABIN/Pro5025G/24V/BSIII/EXP</t>
  </si>
  <si>
    <t>TM857T2</t>
  </si>
  <si>
    <t>ENG+T/M CUP Pro 5025G BS3 (TM857D+EN837)</t>
  </si>
  <si>
    <t>RA933N</t>
  </si>
  <si>
    <t>EV 13.5M INTERCITY CWC</t>
  </si>
  <si>
    <t>RA969D</t>
  </si>
  <si>
    <t>REAR AXLE/INTRCITY 13.5 EV/440DH 6.43FDR</t>
  </si>
  <si>
    <t>FM801</t>
  </si>
  <si>
    <t>Front Module Intercity EV 13.5M KIT SPX</t>
  </si>
  <si>
    <t>CWF101</t>
  </si>
  <si>
    <t>WELD COWL ASSY WITH ROUTING 13.5 EV</t>
  </si>
  <si>
    <t>RM973</t>
  </si>
  <si>
    <t>TM812D</t>
  </si>
  <si>
    <t>T/M ASSY/6X4/ET90S6/6.16/395C/WPTO</t>
  </si>
  <si>
    <t>Pro 6028XPT/G/CBC/PRM/SRT/11X20/OBDII</t>
  </si>
  <si>
    <t>Pro 6028XPT/G/CBC/PRM/SRT/11X20M/BSVI/RB</t>
  </si>
  <si>
    <t>Pro6028XPT/J/CBC/PRM/ABS/SRT/BSVI/11X20M</t>
  </si>
  <si>
    <t>FR6457N</t>
  </si>
  <si>
    <t>FR ASSY/Pro6028XPT/6X4/J-WB/FS/VX</t>
  </si>
  <si>
    <t>Pro 6028XPT/J/CBC/PRM/ABS/SRT/BSVI/11R20</t>
  </si>
  <si>
    <t>E694_BS6_C_150kW_24V_AB_AC_PS_T_I6</t>
  </si>
  <si>
    <t>Pro 6028TM H CBC SLV BCS BSVI CNG PRM</t>
  </si>
  <si>
    <t>EN2213</t>
  </si>
  <si>
    <t>RA981N</t>
  </si>
  <si>
    <t>TANDEM REAR FWD AXLE R1 6.166FDR RMC BCS</t>
  </si>
  <si>
    <t>FR6658N</t>
  </si>
  <si>
    <t>FRAME ASSY Pro6028TM CNG H BCS PRM</t>
  </si>
  <si>
    <t>CT6522</t>
  </si>
  <si>
    <t>TRIM CAB/6028TM/CNG/BSVI/BCS/24V/PRM/FTC</t>
  </si>
  <si>
    <t>TM812T64</t>
  </si>
  <si>
    <t>ENG+T/M (EN2213+TM812D) 6028TM CNG PRM</t>
  </si>
  <si>
    <t>RA982N</t>
  </si>
  <si>
    <t>TANDEM REAR AXLE R2 6.166FDR ABS RMC BCS</t>
  </si>
  <si>
    <t>Pro 6035XPT L CBC BSVI PRM 11X20 300HP</t>
  </si>
  <si>
    <t>Pro 6035T L CBC BS6 PRM 11X20 OBD HRT</t>
  </si>
  <si>
    <t>WELDED CABIN/2049/W/O HATCH/1.8</t>
  </si>
  <si>
    <t>CW168</t>
  </si>
  <si>
    <t>Pro2055T C CBC 2.8Cum BS3 PRM PB EXP</t>
  </si>
  <si>
    <t>EN106T62</t>
  </si>
  <si>
    <t>TM379D</t>
  </si>
  <si>
    <t>TM/ASSY/PRO2055T BS3 HB PTO</t>
  </si>
  <si>
    <t>FR262B</t>
  </si>
  <si>
    <t>PHANTOM FRAME ASSY PRO2055T/C/2.8CUM/BS3</t>
  </si>
  <si>
    <t>CT2164CW</t>
  </si>
  <si>
    <t>TRIM/Pro2055T/BS3/HB/PTO/EXP/PRM/12V/5S</t>
  </si>
  <si>
    <t>TM379T1</t>
  </si>
  <si>
    <t>ENGINE + T/M COUP(TM379D+EN106T62)</t>
  </si>
  <si>
    <t>CW003B</t>
  </si>
  <si>
    <t>PRO 2075 F PRI VAN 4G BSVI ABS</t>
  </si>
  <si>
    <t>CT4155CW</t>
  </si>
  <si>
    <t>TRIM CAB/PRO 2075/PRI VAN/4G/ABS/WTL</t>
  </si>
  <si>
    <t>Pro 2095XP G CBC BSVI AC SR5S POR RX</t>
  </si>
  <si>
    <t>CT4889CW</t>
  </si>
  <si>
    <t>TRIM CAB/Pro2095XP/BSVI/AC/POR</t>
  </si>
  <si>
    <t>Pro2114XP H CBC 19FT BSVI 7S AC</t>
  </si>
  <si>
    <t>TM588C10</t>
  </si>
  <si>
    <t>T/M COUP (EN3307+TM588D)</t>
  </si>
  <si>
    <t>CT2586CW</t>
  </si>
  <si>
    <t>Cabin ASSY Pro2114XP BSVI NGB 7S PRM AC</t>
  </si>
  <si>
    <t>TM588O10</t>
  </si>
  <si>
    <t>ENG+T/M COUP (TM588+EN3307)/2114XP/AC</t>
  </si>
  <si>
    <t>EN3328</t>
  </si>
  <si>
    <t>E494_BS6_D_120KW_12V_AB_AC_PS_T_HEGR</t>
  </si>
  <si>
    <t>TM871O4</t>
  </si>
  <si>
    <t>ENGINE+T/M COUP(TM871D+EN3328)-2116T/AC</t>
  </si>
  <si>
    <t>2050 E STF BSVI 2x1 HB HHR MAX 4C RT#</t>
  </si>
  <si>
    <t>2050 E Scl BSVI Hb Faps 4c#</t>
  </si>
  <si>
    <t>2070 E Srl Scl Ac BSVI 3x2 Faps Mprm#</t>
  </si>
  <si>
    <t>2075 H Srl Scl Ac BSVI 3x2 Faps Mprm#</t>
  </si>
  <si>
    <t>20.15N LHD E4 JTHVAC 65S PW BUS TEL LB#</t>
  </si>
  <si>
    <t>20.15R LHD E5 JT HVAC 70S SD PW BUS TEL</t>
  </si>
  <si>
    <t>Skyline ProE 12m Lowfloor Tarmac 21S SA</t>
  </si>
  <si>
    <t>Pro 6028TM H BSVI DW 7SLVBCSSST CNGPRM#*</t>
  </si>
  <si>
    <t>2050 E SRL STF BSVI 2X1 HHR MAX</t>
  </si>
  <si>
    <t>EN1001D1</t>
  </si>
  <si>
    <t>ENG ASSY E449 100HP BSVI BUS NAC DSL</t>
  </si>
  <si>
    <t>TM412D</t>
  </si>
  <si>
    <t>FR683B</t>
  </si>
  <si>
    <t>PHANTOM FRAME 2050 E SCL BS6 HB FAPS 4C</t>
  </si>
  <si>
    <t>CT4898RUP</t>
  </si>
  <si>
    <t>Trimmedcab/Pro2050/C/SRL/CWC/BSVI/HB</t>
  </si>
  <si>
    <t>TM412O1</t>
  </si>
  <si>
    <t>ENGINE + T/M COUP (EN1001D1+TM412D)</t>
  </si>
  <si>
    <t>2050 E/F/L/CWC/HB/ABS/BSVI/FAPS</t>
  </si>
  <si>
    <t>FR682B</t>
  </si>
  <si>
    <t>FRAME 2050 C SRL SCL 3X2 HB FAPS 4C</t>
  </si>
  <si>
    <t>CT4897RUP</t>
  </si>
  <si>
    <t>TRIMASSY F/L BUS/2050/C/HB/PS/BS6/OBD2</t>
  </si>
  <si>
    <t>Pro2075 E TCST BSVI PS NGB BASE #</t>
  </si>
  <si>
    <t>IB003687_Van Pump (Bus CA awaited)</t>
  </si>
  <si>
    <t>IB003687_Van Pump (Bus CA awaited) revisit by 30th</t>
  </si>
  <si>
    <t>TM284 non coomit from EECD</t>
  </si>
  <si>
    <t>ID333119_Turbo charger Critical</t>
  </si>
  <si>
    <t xml:space="preserve">IC518200_Exhust Brake assy critical EDA 20th
ID319035_Turbo charger Critical </t>
  </si>
  <si>
    <t>CH E366 limitation</t>
  </si>
  <si>
    <t>Non commit from NPI Side</t>
  </si>
  <si>
    <t>BOM not avaialble in SAP</t>
  </si>
  <si>
    <t>ID373844_Fan Drive Critical, revisit by 30th
ID340105_Rocker Cover Critical</t>
  </si>
  <si>
    <t>CL5329CW</t>
  </si>
  <si>
    <t>Sep'26</t>
  </si>
  <si>
    <t>Jammu and Kashmir (5)</t>
  </si>
  <si>
    <t>LIBYA</t>
  </si>
  <si>
    <t>Pro2095 F 16F WTANK BSVI AC NB 5S WTL#</t>
  </si>
  <si>
    <t>Pro 6019XPT F BSVIDW PRM 11X20 10.5BB EB</t>
  </si>
  <si>
    <t>Skyl Pro3008H LHD E4 HVAC SCL TEL STS#</t>
  </si>
  <si>
    <t>20.15 N LHD E3 HVAC 65S HHR SD BUS LX</t>
  </si>
  <si>
    <t>SKYL Pro 3009 H E3 E494 24V NAC 36S EXP</t>
  </si>
  <si>
    <t>Pro 5016T E RHD BS4 TY 8.5FET HK EXP</t>
  </si>
  <si>
    <t>Pro1080XPT C 3.5 RHD BS4 ABS PRM EXP DW</t>
  </si>
  <si>
    <t>2075 H SCL 3X2 FAPS JX</t>
  </si>
  <si>
    <t>2070 E Srl Stf BSVI 2x1 TT Ps#</t>
  </si>
  <si>
    <t>SKYLINE PRO-E 3012H SCL HHR AC SBO PDR#</t>
  </si>
  <si>
    <t>SklPro 3010L Cng Ac BS6 Pb Ras Rd Esc#</t>
  </si>
  <si>
    <t>PLAN</t>
  </si>
  <si>
    <t>NPI Pro X</t>
  </si>
  <si>
    <t>NPI Vehicles</t>
  </si>
  <si>
    <t>Pro X Total</t>
  </si>
  <si>
    <t>Bus Total</t>
  </si>
  <si>
    <t>LMD EV Bus</t>
  </si>
  <si>
    <t>HD Mkt Cwc</t>
  </si>
  <si>
    <t>HD Built up Bus</t>
  </si>
  <si>
    <t>LMD Mkt Cwc</t>
  </si>
  <si>
    <t>LMD Built up Bus</t>
  </si>
  <si>
    <t>HD Total</t>
  </si>
  <si>
    <t>HD Pro 8000 Tipper</t>
  </si>
  <si>
    <t>HD Pro 6000 Tipper</t>
  </si>
  <si>
    <t>HD- 4x2</t>
  </si>
  <si>
    <t>HD - MAV &amp; TT</t>
  </si>
  <si>
    <t>LMD Total</t>
  </si>
  <si>
    <t>Sub 5 ton</t>
  </si>
  <si>
    <t>5-18 Ton</t>
  </si>
  <si>
    <t>Urgent vehicles</t>
  </si>
  <si>
    <t>Vertical</t>
  </si>
  <si>
    <t>Projections</t>
  </si>
  <si>
    <t>BPCH1012</t>
  </si>
  <si>
    <t>Skyline Pro E 12m EV STF CWC IC</t>
  </si>
  <si>
    <t>Pro 8035XM EV LWB variant</t>
  </si>
  <si>
    <t>Pro 8035XM EV N PW 384KW 21 URB 12X24#</t>
  </si>
  <si>
    <t>2050 C Srl Stf BSVI Hb 4c#</t>
  </si>
  <si>
    <t>BPCH2002</t>
  </si>
  <si>
    <t>plan-bpl</t>
  </si>
  <si>
    <t>plan-ppur</t>
  </si>
  <si>
    <t>Truck Plant</t>
  </si>
  <si>
    <t>HSD</t>
  </si>
  <si>
    <t>CBC</t>
  </si>
  <si>
    <t>CL6559</t>
  </si>
  <si>
    <t>Pro 6028TM</t>
  </si>
  <si>
    <t>SST</t>
  </si>
  <si>
    <t>CL6455</t>
  </si>
  <si>
    <t>Pro 6048T-PREMIUM</t>
  </si>
  <si>
    <t>Pro6048</t>
  </si>
  <si>
    <t>PORT BLUE</t>
  </si>
  <si>
    <t>CL5327RUP</t>
  </si>
  <si>
    <t>CL5731RUP</t>
  </si>
  <si>
    <t>20.15 cowl</t>
  </si>
  <si>
    <t>20.15-Cowl</t>
  </si>
  <si>
    <t>CL6503</t>
  </si>
  <si>
    <t>FSD</t>
  </si>
  <si>
    <t>CL5277RUP</t>
  </si>
  <si>
    <t>CL4282RUP</t>
  </si>
  <si>
    <t>CL4618RUP</t>
  </si>
  <si>
    <t>CT6133</t>
  </si>
  <si>
    <t>TM412C1</t>
  </si>
  <si>
    <t>T/M COUP (EN1001D1+TM412D)</t>
  </si>
  <si>
    <t>WELD CABIN/2070/LHD/W/O ROOF HATCH/2M  </t>
  </si>
  <si>
    <t>CW174</t>
  </si>
  <si>
    <t>PRO 3012/H/CWC/W/B/9M/AC/EV/MWD</t>
  </si>
  <si>
    <t>WELD COWL ASSEMBLY ELE EV 9M BUILT UP</t>
  </si>
  <si>
    <t>IA456461</t>
  </si>
  <si>
    <t>RA571D</t>
  </si>
  <si>
    <t>REAR AXLE ASSY/340DH/4.8FDR</t>
  </si>
  <si>
    <t>FR2378</t>
  </si>
  <si>
    <t>Frame Assy SKL Pro E 3012 9m EV staff</t>
  </si>
  <si>
    <t>CT1637RUP</t>
  </si>
  <si>
    <t>TRIM CABIN/PRO3012/H-WB/AC/9m EV staff</t>
  </si>
  <si>
    <t>FA527N</t>
  </si>
  <si>
    <t>FRONT AXLE ASSY/PRO3204/H-WB/AC/EV</t>
  </si>
  <si>
    <t>RA6013N</t>
  </si>
  <si>
    <t>TANDEM REAR FWD AXLE R1 5.29 470DH</t>
  </si>
  <si>
    <t>RA6015N</t>
  </si>
  <si>
    <t>TANDEM REAR REAR AXLE R2 5.29 470DH</t>
  </si>
  <si>
    <t>EN823</t>
  </si>
  <si>
    <t>MDE5_BS6_D_24V_NAC_T OBD II</t>
  </si>
  <si>
    <t>Pro 6028TM G CBC SLV BCS SRT BSVI AC</t>
  </si>
  <si>
    <t>RA900N</t>
  </si>
  <si>
    <t>TANDEM REAR FWD AXLE(R1)6.166FDR RMC BCS</t>
  </si>
  <si>
    <t>FR6565N</t>
  </si>
  <si>
    <t>Frame Assy Pro6028TM AC</t>
  </si>
  <si>
    <t>TRIM CAB/2.3 D/Pro6028TM/BSVI/BCS/24V/AC</t>
  </si>
  <si>
    <t>TM812T52</t>
  </si>
  <si>
    <t>ENG+T/M COUPLING(EN823+TM812D)Ceramic AC</t>
  </si>
  <si>
    <t>RA961N</t>
  </si>
  <si>
    <t>Pro 6035T L CBC BS6 PRM 11R20 OBD HRT</t>
  </si>
  <si>
    <t>RA951N</t>
  </si>
  <si>
    <t>TANDEM REAR FWD AXLE R1 5.29 FDR 470DH</t>
  </si>
  <si>
    <t>FR6319N</t>
  </si>
  <si>
    <t>FRAME ASSY Pro 6048T 6785W/B CBC PRM BS6</t>
  </si>
  <si>
    <t>TRIM CAB/PRO6048T/HSA/SLP/BS6/ABS/PRM</t>
  </si>
  <si>
    <t>FA793N</t>
  </si>
  <si>
    <t>FRONT AXLE FRONT FA1 PRO 6048T BS6(REPL)</t>
  </si>
  <si>
    <t>TM1004T24</t>
  </si>
  <si>
    <t>ENG+T/M COUPLING(EN814+TM1004D) 6048T</t>
  </si>
  <si>
    <t>RA952N</t>
  </si>
  <si>
    <t>TANDEM REAR REAR AXLE R2 5.29 FDR 470DH</t>
  </si>
  <si>
    <t>FA794N</t>
  </si>
  <si>
    <t>LIFT AXLE VE2100 Pro6048T 10X2 RHD</t>
  </si>
  <si>
    <t>FA795N</t>
  </si>
  <si>
    <t>FRONT AXLE REAR FA2 PRO6048T BS6(REPL)AB</t>
  </si>
  <si>
    <t>TM796T4</t>
  </si>
  <si>
    <t>WELD COWL WITH CANOPY</t>
  </si>
  <si>
    <t>IA357666</t>
  </si>
  <si>
    <t>EN808</t>
  </si>
  <si>
    <t>Cummins_EU3_D_180HP_24V_NAC_B</t>
  </si>
  <si>
    <t>FR6126N</t>
  </si>
  <si>
    <t>FRAME ASSY.2015/N/BS3/EXP</t>
  </si>
  <si>
    <t>CT6143</t>
  </si>
  <si>
    <t>F/L COWL/2015/RHD/PS/24V/EXP</t>
  </si>
  <si>
    <t>FA773N</t>
  </si>
  <si>
    <t>FRONT AXLE 2015 RHD WS</t>
  </si>
  <si>
    <t>20.15 R LHD CWC E5 NAC SD</t>
  </si>
  <si>
    <t>Pro3008/H CWC/AC/LHD/Euro-IV/AB/STS</t>
  </si>
  <si>
    <t>EN439</t>
  </si>
  <si>
    <t>TM365T6</t>
  </si>
  <si>
    <t>ENG &amp; TM COUP (EN439+TM365D)</t>
  </si>
  <si>
    <t>Skyline Pro 3009/H/ EIII/ F/L CWC</t>
  </si>
  <si>
    <t>2070/E CWC/SRL/BSVI/TT</t>
  </si>
  <si>
    <t>FR2520</t>
  </si>
  <si>
    <t>FRAME PHANTOM 2070E SRL BSVI</t>
  </si>
  <si>
    <t>SKL Pro3010L/CWC/STF/CNG/AC/ABSBS6RASESC</t>
  </si>
  <si>
    <t>EN2117</t>
  </si>
  <si>
    <t>FR6525N</t>
  </si>
  <si>
    <t>FRAME ASSY/Pro3010L F/L CWL/BSVI/AC/RAS</t>
  </si>
  <si>
    <t>TM289T34</t>
  </si>
  <si>
    <t>ENGINE+T/M ASSY (EN2117+TM289)</t>
  </si>
  <si>
    <t>??</t>
  </si>
  <si>
    <t>LD EV Bus</t>
  </si>
  <si>
    <t>9M EV Bus</t>
  </si>
  <si>
    <t>2050 E CWC SRL STF BSVI MAX 4C RT</t>
  </si>
  <si>
    <t>Usable RGP</t>
  </si>
  <si>
    <t>Usable WIP</t>
  </si>
  <si>
    <t>CL6638</t>
  </si>
  <si>
    <t>SOP1 Sales demand for Aug2026</t>
  </si>
  <si>
    <t>Oct'26</t>
  </si>
  <si>
    <t>SOP1 plan for Aug'2026</t>
  </si>
  <si>
    <t>S&amp;OP1 A Prod Plan of Aug 2026  as on 18th July 2026</t>
  </si>
  <si>
    <t>S&amp;OP1 A Prod Plan - Aug 26</t>
  </si>
  <si>
    <t>For Opg RGP/WIP/ IB Firm Orders WK1 for Aug</t>
  </si>
  <si>
    <t>Total S&amp;OP1A Demand - Aug 26</t>
  </si>
  <si>
    <t>S&amp;OP2B plan for Sep</t>
  </si>
  <si>
    <t>S&amp;OP3B plan for Oct</t>
  </si>
  <si>
    <t>Police Gandhinagar</t>
  </si>
  <si>
    <t>MSRTC(100)</t>
  </si>
  <si>
    <t>Office of Dy. Chief Material UP</t>
  </si>
  <si>
    <t>SOMALIA</t>
  </si>
  <si>
    <t>Skl Pro 3011L Stf 3L Dd BSVI Esc</t>
  </si>
  <si>
    <t>2075 H Srl Rp BSVI Esc MSRTC#</t>
  </si>
  <si>
    <t>PRO 6028TM G BSVIDW 7SLVBCS  SST SRTAC</t>
  </si>
  <si>
    <t>PRO6035T L BSVI LY PRM 23BBHD11R20 HRT</t>
  </si>
  <si>
    <t>PRO 6028XPT G BSVI DWPRM 11X20 16BBGTM</t>
  </si>
  <si>
    <t>PRO 6048T S BSVI DW PRM 29BB 11R20</t>
  </si>
  <si>
    <t>PRO 6028T G BSVI LY PRM11X20 16SB HYDMS</t>
  </si>
  <si>
    <t>PRO 6028TM J BSVI DWPRM 9EPTO SST11X20</t>
  </si>
  <si>
    <t>PRO 8035XM L BSVI PW 12X20 26BB AMT</t>
  </si>
  <si>
    <t>PRO 6028TM J BSVIDWPRM 10EPTOPTZ 11X20</t>
  </si>
  <si>
    <t>PRO 6028TM J BSVIDWPRM 9EPTO PTZ 11X20</t>
  </si>
  <si>
    <t>20.15 N LHD E4 ACD 65S STF TEL STS BUS#</t>
  </si>
  <si>
    <t>Pro 6025TM G DW 280HP E3 7CuM SLV EXP#</t>
  </si>
  <si>
    <t>Pro 5025T G B3 DW 16CM 9S BOG VECV EXP#</t>
  </si>
  <si>
    <t>Skl Pro 3009 H Stf BSVI Rd Esc</t>
  </si>
  <si>
    <t>2075 G Skl Scl BSVI 3x3 Faps</t>
  </si>
  <si>
    <t>2070 E Srl Scl CNG Ac BS6 3X2 Faps Mprm</t>
  </si>
  <si>
    <t>2090 L Srl Scl BSVI 5S Faps HHR#</t>
  </si>
  <si>
    <t>2090 L Srl Rp Dd BSVI Esc TT#</t>
  </si>
  <si>
    <t xml:space="preserve">Runner </t>
  </si>
  <si>
    <t>IB NPI Proj</t>
  </si>
  <si>
    <t>BPCH1013</t>
  </si>
  <si>
    <t>Pro 2080XPT</t>
  </si>
  <si>
    <t>Skyline Pro E 12m EV Intercity AC HHR#</t>
  </si>
  <si>
    <t>SKYLINE PRO-E 3012H SCL HVAC HHR SBO#</t>
  </si>
  <si>
    <t>Skyline Pro E 3012 H Stf Ac Pb Sd ST#</t>
  </si>
  <si>
    <t>CL6689</t>
  </si>
  <si>
    <t>CL6682</t>
  </si>
  <si>
    <t>CL6686</t>
  </si>
  <si>
    <t>CL6688</t>
  </si>
  <si>
    <t>CL6681</t>
  </si>
  <si>
    <t>CL6685</t>
  </si>
  <si>
    <t>CL6680</t>
  </si>
  <si>
    <t>CL6600</t>
  </si>
  <si>
    <t>CL6456</t>
  </si>
  <si>
    <t>CL4697RUP</t>
  </si>
  <si>
    <t>CL5326CW</t>
  </si>
  <si>
    <t>CL5337CW</t>
  </si>
  <si>
    <t>Pro2080XPT Plus DFBT BS6 LY PRM 100LXAC#</t>
  </si>
  <si>
    <t>CL6690</t>
  </si>
  <si>
    <t>TERRA YELLOW</t>
  </si>
  <si>
    <t>Pro 2080XPT-Plus-PREMIUM</t>
  </si>
  <si>
    <t>E483_BS3_D_80kW_12V_AB_NAC_PS_Migration</t>
  </si>
  <si>
    <t>Addnl for Material Planning</t>
  </si>
  <si>
    <t>Pro 2080XPT C 4.5CUM RHD BS4 TY SL EXP#</t>
  </si>
  <si>
    <t>2050 E STF BSVI 2x2 HB PB MAX 4C RT</t>
  </si>
  <si>
    <t>2070 E Srl Scl Ac BSVI Pw Elr 3x2 Faps</t>
  </si>
  <si>
    <t>Skyline Pro E 3012 H Scl Hhr Ac Sbo</t>
  </si>
  <si>
    <t>SKYLINE PRO E 3012 H EV STF AC EBS SMNS</t>
  </si>
  <si>
    <t>20.15N RHD E3 CUM WS 42S2X2 SD BUS UGA#</t>
  </si>
  <si>
    <t>20.15 R LHD E5 NAC 70S SD BUS TEL</t>
  </si>
  <si>
    <t>Skyline Pro E 12m EV Intercity AC PB#</t>
  </si>
  <si>
    <t>Pro 6028TM H BSVI DW 7SLVBCSSST CNGPRM#</t>
  </si>
  <si>
    <t>Ladt 1 year Rollout</t>
  </si>
  <si>
    <t>Nil Rolled</t>
  </si>
  <si>
    <t>FR2553</t>
  </si>
  <si>
    <t>FRAME ASSY 3008 H W/B LHD STS BS4</t>
  </si>
  <si>
    <t>EN3331</t>
  </si>
  <si>
    <t>E494_BS6_D_120kW_24V_AB_AC_PS_B_I5_HEGR</t>
  </si>
  <si>
    <t>TM285T19</t>
  </si>
  <si>
    <t>ENGINE + T/M COUP(EN3331+TM285D)</t>
  </si>
  <si>
    <t>IC547096</t>
  </si>
  <si>
    <t>FramePart</t>
  </si>
  <si>
    <t>2090L F/L/CWC/BSVI/TT/OBD-II/ESC</t>
  </si>
  <si>
    <t>20.15 N RHD CWC E3 CUM 42S2X2 SD WS EXP</t>
  </si>
  <si>
    <t>TM784D</t>
  </si>
  <si>
    <t>TM ASSY/ET70S6 OD/5.286/LHD/BS3/ABS</t>
  </si>
  <si>
    <t>RA847D</t>
  </si>
  <si>
    <t>REAR AXLE/2015/BS3/5.857FDR/LHD/395DH</t>
  </si>
  <si>
    <t>TM784T2</t>
  </si>
  <si>
    <t>ENG &amp; T/M COUP 2015 (EN808+TM784)</t>
  </si>
  <si>
    <t>CT6684</t>
  </si>
  <si>
    <t>Pro 6025TM G CBC DW 280HP E3 EXP</t>
  </si>
  <si>
    <t>FR6543N</t>
  </si>
  <si>
    <t>Pro 6025_8CuM RMC</t>
  </si>
  <si>
    <t>CT6430</t>
  </si>
  <si>
    <t>Pro6025TM/2.3DAY/RHD/ABS/PRM/EXP/280HP</t>
  </si>
  <si>
    <t>FA807N</t>
  </si>
  <si>
    <t>CT6670</t>
  </si>
  <si>
    <t>Pro 6028T/G/CBC/PRM/SRT/11R20/VX/BSVI/CR</t>
  </si>
  <si>
    <t>Pro 6028T/G/CBC/PRM/SRT/11X20/VX/BSVI/CR</t>
  </si>
  <si>
    <t>CT6668</t>
  </si>
  <si>
    <t>CT6705</t>
  </si>
  <si>
    <t>CT6704</t>
  </si>
  <si>
    <t>CT6707</t>
  </si>
  <si>
    <t>CT6722</t>
  </si>
  <si>
    <t>Pro6028TM J BSVI CBC SST PRM 9EPTO 11X20</t>
  </si>
  <si>
    <t>CT6626</t>
  </si>
  <si>
    <t>CT6710</t>
  </si>
  <si>
    <t>CT6706</t>
  </si>
  <si>
    <t>Pro 6048T S BSVI CBC PRM 11R20 CR</t>
  </si>
  <si>
    <t>CT6660</t>
  </si>
  <si>
    <t>EN106T76</t>
  </si>
  <si>
    <t>FA262N</t>
  </si>
  <si>
    <t>FRONT AXLE ASSY Pro2080 EXP</t>
  </si>
  <si>
    <t>Pro 2080XPT C CBC RHD BS4 TY SL EXP</t>
  </si>
  <si>
    <t>FR717B</t>
  </si>
  <si>
    <t>PRO2080XPT C 4.5 CUM RHD BS4 TY EXP</t>
  </si>
  <si>
    <t>CT2599CW</t>
  </si>
  <si>
    <t>TRIM CAB/Pro2080XPT/BS4/EXP</t>
  </si>
  <si>
    <t>TM300T4</t>
  </si>
  <si>
    <t>ENGINE + T/M COUP(TM300D+EN106T76)BS3</t>
  </si>
  <si>
    <t>Pro2080XPT PLUS D CBC 4.5cum BS6 PRM 100</t>
  </si>
  <si>
    <t>Pro2095 F 16F CBC  BSVI AC 5S WTL</t>
  </si>
  <si>
    <t>CL5321RUP</t>
  </si>
  <si>
    <t>Injector conf awaited</t>
  </si>
  <si>
    <t>Exh Brake GT Emission</t>
  </si>
  <si>
    <t xml:space="preserve">C2 Release Pending </t>
  </si>
  <si>
    <t>Release pending-Phantom release pending</t>
  </si>
  <si>
    <t>1st time rollout- Agg regualr</t>
  </si>
  <si>
    <t>Turbo critical for ollout</t>
  </si>
  <si>
    <t>SOP chassis (Bus Plant)</t>
  </si>
  <si>
    <t>ZF TM conf awaited</t>
  </si>
  <si>
    <t>Budget not avl - for chassis proto parts</t>
  </si>
  <si>
    <t>2 Already rollout , Further rollour in W34</t>
  </si>
  <si>
    <t>TM readiness by Sep</t>
  </si>
  <si>
    <t>Design revised</t>
  </si>
  <si>
    <t>SOP1 Sales demand for Sep2026</t>
  </si>
  <si>
    <t>PRIVATE</t>
  </si>
  <si>
    <t>INDIA</t>
  </si>
  <si>
    <t>CL4734CW</t>
  </si>
  <si>
    <t>CL4887CW</t>
  </si>
  <si>
    <t>CL5072CW</t>
  </si>
  <si>
    <t>CL5160CW</t>
  </si>
  <si>
    <t>CL4748CW</t>
  </si>
  <si>
    <t>CL4728CW</t>
  </si>
  <si>
    <t>CL5240CW</t>
  </si>
  <si>
    <t>CL5756CW</t>
  </si>
  <si>
    <t>CL5056CW</t>
  </si>
  <si>
    <t>CL5163CW</t>
  </si>
  <si>
    <t>CL4888CW</t>
  </si>
  <si>
    <t>CL5166CW</t>
  </si>
  <si>
    <t>CL5675CW</t>
  </si>
  <si>
    <t>CL5167CW</t>
  </si>
  <si>
    <t>CL4726CW</t>
  </si>
  <si>
    <t>CL5075CW</t>
  </si>
  <si>
    <t>CL5084CW</t>
  </si>
  <si>
    <t>EV-40KW-LR</t>
  </si>
  <si>
    <t>Pro X 3.5T</t>
  </si>
  <si>
    <t>GREY METALLIC</t>
  </si>
  <si>
    <t>Pro X 3T</t>
  </si>
  <si>
    <t>EV- 32KW- MR</t>
  </si>
  <si>
    <t>DARK BLUE</t>
  </si>
  <si>
    <t>E449_BS6_CNG</t>
  </si>
  <si>
    <t>EV</t>
  </si>
  <si>
    <t>DSL-XS</t>
  </si>
  <si>
    <t>CNG-XL</t>
  </si>
  <si>
    <t>CNG-XS</t>
  </si>
  <si>
    <t>DSL-XL</t>
  </si>
  <si>
    <t>Pro X 3.5T EV C CBC DW T2 LR#</t>
  </si>
  <si>
    <t>Pro X 3.5T EV C MSC DW T2 LR</t>
  </si>
  <si>
    <t>Pro X 3.5T C FSD DW T2 XS</t>
  </si>
  <si>
    <t>Pro X 3.5T C FSD GM T2 XS</t>
  </si>
  <si>
    <t>Pro X 3.5T C HD FSD DW T2 XS</t>
  </si>
  <si>
    <t>Pro X 3.5T C CBC DW T2 XS</t>
  </si>
  <si>
    <t>Pro X 3.0T C FSD DW T2 XS</t>
  </si>
  <si>
    <t>Pro X 3.0T C FSD GM T2 XS</t>
  </si>
  <si>
    <t>Pro X 3.0T C CBC DW T2 XS</t>
  </si>
  <si>
    <t>Pro X 3.5T C CBC GM T2AC XS</t>
  </si>
  <si>
    <t>Pro X 3.5T C FSD DW T2AC XS</t>
  </si>
  <si>
    <t>Pro X 3.5T C FSD GM T2AC XS</t>
  </si>
  <si>
    <t>Pro X 3.5T EV C FSD DW T2 LR</t>
  </si>
  <si>
    <t>Pro X 3.5T C HSD DW T2 XS</t>
  </si>
  <si>
    <t>Pro X 3T EV B MSC DB T2 MR</t>
  </si>
  <si>
    <t>Pro X 3T EV B CBC DW T1 MR</t>
  </si>
  <si>
    <t>Pro X 3.5T EV B CBC DW T1 MR</t>
  </si>
  <si>
    <t>Pro X 3.5T C CBC DW T2AC XS</t>
  </si>
  <si>
    <t>Pro X 3.5T C CBC GM T2 XS</t>
  </si>
  <si>
    <t>Pro X 3.0T C CBC GM T2 XS</t>
  </si>
  <si>
    <t>Pro X 3.0T C CBC DW T2AC XS</t>
  </si>
  <si>
    <t>Pro X 3.5T EV C CBC DW T2 AC LR </t>
  </si>
  <si>
    <t>Pro X 3.5T C CNG CBC DW T2 XL 180L</t>
  </si>
  <si>
    <t>Pro X 3.5T C CNG FSD DW T2 XL 180L</t>
  </si>
  <si>
    <t>Pro X 3.5T C CNG CBC DW T2AC XL 180L#</t>
  </si>
  <si>
    <t>Pro X 3.5T C CNG CBC DW T2 XS 150L#</t>
  </si>
  <si>
    <t>Pro X 3.5T C CNG CBC DW T2AC XS 150L</t>
  </si>
  <si>
    <t>Pro X 3.5T C FSD DW T2 XL</t>
  </si>
  <si>
    <t>Pro X 3.5T C CBC DW T2 XL</t>
  </si>
  <si>
    <t>Pro X 3.0T C FSD DW T2 XL</t>
  </si>
  <si>
    <t>Pro X 3.5T C CBC DW T2AC XL</t>
  </si>
  <si>
    <t>Pro X 3.0T C CBC DW T2 XL</t>
  </si>
  <si>
    <t>Pro X 3.0T C FSD GM T2 XL</t>
  </si>
  <si>
    <t>Pro X 3.5T C FSD DW T2AC XL</t>
  </si>
  <si>
    <t>Pro X 3.5T C FSD GM T2AC XL</t>
  </si>
  <si>
    <t>Pro X 3.5T C FSD GM T2 XL#</t>
  </si>
  <si>
    <t>Pro X 3.5T C CBC GM T2 XL</t>
  </si>
  <si>
    <t>Pro X 3.0T C CBC GM T2 XL</t>
  </si>
  <si>
    <t>Pro X 3.5T C CBC GM T2AC XL</t>
  </si>
  <si>
    <t>Pro X 3T EV B CBC DW T2 MR</t>
  </si>
  <si>
    <t>Pro X 3T EV B CBC DB T2 MR</t>
  </si>
  <si>
    <t>Pro X 3.0T C FSD DW T2AC XS</t>
  </si>
  <si>
    <t>Pro X 3.0T C MSC PSB T2 XL#</t>
  </si>
  <si>
    <t>Pro X 3.0T C CBC GM T2AC XL</t>
  </si>
  <si>
    <t>Pro X 3.0T C FSD DW T2AC XL</t>
  </si>
  <si>
    <t>Pro X 3.0T C CBC DW T2AC XL</t>
  </si>
  <si>
    <t>Pro X 3T EV B MSC DW T2 MR</t>
  </si>
  <si>
    <t>Pro X 3.5T EV C MSC DW T4 MR</t>
  </si>
  <si>
    <t>Pro X 3.5T C MSC PSB T2 XL</t>
  </si>
  <si>
    <t>Pro X 3.0T C FSD GM T2AC XS</t>
  </si>
  <si>
    <t>Pro X 3.5T C HD FSD DW T2AC XS</t>
  </si>
  <si>
    <t>Pro X 3.0T C HSD GM T2 XS</t>
  </si>
  <si>
    <t>Pro X 3.5T EV B CBC PY T4 MR#</t>
  </si>
  <si>
    <t>Pro X 3.5T C HD FSD GM T2 XS</t>
  </si>
  <si>
    <t>Pro X 3.5T C HSD GM T2 XS</t>
  </si>
  <si>
    <t>Nov'26</t>
  </si>
  <si>
    <t>SOP1 plan for Sep'2026</t>
  </si>
  <si>
    <t>WELDED CABIN/TITAN/1.6M</t>
  </si>
  <si>
    <t>CW001T</t>
  </si>
  <si>
    <t>RA1010D</t>
  </si>
  <si>
    <t>RA1010D/REAR AXLE/SCV PRO X/220DH/10.5GR</t>
  </si>
  <si>
    <t>PS001T</t>
  </si>
  <si>
    <t>PAINTED CABIN/TITAN/1.6M</t>
  </si>
  <si>
    <t>FA301N</t>
  </si>
  <si>
    <t>FRONT AXLE ASSY</t>
  </si>
  <si>
    <t>IP003T</t>
  </si>
  <si>
    <t>DSPCH02T</t>
  </si>
  <si>
    <t>Pro X 3.5T EV C CBC T2 LR</t>
  </si>
  <si>
    <t>DSPCH01T</t>
  </si>
  <si>
    <t>Pro X 3.5T C CBC T2 XS DSL</t>
  </si>
  <si>
    <t>EN1001A1</t>
  </si>
  <si>
    <t>E449_BS6_D_HB_NAC_3.5T</t>
  </si>
  <si>
    <t>TM2001D</t>
  </si>
  <si>
    <t>Transmission Assy ET23S5</t>
  </si>
  <si>
    <t>RA1009D</t>
  </si>
  <si>
    <t>REAR AXLE ASSY/SCV PRO X 220DH 4.1FDR</t>
  </si>
  <si>
    <t>IC580870</t>
  </si>
  <si>
    <t>BASE FRAME</t>
  </si>
  <si>
    <t>TM2001A1</t>
  </si>
  <si>
    <t>EN+T/M COUP(TM2001D+ENA1)-TITAN_DSL</t>
  </si>
  <si>
    <t>IP008T</t>
  </si>
  <si>
    <t>DSPCH06T</t>
  </si>
  <si>
    <t>DSPCH05T</t>
  </si>
  <si>
    <t>Pro X 3.0T C CBC T2 XS DSL</t>
  </si>
  <si>
    <t>EN1001A4</t>
  </si>
  <si>
    <t>E449_BS6_D_HB_AC_3.5T</t>
  </si>
  <si>
    <t>IC580986</t>
  </si>
  <si>
    <t>TM2001A4</t>
  </si>
  <si>
    <t>EN+T/M COUP(TM2001D+ENA4)-TITAN_DSL</t>
  </si>
  <si>
    <t>IP020T</t>
  </si>
  <si>
    <t>Pro X 3.5T C CBC T2AC XS DSL</t>
  </si>
  <si>
    <t>DSPCH03T</t>
  </si>
  <si>
    <t>Pro X 3T EV B CBC T2 MR</t>
  </si>
  <si>
    <t>FA302N</t>
  </si>
  <si>
    <t>PHANTOM FRONT AXLE ASSY/TITAN/9.4FT</t>
  </si>
  <si>
    <t>IP001T</t>
  </si>
  <si>
    <t>IP024T</t>
  </si>
  <si>
    <t>EN1001A2</t>
  </si>
  <si>
    <t>E449 Engine Assy. BS6 HB NAC</t>
  </si>
  <si>
    <t>RA1007D</t>
  </si>
  <si>
    <t>RA Pro X/DSL/HB/4.7FDR/3.9T</t>
  </si>
  <si>
    <t>IC580513</t>
  </si>
  <si>
    <t>TM2001A2</t>
  </si>
  <si>
    <t>EN+T/M COUP(TM2001D+ENA2)-TITAN_CNG</t>
  </si>
  <si>
    <t>IP014T</t>
  </si>
  <si>
    <t>DSPCH10T</t>
  </si>
  <si>
    <t>Pro X 3.5T C CNG CBC T2 XL 180L</t>
  </si>
  <si>
    <t>DSPCH11T</t>
  </si>
  <si>
    <t>EN1001A7</t>
  </si>
  <si>
    <t>E449_BS6_C_HB_AC_3.5T</t>
  </si>
  <si>
    <t>IC580979</t>
  </si>
  <si>
    <t>TM2001A7</t>
  </si>
  <si>
    <t>EN+T/M COUP(TM2001D+ENA7)-TITAN_CNG/AC</t>
  </si>
  <si>
    <t>IP023T</t>
  </si>
  <si>
    <t>IC580871</t>
  </si>
  <si>
    <t>IC580980</t>
  </si>
  <si>
    <t>Pro X 3.5T C CBC T2 XL DSL</t>
  </si>
  <si>
    <t>IC580326</t>
  </si>
  <si>
    <t>Pro X 3.0T C CBC T2 XL DSL</t>
  </si>
  <si>
    <t>IC580985</t>
  </si>
  <si>
    <t>Pro X 3.5T C CBC T2AC XL DSL</t>
  </si>
  <si>
    <t>Pro X 3.0T C CBC T2AC XS DSL</t>
  </si>
  <si>
    <t>Pro X 3.0T C CBC PSB T2 XL</t>
  </si>
  <si>
    <t>DSPCH04T</t>
  </si>
  <si>
    <t>Pro X 3.0T C CBC T2AC XL DSL</t>
  </si>
  <si>
    <t>Pro X 3.5T EV C CBC T4 MR</t>
  </si>
  <si>
    <t>IP004T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</si>
</sst>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;@"/>
  </numFmts>
  <fonts count="3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0"/>
      <color rgb="FF0000FF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theme="0"/>
      <name val="Calibri"/>
      <family val="2"/>
    </font>
    <font>
      <b/>
      <sz val="9"/>
      <color theme="0"/>
      <name val="Calibri"/>
      <family val="2"/>
    </font>
    <font>
      <sz val="10"/>
      <color theme="0"/>
      <name val="Calibri"/>
      <family val="2"/>
    </font>
    <font>
      <b/>
      <sz val="14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Aptos Narrow"/>
      <family val="2"/>
      <scheme val="minor"/>
    </font>
    <font>
      <b/>
      <sz val="11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sz val="10"/>
      <color rgb="FF6600CC"/>
      <name val="Calibri"/>
      <family val="2"/>
    </font>
    <font>
      <sz val="10"/>
      <color rgb="FF3333CC"/>
      <name val="Calibri"/>
      <family val="2"/>
    </font>
    <font>
      <b/>
      <sz val="16"/>
      <name val="Calibri"/>
      <family val="2"/>
    </font>
    <font>
      <sz val="9"/>
      <name val="Calibri"/>
      <family val="2"/>
    </font>
    <font>
      <b/>
      <sz val="9"/>
      <color theme="1"/>
      <name val="Calibri"/>
      <family val="2"/>
    </font>
    <font>
      <b/>
      <sz val="10"/>
      <color rgb="FF6600CC"/>
      <name val="Calibri"/>
      <family val="2"/>
    </font>
    <font>
      <sz val="11"/>
      <color theme="1"/>
      <name val="Aptos Narrow"/>
      <family val="2"/>
    </font>
    <font>
      <b/>
      <sz val="11"/>
      <color theme="0"/>
      <name val="Aptos Narrow"/>
      <family val="2"/>
    </font>
    <font>
      <sz val="11"/>
      <color theme="0"/>
      <name val="Aptos Narrow"/>
      <family val="2"/>
    </font>
    <font>
      <b/>
      <sz val="9"/>
      <color theme="0"/>
      <name val="Aptos Narrow"/>
      <family val="2"/>
    </font>
    <font>
      <b/>
      <sz val="12"/>
      <color theme="1"/>
      <name val="Aptos Narrow"/>
      <family val="2"/>
    </font>
    <font>
      <b/>
      <sz val="14"/>
      <color theme="1"/>
      <name val="Aptos Narrow"/>
      <family val="2"/>
    </font>
    <font>
      <sz val="9"/>
      <color theme="1"/>
      <name val="Aptos Narrow"/>
      <family val="2"/>
    </font>
    <font>
      <b/>
      <sz val="11"/>
      <color theme="1"/>
      <name val="Aptos Narrow"/>
      <family val="2"/>
    </font>
    <font>
      <sz val="9"/>
      <name val="Arial"/>
      <family val="2"/>
    </font>
    <font>
      <b/>
      <sz val="11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0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0" fillId="6" borderId="3" xfId="0" applyFont="1" applyFill="1" applyBorder="1" applyAlignment="1">
      <alignment horizontal="left" vertical="center" wrapText="1"/>
    </xf>
    <xf numFmtId="0" fontId="10" fillId="6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5" borderId="3" xfId="0" applyFont="1" applyFill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17" fontId="4" fillId="9" borderId="3" xfId="0" applyNumberFormat="1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13" fillId="8" borderId="4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6" borderId="3" xfId="0" applyFont="1" applyFill="1" applyBorder="1" applyAlignment="1">
      <alignment horizontal="left" vertical="center"/>
    </xf>
    <xf numFmtId="0" fontId="17" fillId="2" borderId="3" xfId="0" applyFont="1" applyFill="1" applyBorder="1" applyAlignment="1">
      <alignment vertical="center"/>
    </xf>
    <xf numFmtId="0" fontId="9" fillId="11" borderId="3" xfId="0" applyFont="1" applyFill="1" applyBorder="1" applyAlignment="1">
      <alignment horizontal="left" vertical="center"/>
    </xf>
    <xf numFmtId="0" fontId="9" fillId="4" borderId="3" xfId="0" applyFont="1" applyFill="1" applyBorder="1" applyAlignment="1">
      <alignment horizontal="left" vertical="center"/>
    </xf>
    <xf numFmtId="0" fontId="9" fillId="12" borderId="3" xfId="0" applyFont="1" applyFill="1" applyBorder="1" applyAlignment="1">
      <alignment horizontal="left" vertical="center"/>
    </xf>
    <xf numFmtId="0" fontId="9" fillId="13" borderId="3" xfId="0" applyFont="1" applyFill="1" applyBorder="1" applyAlignment="1">
      <alignment horizontal="left" vertical="center"/>
    </xf>
    <xf numFmtId="0" fontId="9" fillId="14" borderId="3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2" fontId="18" fillId="0" borderId="0" xfId="0" applyNumberFormat="1" applyFont="1" applyAlignment="1">
      <alignment horizontal="center" vertical="center"/>
    </xf>
    <xf numFmtId="0" fontId="19" fillId="0" borderId="3" xfId="0" applyFont="1" applyBorder="1" applyAlignment="1">
      <alignment horizontal="left" vertical="center"/>
    </xf>
    <xf numFmtId="164" fontId="9" fillId="5" borderId="3" xfId="1" applyNumberFormat="1" applyFont="1" applyFill="1" applyBorder="1" applyAlignment="1">
      <alignment vertical="center"/>
    </xf>
    <xf numFmtId="0" fontId="4" fillId="15" borderId="4" xfId="0" applyFont="1" applyFill="1" applyBorder="1" applyAlignment="1">
      <alignment horizontal="center" vertical="center"/>
    </xf>
    <xf numFmtId="0" fontId="4" fillId="15" borderId="3" xfId="0" applyFont="1" applyFill="1" applyBorder="1" applyAlignment="1">
      <alignment horizontal="center" vertical="center"/>
    </xf>
    <xf numFmtId="0" fontId="9" fillId="15" borderId="3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left" vertical="center"/>
    </xf>
    <xf numFmtId="0" fontId="9" fillId="9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1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4" borderId="0" xfId="0" applyFont="1" applyFill="1" applyAlignment="1">
      <alignment horizontal="left" vertical="center"/>
    </xf>
    <xf numFmtId="0" fontId="9" fillId="12" borderId="4" xfId="0" applyFont="1" applyFill="1" applyBorder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9" fillId="11" borderId="0" xfId="0" applyFont="1" applyFill="1" applyAlignment="1">
      <alignment horizontal="left" vertical="center"/>
    </xf>
    <xf numFmtId="0" fontId="19" fillId="5" borderId="3" xfId="0" applyFont="1" applyFill="1" applyBorder="1" applyAlignment="1">
      <alignment horizontal="left" vertical="center"/>
    </xf>
    <xf numFmtId="0" fontId="20" fillId="4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0" fillId="16" borderId="3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10" fillId="10" borderId="3" xfId="0" quotePrefix="1" applyFont="1" applyFill="1" applyBorder="1" applyAlignment="1">
      <alignment horizontal="center" vertical="center"/>
    </xf>
    <xf numFmtId="0" fontId="10" fillId="17" borderId="3" xfId="0" applyFont="1" applyFill="1" applyBorder="1" applyAlignment="1">
      <alignment horizontal="center" vertical="center"/>
    </xf>
    <xf numFmtId="0" fontId="4" fillId="18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4" fillId="0" borderId="3" xfId="0" applyFont="1" applyBorder="1" applyAlignment="1">
      <alignment horizontal="left" vertical="center"/>
    </xf>
    <xf numFmtId="0" fontId="24" fillId="0" borderId="3" xfId="0" quotePrefix="1" applyFont="1" applyBorder="1" applyAlignment="1">
      <alignment horizontal="left" vertical="center"/>
    </xf>
    <xf numFmtId="0" fontId="19" fillId="4" borderId="3" xfId="0" applyFont="1" applyFill="1" applyBorder="1" applyAlignment="1">
      <alignment horizontal="left" vertical="center"/>
    </xf>
    <xf numFmtId="0" fontId="4" fillId="14" borderId="4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 wrapText="1"/>
    </xf>
    <xf numFmtId="164" fontId="4" fillId="14" borderId="3" xfId="1" applyNumberFormat="1" applyFont="1" applyFill="1" applyBorder="1" applyAlignment="1">
      <alignment vertical="center"/>
    </xf>
    <xf numFmtId="0" fontId="4" fillId="11" borderId="4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0" fillId="18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26" fillId="5" borderId="3" xfId="0" applyFont="1" applyFill="1" applyBorder="1" applyAlignment="1">
      <alignment horizontal="left" vertical="center"/>
    </xf>
    <xf numFmtId="0" fontId="27" fillId="0" borderId="0" xfId="0" applyFont="1"/>
    <xf numFmtId="0" fontId="27" fillId="0" borderId="6" xfId="0" applyFont="1" applyBorder="1"/>
    <xf numFmtId="164" fontId="27" fillId="0" borderId="6" xfId="0" applyNumberFormat="1" applyFont="1" applyBorder="1"/>
    <xf numFmtId="164" fontId="27" fillId="0" borderId="0" xfId="0" applyNumberFormat="1" applyFont="1"/>
    <xf numFmtId="164" fontId="28" fillId="6" borderId="7" xfId="1" applyNumberFormat="1" applyFont="1" applyFill="1" applyBorder="1"/>
    <xf numFmtId="164" fontId="27" fillId="0" borderId="0" xfId="1" applyNumberFormat="1" applyFont="1"/>
    <xf numFmtId="0" fontId="29" fillId="6" borderId="8" xfId="0" applyFont="1" applyFill="1" applyBorder="1"/>
    <xf numFmtId="164" fontId="27" fillId="19" borderId="9" xfId="1" applyNumberFormat="1" applyFont="1" applyFill="1" applyBorder="1"/>
    <xf numFmtId="164" fontId="27" fillId="19" borderId="7" xfId="1" applyNumberFormat="1" applyFont="1" applyFill="1" applyBorder="1"/>
    <xf numFmtId="164" fontId="27" fillId="19" borderId="10" xfId="1" applyNumberFormat="1" applyFont="1" applyFill="1" applyBorder="1"/>
    <xf numFmtId="0" fontId="27" fillId="19" borderId="8" xfId="0" applyFont="1" applyFill="1" applyBorder="1"/>
    <xf numFmtId="164" fontId="27" fillId="20" borderId="9" xfId="1" applyNumberFormat="1" applyFont="1" applyFill="1" applyBorder="1"/>
    <xf numFmtId="164" fontId="27" fillId="20" borderId="7" xfId="1" applyNumberFormat="1" applyFont="1" applyFill="1" applyBorder="1"/>
    <xf numFmtId="0" fontId="27" fillId="20" borderId="8" xfId="0" applyFont="1" applyFill="1" applyBorder="1"/>
    <xf numFmtId="164" fontId="27" fillId="5" borderId="7" xfId="1" applyNumberFormat="1" applyFont="1" applyFill="1" applyBorder="1"/>
    <xf numFmtId="0" fontId="27" fillId="5" borderId="8" xfId="0" applyFont="1" applyFill="1" applyBorder="1"/>
    <xf numFmtId="0" fontId="27" fillId="19" borderId="11" xfId="0" applyFont="1" applyFill="1" applyBorder="1"/>
    <xf numFmtId="165" fontId="30" fillId="21" borderId="12" xfId="1" quotePrefix="1" applyNumberFormat="1" applyFont="1" applyFill="1" applyBorder="1" applyAlignment="1">
      <alignment horizontal="center" vertical="top" wrapText="1"/>
    </xf>
    <xf numFmtId="0" fontId="8" fillId="0" borderId="3" xfId="0" applyFont="1" applyBorder="1" applyAlignment="1">
      <alignment horizontal="left" vertical="center"/>
    </xf>
    <xf numFmtId="0" fontId="4" fillId="22" borderId="3" xfId="0" applyFont="1" applyFill="1" applyBorder="1" applyAlignment="1">
      <alignment horizontal="center" vertical="center"/>
    </xf>
    <xf numFmtId="0" fontId="4" fillId="22" borderId="4" xfId="0" applyFont="1" applyFill="1" applyBorder="1" applyAlignment="1">
      <alignment horizontal="center" vertical="center"/>
    </xf>
    <xf numFmtId="0" fontId="32" fillId="0" borderId="0" xfId="0" applyFont="1"/>
    <xf numFmtId="0" fontId="31" fillId="23" borderId="15" xfId="0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0" fontId="33" fillId="0" borderId="0" xfId="0" applyFont="1" applyAlignment="1">
      <alignment vertical="top"/>
    </xf>
    <xf numFmtId="0" fontId="30" fillId="6" borderId="14" xfId="0" applyFont="1" applyFill="1" applyBorder="1" applyAlignment="1">
      <alignment vertical="top"/>
    </xf>
    <xf numFmtId="17" fontId="30" fillId="6" borderId="13" xfId="0" applyNumberFormat="1" applyFont="1" applyFill="1" applyBorder="1" applyAlignment="1">
      <alignment horizontal="center" vertical="top" wrapText="1"/>
    </xf>
    <xf numFmtId="0" fontId="33" fillId="0" borderId="0" xfId="0" applyFont="1" applyAlignment="1">
      <alignment horizontal="center" vertical="top"/>
    </xf>
    <xf numFmtId="164" fontId="27" fillId="0" borderId="0" xfId="0" applyNumberFormat="1" applyFont="1" applyAlignment="1">
      <alignment horizontal="center"/>
    </xf>
    <xf numFmtId="164" fontId="34" fillId="0" borderId="6" xfId="0" applyNumberFormat="1" applyFont="1" applyBorder="1"/>
    <xf numFmtId="164" fontId="34" fillId="20" borderId="7" xfId="1" applyNumberFormat="1" applyFont="1" applyFill="1" applyBorder="1"/>
    <xf numFmtId="0" fontId="10" fillId="6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/>
    </xf>
    <xf numFmtId="0" fontId="9" fillId="17" borderId="3" xfId="0" applyFont="1" applyFill="1" applyBorder="1" applyAlignment="1">
      <alignment horizontal="left" vertical="center"/>
    </xf>
    <xf numFmtId="0" fontId="9" fillId="24" borderId="3" xfId="0" applyFont="1" applyFill="1" applyBorder="1" applyAlignment="1">
      <alignment horizontal="left" vertical="center"/>
    </xf>
    <xf numFmtId="0" fontId="10" fillId="25" borderId="3" xfId="0" applyFont="1" applyFill="1" applyBorder="1" applyAlignment="1">
      <alignment horizontal="center" vertical="center"/>
    </xf>
    <xf numFmtId="0" fontId="10" fillId="15" borderId="3" xfId="0" applyFont="1" applyFill="1" applyBorder="1" applyAlignment="1">
      <alignment horizontal="center" vertical="center"/>
    </xf>
    <xf numFmtId="0" fontId="35" fillId="0" borderId="3" xfId="0" applyFont="1" applyBorder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6" fillId="18" borderId="3" xfId="0" applyFont="1" applyFill="1" applyBorder="1" applyAlignment="1">
      <alignment horizontal="center" vertical="center" wrapText="1"/>
    </xf>
    <xf numFmtId="164" fontId="4" fillId="11" borderId="3" xfId="1" applyNumberFormat="1" applyFont="1" applyFill="1" applyBorder="1" applyAlignment="1">
      <alignment horizontal="center" vertical="center"/>
    </xf>
    <xf numFmtId="0" fontId="9" fillId="18" borderId="3" xfId="0" applyFont="1" applyFill="1" applyBorder="1" applyAlignment="1">
      <alignment horizontal="center" vertical="center"/>
    </xf>
    <xf numFmtId="0" fontId="10" fillId="21" borderId="3" xfId="0" applyFont="1" applyFill="1" applyBorder="1" applyAlignment="1">
      <alignment horizontal="center" vertical="center"/>
    </xf>
    <xf numFmtId="0" fontId="10" fillId="26" borderId="3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27" fillId="5" borderId="3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00CC"/>
      <color rgb="FFFFFFCC"/>
      <color rgb="FF3333CC"/>
      <color rgb="FFFF99CC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785D2-F1C5-4088-9444-B6EF916346A5}">
  <dimension ref="A1:CO58"/>
  <sheetViews>
    <sheetView showGridLines="0" zoomScale="90" zoomScaleNormal="90" workbookViewId="0">
      <pane xSplit="4" ySplit="3" topLeftCell="I4" activePane="bottomRight" state="frozen"/>
      <selection pane="topRight" activeCell="K1" sqref="K1"/>
      <selection pane="bottomLeft" activeCell="A4" sqref="A4"/>
      <selection pane="bottomRight" activeCell="BD3" sqref="BD3"/>
    </sheetView>
  </sheetViews>
  <sheetFormatPr defaultColWidth="9.140625" defaultRowHeight="12.75" x14ac:dyDescent="0.25"/>
  <cols>
    <col min="1" max="1" width="7.5703125" style="6" customWidth="1"/>
    <col min="2" max="2" width="11.7109375" style="6" customWidth="1"/>
    <col min="3" max="3" width="9" style="6" bestFit="1" customWidth="1"/>
    <col min="4" max="4" width="11.42578125" style="6" customWidth="1"/>
    <col min="5" max="5" width="13.28515625" style="8" bestFit="1" customWidth="1"/>
    <col min="6" max="6" width="9" style="8" bestFit="1" customWidth="1"/>
    <col min="7" max="7" width="4.7109375" style="8" customWidth="1"/>
    <col min="8" max="8" width="15.5703125" style="8" bestFit="1" customWidth="1"/>
    <col min="9" max="9" width="4.5703125" style="8" customWidth="1"/>
    <col min="10" max="10" width="10.28515625" style="8" customWidth="1"/>
    <col min="11" max="11" width="11.140625" style="8" customWidth="1"/>
    <col min="12" max="12" width="12.140625" style="8" customWidth="1"/>
    <col min="13" max="13" width="36" style="6" customWidth="1"/>
    <col min="14" max="14" width="8.85546875" style="6" hidden="1" customWidth="1"/>
    <col min="15" max="15" width="6.28515625" style="8" hidden="1" customWidth="1"/>
    <col min="16" max="16" width="6.140625" style="8" hidden="1" customWidth="1"/>
    <col min="17" max="17" width="7" style="8" hidden="1" customWidth="1"/>
    <col min="18" max="18" width="6.28515625" style="8" hidden="1" customWidth="1"/>
    <col min="19" max="21" width="4.85546875" style="8" hidden="1" customWidth="1"/>
    <col min="22" max="22" width="6" style="8" hidden="1" customWidth="1"/>
    <col min="23" max="23" width="6.28515625" style="8" hidden="1" customWidth="1"/>
    <col min="24" max="26" width="4.85546875" style="8" hidden="1" customWidth="1"/>
    <col min="27" max="27" width="5.42578125" style="8" hidden="1" customWidth="1"/>
    <col min="28" max="28" width="3" style="8" hidden="1" customWidth="1"/>
    <col min="29" max="29" width="2" style="8" hidden="1" customWidth="1"/>
    <col min="30" max="30" width="3" style="8" hidden="1" customWidth="1"/>
    <col min="31" max="31" width="2" style="8" hidden="1" customWidth="1"/>
    <col min="32" max="34" width="3" style="8" customWidth="1"/>
    <col min="35" max="35" width="3.85546875" style="8" customWidth="1"/>
    <col min="36" max="41" width="3" style="8" customWidth="1"/>
    <col min="42" max="42" width="3.85546875" style="8" customWidth="1"/>
    <col min="43" max="48" width="3" style="8" customWidth="1"/>
    <col min="49" max="49" width="3.85546875" style="8" customWidth="1"/>
    <col min="50" max="55" width="3" style="8" bestFit="1" customWidth="1"/>
    <col min="56" max="56" width="5" style="8" customWidth="1"/>
    <col min="57" max="57" width="6.140625" style="8" hidden="1" customWidth="1"/>
    <col min="58" max="58" width="23" style="6" hidden="1" customWidth="1"/>
    <col min="59" max="59" width="1.28515625" style="8" hidden="1" customWidth="1"/>
    <col min="60" max="60" width="10" style="6" hidden="1" customWidth="1"/>
    <col min="61" max="61" width="40.28515625" style="6" hidden="1" customWidth="1"/>
    <col min="62" max="62" width="43" style="6" hidden="1" customWidth="1"/>
    <col min="63" max="63" width="12.85546875" style="6" hidden="1" customWidth="1"/>
    <col min="64" max="64" width="10.5703125" style="6" hidden="1" customWidth="1"/>
    <col min="65" max="65" width="37.85546875" style="6" hidden="1" customWidth="1"/>
    <col min="66" max="66" width="15.85546875" style="6" hidden="1" customWidth="1"/>
    <col min="67" max="67" width="40" style="6" hidden="1" customWidth="1"/>
    <col min="68" max="68" width="13" style="6" hidden="1" customWidth="1"/>
    <col min="69" max="69" width="39" style="6" hidden="1" customWidth="1"/>
    <col min="70" max="70" width="10.140625" style="6" hidden="1" customWidth="1"/>
    <col min="71" max="71" width="40.42578125" style="6" hidden="1" customWidth="1"/>
    <col min="72" max="72" width="12.7109375" style="6" hidden="1" customWidth="1"/>
    <col min="73" max="73" width="42.7109375" style="6" hidden="1" customWidth="1"/>
    <col min="74" max="74" width="13.85546875" style="6" hidden="1" customWidth="1"/>
    <col min="75" max="75" width="40.42578125" style="6" hidden="1" customWidth="1"/>
    <col min="76" max="76" width="13.7109375" style="6" hidden="1" customWidth="1"/>
    <col min="77" max="77" width="37.28515625" style="6" hidden="1" customWidth="1"/>
    <col min="78" max="78" width="9.28515625" style="6" hidden="1" customWidth="1"/>
    <col min="79" max="79" width="41.5703125" style="6" hidden="1" customWidth="1"/>
    <col min="80" max="80" width="14" style="6" hidden="1" customWidth="1"/>
    <col min="81" max="81" width="14.5703125" style="6" hidden="1" customWidth="1"/>
    <col min="82" max="82" width="7.85546875" style="6" hidden="1" customWidth="1"/>
    <col min="83" max="83" width="12.140625" style="6" hidden="1" customWidth="1"/>
    <col min="84" max="84" width="15.140625" style="6" hidden="1" customWidth="1"/>
    <col min="85" max="85" width="15.5703125" style="6" hidden="1" customWidth="1"/>
    <col min="86" max="86" width="15.140625" style="6" hidden="1" customWidth="1"/>
    <col min="87" max="87" width="15.5703125" style="6" hidden="1" customWidth="1"/>
    <col min="88" max="88" width="12.140625" style="6" hidden="1" customWidth="1"/>
    <col min="89" max="89" width="12.7109375" style="6" hidden="1" customWidth="1"/>
    <col min="90" max="90" width="9.7109375" style="6" hidden="1" customWidth="1"/>
    <col min="91" max="91" width="10.140625" style="6" hidden="1" customWidth="1"/>
    <col min="92" max="92" width="0" style="6" hidden="1" customWidth="1"/>
    <col min="93" max="16384" width="9.140625" style="6"/>
  </cols>
  <sheetData>
    <row r="1" spans="1:93" s="1" customFormat="1" ht="15.75" x14ac:dyDescent="0.25">
      <c r="E1" s="3"/>
      <c r="F1" s="3"/>
      <c r="G1" s="3"/>
      <c r="H1" s="3"/>
      <c r="I1" s="3"/>
      <c r="J1" s="3"/>
      <c r="K1" s="3"/>
      <c r="L1" s="3"/>
      <c r="M1" s="46"/>
      <c r="O1" s="148" t="s">
        <v>0</v>
      </c>
      <c r="P1" s="148"/>
      <c r="Q1" s="29"/>
      <c r="R1" s="36" t="s">
        <v>2385</v>
      </c>
      <c r="S1" s="37"/>
      <c r="T1" s="37"/>
      <c r="U1" s="37"/>
      <c r="V1" s="37"/>
      <c r="W1" s="49" t="s">
        <v>72</v>
      </c>
      <c r="X1" s="4"/>
      <c r="Y1" s="4"/>
      <c r="Z1" s="4"/>
      <c r="AA1" s="4"/>
      <c r="AB1" s="44">
        <f>SUBTOTAL(9,AB4:AB58)</f>
        <v>20</v>
      </c>
      <c r="AC1" s="87">
        <f>SUBTOTAL(9,AC16:AC58)</f>
        <v>0</v>
      </c>
      <c r="AD1" s="44">
        <f>SUBTOTAL(9,AD4:AD58)</f>
        <v>20</v>
      </c>
      <c r="AE1" s="87">
        <f>SUBTOTAL(9,AE16:AE58)</f>
        <v>0</v>
      </c>
      <c r="AF1" s="44">
        <f t="shared" ref="AF1:AK1" si="0">SUBTOTAL(9,AF4:AF58)</f>
        <v>30</v>
      </c>
      <c r="AG1" s="44">
        <f t="shared" si="0"/>
        <v>30</v>
      </c>
      <c r="AH1" s="44">
        <f t="shared" si="0"/>
        <v>35</v>
      </c>
      <c r="AI1" s="44">
        <f t="shared" si="0"/>
        <v>32</v>
      </c>
      <c r="AJ1" s="44">
        <f t="shared" si="0"/>
        <v>40</v>
      </c>
      <c r="AK1" s="44">
        <f t="shared" si="0"/>
        <v>50</v>
      </c>
      <c r="AL1" s="87">
        <f>SUBTOTAL(9,AL16:AL58)</f>
        <v>0</v>
      </c>
      <c r="AM1" s="44">
        <f t="shared" ref="AM1:AR1" si="1">SUBTOTAL(9,AM4:AM58)</f>
        <v>64</v>
      </c>
      <c r="AN1" s="44">
        <f t="shared" si="1"/>
        <v>49</v>
      </c>
      <c r="AO1" s="44">
        <f t="shared" si="1"/>
        <v>48</v>
      </c>
      <c r="AP1" s="44">
        <f t="shared" si="1"/>
        <v>37</v>
      </c>
      <c r="AQ1" s="44">
        <f t="shared" si="1"/>
        <v>39</v>
      </c>
      <c r="AR1" s="44">
        <f t="shared" si="1"/>
        <v>29</v>
      </c>
      <c r="AS1" s="87">
        <f>SUBTOTAL(9,AS16:AS58)</f>
        <v>0</v>
      </c>
      <c r="AT1" s="44">
        <f t="shared" ref="AT1:AY1" si="2">SUBTOTAL(9,AT4:AT58)</f>
        <v>42</v>
      </c>
      <c r="AU1" s="44">
        <f t="shared" si="2"/>
        <v>35</v>
      </c>
      <c r="AV1" s="44">
        <f t="shared" si="2"/>
        <v>44</v>
      </c>
      <c r="AW1" s="44">
        <f t="shared" si="2"/>
        <v>54</v>
      </c>
      <c r="AX1" s="44">
        <f t="shared" si="2"/>
        <v>78</v>
      </c>
      <c r="AY1" s="44">
        <f t="shared" si="2"/>
        <v>92</v>
      </c>
      <c r="AZ1" s="87">
        <f>SUBTOTAL(9,AZ16:AZ58)</f>
        <v>0</v>
      </c>
      <c r="BA1" s="44">
        <f>SUBTOTAL(9,BA4:BA58)</f>
        <v>88</v>
      </c>
      <c r="BB1" s="44">
        <f>SUBTOTAL(9,BB4:BB58)</f>
        <v>84</v>
      </c>
      <c r="BC1" s="44">
        <f>SUBTOTAL(9,BC4:BC58)</f>
        <v>91</v>
      </c>
      <c r="BD1" s="95">
        <f>SUBTOTAL(9,BD4:BD58)</f>
        <v>1131</v>
      </c>
      <c r="BE1" s="33">
        <f>SUBTOTAL(9,BE4:BE58)</f>
        <v>120</v>
      </c>
      <c r="BG1" s="3"/>
    </row>
    <row r="2" spans="1:93" ht="21" x14ac:dyDescent="0.25">
      <c r="A2" s="88" t="s">
        <v>2297</v>
      </c>
      <c r="M2" s="47"/>
      <c r="O2" s="33">
        <f>SUBTOTAL(9,O4:O58)</f>
        <v>1000</v>
      </c>
      <c r="P2" s="33">
        <f>SUBTOTAL(9,P4:P58)</f>
        <v>500</v>
      </c>
      <c r="Q2" s="30">
        <f>SUBTOTAL(9,Q16:Q58)</f>
        <v>0</v>
      </c>
      <c r="R2" s="39">
        <f>SUBTOTAL(9,R4:R58)</f>
        <v>491</v>
      </c>
      <c r="S2" s="39">
        <f t="shared" ref="S2:AA2" si="3">SUBTOTAL(9,S4:S58)</f>
        <v>346</v>
      </c>
      <c r="T2" s="39">
        <f t="shared" si="3"/>
        <v>368</v>
      </c>
      <c r="U2" s="39">
        <f t="shared" si="3"/>
        <v>300</v>
      </c>
      <c r="V2" s="60">
        <f t="shared" si="3"/>
        <v>1505</v>
      </c>
      <c r="W2" s="30">
        <f t="shared" si="3"/>
        <v>416</v>
      </c>
      <c r="X2" s="30">
        <f t="shared" si="3"/>
        <v>316</v>
      </c>
      <c r="Y2" s="30">
        <f t="shared" si="3"/>
        <v>314</v>
      </c>
      <c r="Z2" s="30">
        <f t="shared" si="3"/>
        <v>205</v>
      </c>
      <c r="AA2" s="30">
        <f t="shared" si="3"/>
        <v>1251</v>
      </c>
      <c r="AB2" s="146">
        <v>3</v>
      </c>
      <c r="AC2" s="13"/>
      <c r="AD2" s="146">
        <v>5</v>
      </c>
      <c r="AE2" s="13"/>
      <c r="AF2" s="146">
        <v>7</v>
      </c>
      <c r="AG2" s="146">
        <v>8</v>
      </c>
      <c r="AH2" s="146">
        <v>9</v>
      </c>
      <c r="AI2" s="146">
        <f t="shared" ref="AI2:BB2" si="4">AH2+1</f>
        <v>10</v>
      </c>
      <c r="AJ2" s="146">
        <f t="shared" si="4"/>
        <v>11</v>
      </c>
      <c r="AK2" s="146">
        <f t="shared" si="4"/>
        <v>12</v>
      </c>
      <c r="AL2" s="13"/>
      <c r="AM2" s="146">
        <v>14</v>
      </c>
      <c r="AN2" s="146">
        <f t="shared" si="4"/>
        <v>15</v>
      </c>
      <c r="AO2" s="146">
        <v>16</v>
      </c>
      <c r="AP2" s="146">
        <f t="shared" si="4"/>
        <v>17</v>
      </c>
      <c r="AQ2" s="146">
        <f t="shared" si="4"/>
        <v>18</v>
      </c>
      <c r="AR2" s="146">
        <f t="shared" si="4"/>
        <v>19</v>
      </c>
      <c r="AS2" s="13"/>
      <c r="AT2" s="146">
        <v>21</v>
      </c>
      <c r="AU2" s="146">
        <f t="shared" si="4"/>
        <v>22</v>
      </c>
      <c r="AV2" s="146">
        <v>23</v>
      </c>
      <c r="AW2" s="146">
        <f t="shared" si="4"/>
        <v>24</v>
      </c>
      <c r="AX2" s="146">
        <f t="shared" si="4"/>
        <v>25</v>
      </c>
      <c r="AY2" s="146">
        <f t="shared" si="4"/>
        <v>26</v>
      </c>
      <c r="AZ2" s="13"/>
      <c r="BA2" s="146">
        <v>28</v>
      </c>
      <c r="BB2" s="146">
        <f t="shared" si="4"/>
        <v>29</v>
      </c>
      <c r="BC2" s="146">
        <v>30</v>
      </c>
      <c r="BF2" s="1"/>
    </row>
    <row r="3" spans="1:93" s="1" customFormat="1" ht="30" customHeight="1" x14ac:dyDescent="0.25">
      <c r="A3" s="9" t="s">
        <v>4</v>
      </c>
      <c r="B3" s="10" t="s">
        <v>5</v>
      </c>
      <c r="C3" s="10" t="s">
        <v>6</v>
      </c>
      <c r="D3" s="11" t="s">
        <v>9</v>
      </c>
      <c r="E3" s="99" t="s">
        <v>12</v>
      </c>
      <c r="F3" s="99" t="s">
        <v>13</v>
      </c>
      <c r="G3" s="99" t="s">
        <v>14</v>
      </c>
      <c r="H3" s="99" t="s">
        <v>15</v>
      </c>
      <c r="I3" s="99" t="s">
        <v>16</v>
      </c>
      <c r="J3" s="99" t="s">
        <v>17</v>
      </c>
      <c r="K3" s="99" t="s">
        <v>19</v>
      </c>
      <c r="L3" s="99" t="s">
        <v>21</v>
      </c>
      <c r="M3" s="48" t="s">
        <v>24</v>
      </c>
      <c r="N3" s="9" t="s">
        <v>25</v>
      </c>
      <c r="O3" s="34" t="s">
        <v>2168</v>
      </c>
      <c r="P3" s="34" t="s">
        <v>2384</v>
      </c>
      <c r="Q3" s="31" t="s">
        <v>26</v>
      </c>
      <c r="R3" s="40" t="s">
        <v>27</v>
      </c>
      <c r="S3" s="40" t="s">
        <v>28</v>
      </c>
      <c r="T3" s="40" t="s">
        <v>29</v>
      </c>
      <c r="U3" s="40" t="s">
        <v>30</v>
      </c>
      <c r="V3" s="60" t="s">
        <v>32</v>
      </c>
      <c r="W3" s="143" t="s">
        <v>27</v>
      </c>
      <c r="X3" s="143" t="s">
        <v>36</v>
      </c>
      <c r="Y3" s="143" t="s">
        <v>37</v>
      </c>
      <c r="Z3" s="143" t="s">
        <v>38</v>
      </c>
      <c r="AA3" s="143" t="s">
        <v>32</v>
      </c>
      <c r="AB3" s="147">
        <v>1</v>
      </c>
      <c r="AC3" s="13">
        <v>4</v>
      </c>
      <c r="AD3" s="147">
        <v>2</v>
      </c>
      <c r="AE3" s="13">
        <v>6</v>
      </c>
      <c r="AF3" s="147">
        <v>3</v>
      </c>
      <c r="AG3" s="147">
        <v>5</v>
      </c>
      <c r="AH3" s="147">
        <v>7</v>
      </c>
      <c r="AI3" s="147">
        <v>8</v>
      </c>
      <c r="AJ3" s="147">
        <v>9</v>
      </c>
      <c r="AK3" s="147">
        <v>10</v>
      </c>
      <c r="AL3" s="13">
        <v>13</v>
      </c>
      <c r="AM3" s="147">
        <v>11</v>
      </c>
      <c r="AN3" s="147">
        <v>12</v>
      </c>
      <c r="AO3" s="147">
        <v>14</v>
      </c>
      <c r="AP3" s="147">
        <v>15</v>
      </c>
      <c r="AQ3" s="147">
        <v>16</v>
      </c>
      <c r="AR3" s="147">
        <v>17</v>
      </c>
      <c r="AS3" s="13">
        <v>20</v>
      </c>
      <c r="AT3" s="147">
        <v>18</v>
      </c>
      <c r="AU3" s="147">
        <v>19</v>
      </c>
      <c r="AV3" s="147">
        <v>21</v>
      </c>
      <c r="AW3" s="147">
        <v>22</v>
      </c>
      <c r="AX3" s="147">
        <v>23</v>
      </c>
      <c r="AY3" s="147">
        <v>24</v>
      </c>
      <c r="AZ3" s="13">
        <v>27</v>
      </c>
      <c r="BA3" s="147">
        <v>25</v>
      </c>
      <c r="BB3" s="147">
        <v>26</v>
      </c>
      <c r="BC3" s="147">
        <v>28</v>
      </c>
      <c r="BD3" s="96" t="s">
        <v>32</v>
      </c>
      <c r="BE3" s="93" t="s">
        <v>1722</v>
      </c>
      <c r="BF3" s="10" t="s">
        <v>39</v>
      </c>
      <c r="BG3" s="3"/>
      <c r="BH3" s="26" t="s">
        <v>40</v>
      </c>
      <c r="BI3" s="26" t="s">
        <v>41</v>
      </c>
      <c r="BJ3" s="18" t="s">
        <v>42</v>
      </c>
      <c r="BK3" s="18" t="s">
        <v>43</v>
      </c>
      <c r="BL3" s="18" t="s">
        <v>44</v>
      </c>
      <c r="BM3" s="18" t="s">
        <v>45</v>
      </c>
      <c r="BN3" s="18" t="s">
        <v>46</v>
      </c>
      <c r="BO3" s="18" t="s">
        <v>47</v>
      </c>
      <c r="BP3" s="18" t="s">
        <v>48</v>
      </c>
      <c r="BQ3" s="18" t="s">
        <v>49</v>
      </c>
      <c r="BR3" s="18" t="s">
        <v>50</v>
      </c>
      <c r="BS3" s="18" t="s">
        <v>51</v>
      </c>
      <c r="BT3" s="18" t="s">
        <v>52</v>
      </c>
      <c r="BU3" s="18" t="s">
        <v>53</v>
      </c>
      <c r="BV3" s="18" t="s">
        <v>54</v>
      </c>
      <c r="BW3" s="18" t="s">
        <v>55</v>
      </c>
      <c r="BX3" s="18" t="s">
        <v>56</v>
      </c>
      <c r="BY3" s="18" t="s">
        <v>57</v>
      </c>
      <c r="BZ3" s="18" t="s">
        <v>58</v>
      </c>
      <c r="CA3" s="18" t="s">
        <v>59</v>
      </c>
      <c r="CB3" s="18" t="s">
        <v>60</v>
      </c>
      <c r="CC3" s="18" t="s">
        <v>61</v>
      </c>
      <c r="CD3" s="18" t="s">
        <v>62</v>
      </c>
      <c r="CE3" s="18" t="s">
        <v>63</v>
      </c>
      <c r="CF3" s="18" t="s">
        <v>64</v>
      </c>
      <c r="CG3" s="18" t="s">
        <v>65</v>
      </c>
      <c r="CH3" s="18" t="s">
        <v>66</v>
      </c>
      <c r="CI3" s="18" t="s">
        <v>67</v>
      </c>
      <c r="CJ3" s="18" t="s">
        <v>69</v>
      </c>
      <c r="CK3" s="18" t="s">
        <v>70</v>
      </c>
    </row>
    <row r="4" spans="1:93" s="7" customFormat="1" x14ac:dyDescent="0.25">
      <c r="A4" s="19" t="s">
        <v>2298</v>
      </c>
      <c r="B4" s="19" t="s">
        <v>2299</v>
      </c>
      <c r="C4" s="19">
        <v>96100617</v>
      </c>
      <c r="D4" s="20">
        <v>96100617</v>
      </c>
      <c r="E4" s="21" t="s">
        <v>2317</v>
      </c>
      <c r="F4" s="21" t="s">
        <v>2318</v>
      </c>
      <c r="G4" s="21" t="s">
        <v>332</v>
      </c>
      <c r="H4" s="21" t="s">
        <v>234</v>
      </c>
      <c r="I4" s="21" t="s">
        <v>254</v>
      </c>
      <c r="J4" s="21" t="s">
        <v>2070</v>
      </c>
      <c r="K4" s="21" t="s">
        <v>2324</v>
      </c>
      <c r="L4" s="21" t="s">
        <v>2068</v>
      </c>
      <c r="M4" s="19" t="s">
        <v>2329</v>
      </c>
      <c r="N4" s="19"/>
      <c r="O4" s="35">
        <v>40</v>
      </c>
      <c r="P4" s="35">
        <v>10</v>
      </c>
      <c r="Q4" s="32"/>
      <c r="R4" s="22">
        <v>20</v>
      </c>
      <c r="S4" s="22">
        <v>5</v>
      </c>
      <c r="T4" s="22">
        <v>10</v>
      </c>
      <c r="U4" s="22">
        <v>5</v>
      </c>
      <c r="V4" s="60">
        <f t="shared" ref="V4:V58" si="5">SUM(R4:U4)</f>
        <v>40</v>
      </c>
      <c r="W4" s="86"/>
      <c r="X4" s="86"/>
      <c r="Y4" s="86">
        <v>3</v>
      </c>
      <c r="Z4" s="86">
        <v>24</v>
      </c>
      <c r="AA4" s="86">
        <v>27</v>
      </c>
      <c r="AB4" s="21"/>
      <c r="AC4" s="77"/>
      <c r="AD4" s="21"/>
      <c r="AE4" s="77"/>
      <c r="AF4" s="21"/>
      <c r="AG4" s="21"/>
      <c r="AH4" s="21"/>
      <c r="AI4" s="21"/>
      <c r="AJ4" s="21"/>
      <c r="AK4" s="21"/>
      <c r="AL4" s="77"/>
      <c r="AM4" s="21"/>
      <c r="AN4" s="21"/>
      <c r="AO4" s="21"/>
      <c r="AP4" s="21"/>
      <c r="AQ4" s="21"/>
      <c r="AR4" s="21"/>
      <c r="AS4" s="77"/>
      <c r="AT4" s="21"/>
      <c r="AU4" s="21"/>
      <c r="AV4" s="21"/>
      <c r="AW4" s="21"/>
      <c r="AX4" s="21"/>
      <c r="AY4" s="21">
        <v>5</v>
      </c>
      <c r="AZ4" s="77"/>
      <c r="BA4" s="21">
        <v>5</v>
      </c>
      <c r="BB4" s="21">
        <v>5</v>
      </c>
      <c r="BC4" s="21">
        <v>5</v>
      </c>
      <c r="BD4" s="144">
        <f t="shared" ref="BD4:BD58" si="6">SUM(AB4:BC4)</f>
        <v>20</v>
      </c>
      <c r="BE4" s="94">
        <f t="shared" ref="BE4:BE58" si="7">AA4-BD4</f>
        <v>7</v>
      </c>
      <c r="BF4" s="26"/>
      <c r="BH4" s="141">
        <v>96100617</v>
      </c>
      <c r="BI4" s="141" t="s">
        <v>2329</v>
      </c>
      <c r="BJ4" s="141" t="s">
        <v>2386</v>
      </c>
      <c r="BK4" s="141" t="s">
        <v>2387</v>
      </c>
      <c r="BL4" s="141"/>
      <c r="BM4" s="141"/>
      <c r="BN4" s="141"/>
      <c r="BO4" s="141"/>
      <c r="BP4" s="141" t="s">
        <v>2388</v>
      </c>
      <c r="BQ4" s="141" t="s">
        <v>2389</v>
      </c>
      <c r="BR4" s="141"/>
      <c r="BS4" s="141"/>
      <c r="BT4" s="141" t="s">
        <v>2390</v>
      </c>
      <c r="BU4" s="141" t="s">
        <v>2391</v>
      </c>
      <c r="BV4" s="141" t="s">
        <v>2392</v>
      </c>
      <c r="BW4" s="141" t="s">
        <v>2393</v>
      </c>
      <c r="BX4" s="141"/>
      <c r="BY4" s="141"/>
      <c r="BZ4" s="141" t="s">
        <v>2394</v>
      </c>
      <c r="CA4" s="141" t="s">
        <v>2395</v>
      </c>
      <c r="CB4" s="142"/>
      <c r="CC4" s="142"/>
      <c r="CD4" s="142"/>
      <c r="CE4" s="142"/>
      <c r="CF4" s="142"/>
      <c r="CG4" s="142"/>
      <c r="CH4" s="142"/>
      <c r="CI4" s="142"/>
      <c r="CJ4" s="142"/>
      <c r="CK4" s="142"/>
      <c r="CL4" s="142"/>
      <c r="CM4" s="142"/>
      <c r="CN4" s="142"/>
      <c r="CO4" s="142"/>
    </row>
    <row r="5" spans="1:93" s="7" customFormat="1" x14ac:dyDescent="0.25">
      <c r="A5" s="19" t="s">
        <v>2298</v>
      </c>
      <c r="B5" s="19" t="s">
        <v>2299</v>
      </c>
      <c r="C5" s="19">
        <v>96100619</v>
      </c>
      <c r="D5" s="20" t="s">
        <v>2300</v>
      </c>
      <c r="E5" s="21" t="s">
        <v>2317</v>
      </c>
      <c r="F5" s="21" t="s">
        <v>2318</v>
      </c>
      <c r="G5" s="21" t="s">
        <v>332</v>
      </c>
      <c r="H5" s="21" t="s">
        <v>234</v>
      </c>
      <c r="I5" s="21" t="s">
        <v>254</v>
      </c>
      <c r="J5" s="21" t="s">
        <v>255</v>
      </c>
      <c r="K5" s="21" t="s">
        <v>2324</v>
      </c>
      <c r="L5" s="21" t="s">
        <v>239</v>
      </c>
      <c r="M5" s="19" t="s">
        <v>2330</v>
      </c>
      <c r="N5" s="19"/>
      <c r="O5" s="35">
        <v>51</v>
      </c>
      <c r="P5" s="35">
        <v>12</v>
      </c>
      <c r="Q5" s="32"/>
      <c r="R5" s="22">
        <v>20</v>
      </c>
      <c r="S5" s="22">
        <v>10</v>
      </c>
      <c r="T5" s="22">
        <v>10</v>
      </c>
      <c r="U5" s="22">
        <v>5</v>
      </c>
      <c r="V5" s="60">
        <f t="shared" si="5"/>
        <v>45</v>
      </c>
      <c r="W5" s="86"/>
      <c r="X5" s="86"/>
      <c r="Y5" s="86">
        <v>37</v>
      </c>
      <c r="Z5" s="86"/>
      <c r="AA5" s="86">
        <v>37</v>
      </c>
      <c r="AB5" s="21"/>
      <c r="AC5" s="77"/>
      <c r="AD5" s="21"/>
      <c r="AE5" s="77"/>
      <c r="AF5" s="21"/>
      <c r="AG5" s="21"/>
      <c r="AH5" s="21"/>
      <c r="AI5" s="21"/>
      <c r="AJ5" s="21"/>
      <c r="AK5" s="21"/>
      <c r="AL5" s="77"/>
      <c r="AM5" s="21"/>
      <c r="AN5" s="21"/>
      <c r="AO5" s="21"/>
      <c r="AP5" s="21"/>
      <c r="AQ5" s="145"/>
      <c r="AR5" s="145"/>
      <c r="AS5" s="77"/>
      <c r="AT5" s="145"/>
      <c r="AU5" s="21">
        <v>2</v>
      </c>
      <c r="AV5" s="21">
        <v>2</v>
      </c>
      <c r="AW5" s="21">
        <v>2</v>
      </c>
      <c r="AX5" s="21">
        <v>1</v>
      </c>
      <c r="AY5" s="21">
        <v>1</v>
      </c>
      <c r="AZ5" s="77"/>
      <c r="BA5" s="21">
        <v>1</v>
      </c>
      <c r="BB5" s="21">
        <v>1</v>
      </c>
      <c r="BC5" s="21">
        <v>1</v>
      </c>
      <c r="BD5" s="144">
        <f t="shared" si="6"/>
        <v>11</v>
      </c>
      <c r="BE5" s="94">
        <f t="shared" si="7"/>
        <v>26</v>
      </c>
      <c r="BF5" s="26"/>
      <c r="BH5" s="141" t="s">
        <v>2300</v>
      </c>
      <c r="BI5" s="141" t="s">
        <v>2396</v>
      </c>
      <c r="BJ5" s="141" t="s">
        <v>2386</v>
      </c>
      <c r="BK5" s="141" t="s">
        <v>2387</v>
      </c>
      <c r="BL5" s="141"/>
      <c r="BM5" s="141"/>
      <c r="BN5" s="141"/>
      <c r="BO5" s="141"/>
      <c r="BP5" s="141" t="s">
        <v>2388</v>
      </c>
      <c r="BQ5" s="141" t="s">
        <v>2389</v>
      </c>
      <c r="BR5" s="141"/>
      <c r="BS5" s="141"/>
      <c r="BT5" s="141" t="s">
        <v>2390</v>
      </c>
      <c r="BU5" s="141" t="s">
        <v>2391</v>
      </c>
      <c r="BV5" s="141" t="s">
        <v>2392</v>
      </c>
      <c r="BW5" s="141" t="s">
        <v>2393</v>
      </c>
      <c r="BX5" s="141"/>
      <c r="BY5" s="141"/>
      <c r="BZ5" s="141" t="s">
        <v>2394</v>
      </c>
      <c r="CA5" s="141" t="s">
        <v>2397</v>
      </c>
      <c r="CB5" s="142"/>
      <c r="CC5" s="142"/>
      <c r="CD5" s="142"/>
      <c r="CE5" s="142"/>
      <c r="CF5" s="142"/>
      <c r="CG5" s="142"/>
      <c r="CH5" s="142"/>
      <c r="CI5" s="142"/>
      <c r="CJ5" s="142"/>
      <c r="CK5" s="142"/>
      <c r="CL5" s="142"/>
      <c r="CM5" s="142"/>
      <c r="CN5" s="142"/>
      <c r="CO5" s="142"/>
    </row>
    <row r="6" spans="1:93" s="7" customFormat="1" x14ac:dyDescent="0.25">
      <c r="A6" s="19" t="s">
        <v>2298</v>
      </c>
      <c r="B6" s="19" t="s">
        <v>2299</v>
      </c>
      <c r="C6" s="19">
        <v>96100618</v>
      </c>
      <c r="D6" s="20" t="s">
        <v>2304</v>
      </c>
      <c r="E6" s="21" t="s">
        <v>2317</v>
      </c>
      <c r="F6" s="21" t="s">
        <v>2318</v>
      </c>
      <c r="G6" s="21" t="s">
        <v>332</v>
      </c>
      <c r="H6" s="21" t="s">
        <v>234</v>
      </c>
      <c r="I6" s="21" t="s">
        <v>254</v>
      </c>
      <c r="J6" s="21" t="s">
        <v>2083</v>
      </c>
      <c r="K6" s="21" t="s">
        <v>2324</v>
      </c>
      <c r="L6" s="21" t="s">
        <v>2068</v>
      </c>
      <c r="M6" s="19" t="s">
        <v>2341</v>
      </c>
      <c r="N6" s="19"/>
      <c r="O6" s="35">
        <v>40</v>
      </c>
      <c r="P6" s="35">
        <v>15</v>
      </c>
      <c r="Q6" s="32"/>
      <c r="R6" s="22">
        <v>20</v>
      </c>
      <c r="S6" s="22">
        <v>10</v>
      </c>
      <c r="T6" s="22">
        <v>5</v>
      </c>
      <c r="U6" s="22">
        <v>5</v>
      </c>
      <c r="V6" s="60">
        <f t="shared" si="5"/>
        <v>40</v>
      </c>
      <c r="W6" s="86"/>
      <c r="X6" s="86"/>
      <c r="Y6" s="86">
        <v>25</v>
      </c>
      <c r="Z6" s="86">
        <v>11</v>
      </c>
      <c r="AA6" s="86">
        <v>36</v>
      </c>
      <c r="AB6" s="21"/>
      <c r="AC6" s="77"/>
      <c r="AD6" s="21"/>
      <c r="AE6" s="77"/>
      <c r="AF6" s="21"/>
      <c r="AG6" s="21"/>
      <c r="AH6" s="21"/>
      <c r="AI6" s="21"/>
      <c r="AJ6" s="21"/>
      <c r="AK6" s="21"/>
      <c r="AL6" s="77"/>
      <c r="AM6" s="21"/>
      <c r="AN6" s="21"/>
      <c r="AO6" s="21"/>
      <c r="AP6" s="21"/>
      <c r="AQ6" s="21"/>
      <c r="AR6" s="21"/>
      <c r="AS6" s="77"/>
      <c r="AT6" s="21">
        <v>6</v>
      </c>
      <c r="AU6" s="21">
        <v>0</v>
      </c>
      <c r="AV6" s="21"/>
      <c r="AW6" s="21">
        <v>6</v>
      </c>
      <c r="AX6" s="21">
        <v>6</v>
      </c>
      <c r="AY6" s="21">
        <v>6</v>
      </c>
      <c r="AZ6" s="77"/>
      <c r="BA6" s="21">
        <v>0</v>
      </c>
      <c r="BB6" s="21">
        <v>6</v>
      </c>
      <c r="BC6" s="21">
        <v>6</v>
      </c>
      <c r="BD6" s="144">
        <f t="shared" si="6"/>
        <v>36</v>
      </c>
      <c r="BE6" s="94">
        <f t="shared" si="7"/>
        <v>0</v>
      </c>
      <c r="BF6" s="26"/>
      <c r="BH6" s="141" t="s">
        <v>2304</v>
      </c>
      <c r="BI6" s="141" t="s">
        <v>2396</v>
      </c>
      <c r="BJ6" s="141" t="s">
        <v>2386</v>
      </c>
      <c r="BK6" s="141" t="s">
        <v>2387</v>
      </c>
      <c r="BL6" s="141"/>
      <c r="BM6" s="141"/>
      <c r="BN6" s="141"/>
      <c r="BO6" s="141"/>
      <c r="BP6" s="141" t="s">
        <v>2388</v>
      </c>
      <c r="BQ6" s="141" t="s">
        <v>2389</v>
      </c>
      <c r="BR6" s="141"/>
      <c r="BS6" s="141"/>
      <c r="BT6" s="141" t="s">
        <v>2390</v>
      </c>
      <c r="BU6" s="141" t="s">
        <v>2391</v>
      </c>
      <c r="BV6" s="141" t="s">
        <v>2392</v>
      </c>
      <c r="BW6" s="141" t="s">
        <v>2393</v>
      </c>
      <c r="BX6" s="141"/>
      <c r="BY6" s="141"/>
      <c r="BZ6" s="141" t="s">
        <v>2394</v>
      </c>
      <c r="CA6" s="141" t="s">
        <v>2420</v>
      </c>
      <c r="CB6" s="142"/>
      <c r="CC6" s="142"/>
      <c r="CD6" s="142"/>
      <c r="CE6" s="142"/>
      <c r="CF6" s="142"/>
      <c r="CG6" s="142"/>
      <c r="CH6" s="142"/>
      <c r="CI6" s="142"/>
      <c r="CJ6" s="142"/>
      <c r="CK6" s="142"/>
      <c r="CL6" s="142"/>
      <c r="CM6" s="142"/>
      <c r="CN6" s="142"/>
      <c r="CO6" s="142"/>
    </row>
    <row r="7" spans="1:93" s="7" customFormat="1" x14ac:dyDescent="0.25">
      <c r="A7" s="19" t="s">
        <v>2298</v>
      </c>
      <c r="B7" s="19" t="s">
        <v>2299</v>
      </c>
      <c r="C7" s="19">
        <v>96200761</v>
      </c>
      <c r="D7" s="20" t="s">
        <v>2305</v>
      </c>
      <c r="E7" s="21" t="s">
        <v>2321</v>
      </c>
      <c r="F7" s="21" t="s">
        <v>2320</v>
      </c>
      <c r="G7" s="21" t="s">
        <v>260</v>
      </c>
      <c r="H7" s="21" t="s">
        <v>2322</v>
      </c>
      <c r="I7" s="21" t="s">
        <v>254</v>
      </c>
      <c r="J7" s="21" t="s">
        <v>255</v>
      </c>
      <c r="K7" s="21" t="s">
        <v>2324</v>
      </c>
      <c r="L7" s="21" t="s">
        <v>239</v>
      </c>
      <c r="M7" s="19" t="s">
        <v>2343</v>
      </c>
      <c r="N7" s="19"/>
      <c r="O7" s="35">
        <v>2</v>
      </c>
      <c r="P7" s="35">
        <v>0</v>
      </c>
      <c r="Q7" s="32"/>
      <c r="R7" s="22">
        <v>1</v>
      </c>
      <c r="S7" s="22">
        <v>1</v>
      </c>
      <c r="T7" s="22">
        <v>0</v>
      </c>
      <c r="U7" s="22">
        <v>0</v>
      </c>
      <c r="V7" s="60">
        <f t="shared" si="5"/>
        <v>2</v>
      </c>
      <c r="W7" s="86"/>
      <c r="X7" s="86"/>
      <c r="Y7" s="86">
        <v>2</v>
      </c>
      <c r="Z7" s="86"/>
      <c r="AA7" s="86">
        <v>2</v>
      </c>
      <c r="AB7" s="21"/>
      <c r="AC7" s="77"/>
      <c r="AD7" s="21"/>
      <c r="AE7" s="77"/>
      <c r="AF7" s="21"/>
      <c r="AG7" s="21"/>
      <c r="AH7" s="21"/>
      <c r="AI7" s="21"/>
      <c r="AJ7" s="21"/>
      <c r="AK7" s="21"/>
      <c r="AL7" s="77"/>
      <c r="AM7" s="21"/>
      <c r="AN7" s="21"/>
      <c r="AO7" s="21"/>
      <c r="AP7" s="21"/>
      <c r="AQ7" s="145"/>
      <c r="AR7" s="145"/>
      <c r="AS7" s="77"/>
      <c r="AT7" s="21"/>
      <c r="AU7" s="21"/>
      <c r="AV7" s="21">
        <v>1</v>
      </c>
      <c r="AW7" s="21"/>
      <c r="AX7" s="21">
        <v>1</v>
      </c>
      <c r="AY7" s="21"/>
      <c r="AZ7" s="77"/>
      <c r="BA7" s="21"/>
      <c r="BB7" s="21"/>
      <c r="BC7" s="21"/>
      <c r="BD7" s="144">
        <f t="shared" si="6"/>
        <v>2</v>
      </c>
      <c r="BE7" s="94">
        <f t="shared" si="7"/>
        <v>0</v>
      </c>
      <c r="BF7" s="26"/>
      <c r="BH7" s="141" t="s">
        <v>2305</v>
      </c>
      <c r="BI7" s="141" t="s">
        <v>2421</v>
      </c>
      <c r="BJ7" s="141" t="s">
        <v>2386</v>
      </c>
      <c r="BK7" s="141" t="s">
        <v>2387</v>
      </c>
      <c r="BL7" s="141"/>
      <c r="BM7" s="141"/>
      <c r="BN7" s="141"/>
      <c r="BO7" s="141"/>
      <c r="BP7" s="141" t="s">
        <v>2388</v>
      </c>
      <c r="BQ7" s="141" t="s">
        <v>2389</v>
      </c>
      <c r="BR7" s="141"/>
      <c r="BS7" s="141"/>
      <c r="BT7" s="141" t="s">
        <v>2390</v>
      </c>
      <c r="BU7" s="141" t="s">
        <v>2391</v>
      </c>
      <c r="BV7" s="141" t="s">
        <v>2422</v>
      </c>
      <c r="BW7" s="141" t="s">
        <v>2423</v>
      </c>
      <c r="BX7" s="141"/>
      <c r="BY7" s="141"/>
      <c r="BZ7" s="141" t="s">
        <v>2394</v>
      </c>
      <c r="CA7" s="141" t="s">
        <v>2397</v>
      </c>
      <c r="CB7" s="142"/>
      <c r="CC7" s="142"/>
      <c r="CD7" s="142"/>
      <c r="CE7" s="142"/>
      <c r="CF7" s="142"/>
      <c r="CG7" s="142"/>
      <c r="CH7" s="142"/>
      <c r="CI7" s="142"/>
      <c r="CJ7" s="142"/>
      <c r="CK7" s="142"/>
      <c r="CL7" s="142"/>
      <c r="CM7" s="142"/>
      <c r="CN7" s="142"/>
      <c r="CO7" s="142"/>
    </row>
    <row r="8" spans="1:93" s="7" customFormat="1" x14ac:dyDescent="0.25">
      <c r="A8" s="19" t="s">
        <v>2298</v>
      </c>
      <c r="B8" s="19" t="s">
        <v>2299</v>
      </c>
      <c r="C8" s="19">
        <v>96209886</v>
      </c>
      <c r="D8" s="20">
        <v>96209886</v>
      </c>
      <c r="E8" s="21" t="s">
        <v>2321</v>
      </c>
      <c r="F8" s="21" t="s">
        <v>2320</v>
      </c>
      <c r="G8" s="21" t="s">
        <v>260</v>
      </c>
      <c r="H8" s="21" t="s">
        <v>234</v>
      </c>
      <c r="I8" s="21" t="s">
        <v>254</v>
      </c>
      <c r="J8" s="21" t="s">
        <v>2070</v>
      </c>
      <c r="K8" s="21" t="s">
        <v>2324</v>
      </c>
      <c r="L8" s="21" t="s">
        <v>2068</v>
      </c>
      <c r="M8" s="19" t="s">
        <v>2344</v>
      </c>
      <c r="N8" s="19"/>
      <c r="O8" s="35">
        <v>5</v>
      </c>
      <c r="P8" s="35">
        <v>2</v>
      </c>
      <c r="Q8" s="32"/>
      <c r="R8" s="22">
        <v>5</v>
      </c>
      <c r="S8" s="22">
        <v>2</v>
      </c>
      <c r="T8" s="22">
        <v>3</v>
      </c>
      <c r="U8" s="22">
        <v>0</v>
      </c>
      <c r="V8" s="60">
        <f t="shared" si="5"/>
        <v>10</v>
      </c>
      <c r="W8" s="86"/>
      <c r="X8" s="86"/>
      <c r="Y8" s="86">
        <v>10</v>
      </c>
      <c r="Z8" s="86"/>
      <c r="AA8" s="86">
        <v>10</v>
      </c>
      <c r="AB8" s="21"/>
      <c r="AC8" s="77"/>
      <c r="AD8" s="21"/>
      <c r="AE8" s="77"/>
      <c r="AF8" s="21"/>
      <c r="AG8" s="21"/>
      <c r="AH8" s="21"/>
      <c r="AI8" s="21"/>
      <c r="AJ8" s="21"/>
      <c r="AK8" s="21"/>
      <c r="AL8" s="77"/>
      <c r="AM8" s="21"/>
      <c r="AN8" s="21"/>
      <c r="AO8" s="21"/>
      <c r="AP8" s="21"/>
      <c r="AQ8" s="21"/>
      <c r="AR8" s="21"/>
      <c r="AS8" s="77"/>
      <c r="AT8" s="21"/>
      <c r="AU8" s="21"/>
      <c r="AV8" s="21"/>
      <c r="AW8" s="21"/>
      <c r="AX8" s="21"/>
      <c r="AY8" s="21"/>
      <c r="AZ8" s="77"/>
      <c r="BA8" s="21"/>
      <c r="BB8" s="21"/>
      <c r="BC8" s="21">
        <v>5</v>
      </c>
      <c r="BD8" s="144">
        <f t="shared" si="6"/>
        <v>5</v>
      </c>
      <c r="BE8" s="94">
        <f t="shared" si="7"/>
        <v>5</v>
      </c>
      <c r="BF8" s="26"/>
      <c r="BH8" s="141">
        <v>96209886</v>
      </c>
      <c r="BI8" s="141" t="s">
        <v>2344</v>
      </c>
      <c r="BJ8" s="141" t="s">
        <v>2386</v>
      </c>
      <c r="BK8" s="141" t="s">
        <v>2387</v>
      </c>
      <c r="BL8" s="141"/>
      <c r="BM8" s="141"/>
      <c r="BN8" s="141"/>
      <c r="BO8" s="141"/>
      <c r="BP8" s="141" t="s">
        <v>2388</v>
      </c>
      <c r="BQ8" s="141" t="s">
        <v>2389</v>
      </c>
      <c r="BR8" s="141"/>
      <c r="BS8" s="141"/>
      <c r="BT8" s="141" t="s">
        <v>2390</v>
      </c>
      <c r="BU8" s="141" t="s">
        <v>2391</v>
      </c>
      <c r="BV8" s="141" t="s">
        <v>2422</v>
      </c>
      <c r="BW8" s="141" t="s">
        <v>2423</v>
      </c>
      <c r="BX8" s="141"/>
      <c r="BY8" s="141"/>
      <c r="BZ8" s="141" t="s">
        <v>2424</v>
      </c>
      <c r="CA8" s="141" t="s">
        <v>2395</v>
      </c>
      <c r="CB8" s="142"/>
      <c r="CC8" s="142"/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  <c r="CO8" s="142"/>
    </row>
    <row r="9" spans="1:93" s="7" customFormat="1" x14ac:dyDescent="0.25">
      <c r="A9" s="19" t="s">
        <v>2298</v>
      </c>
      <c r="B9" s="19" t="s">
        <v>2299</v>
      </c>
      <c r="C9" s="19">
        <v>96102857</v>
      </c>
      <c r="D9" s="20">
        <v>96102857</v>
      </c>
      <c r="E9" s="21" t="s">
        <v>2321</v>
      </c>
      <c r="F9" s="21" t="s">
        <v>2318</v>
      </c>
      <c r="G9" s="21" t="s">
        <v>260</v>
      </c>
      <c r="H9" s="21" t="s">
        <v>234</v>
      </c>
      <c r="I9" s="21" t="s">
        <v>254</v>
      </c>
      <c r="J9" s="21" t="s">
        <v>2070</v>
      </c>
      <c r="K9" s="21" t="s">
        <v>2324</v>
      </c>
      <c r="L9" s="21" t="s">
        <v>2068</v>
      </c>
      <c r="M9" s="19" t="s">
        <v>2345</v>
      </c>
      <c r="N9" s="19"/>
      <c r="O9" s="35">
        <v>100</v>
      </c>
      <c r="P9" s="35">
        <v>20</v>
      </c>
      <c r="Q9" s="32"/>
      <c r="R9" s="22">
        <v>0</v>
      </c>
      <c r="S9" s="22">
        <v>10</v>
      </c>
      <c r="T9" s="22">
        <v>20</v>
      </c>
      <c r="U9" s="22">
        <v>20</v>
      </c>
      <c r="V9" s="60">
        <f t="shared" si="5"/>
        <v>50</v>
      </c>
      <c r="W9" s="86"/>
      <c r="X9" s="86"/>
      <c r="Y9" s="86">
        <v>5</v>
      </c>
      <c r="Z9" s="86"/>
      <c r="AA9" s="86">
        <v>5</v>
      </c>
      <c r="AB9" s="21"/>
      <c r="AC9" s="77"/>
      <c r="AD9" s="21"/>
      <c r="AE9" s="77"/>
      <c r="AF9" s="21"/>
      <c r="AG9" s="21"/>
      <c r="AH9" s="21"/>
      <c r="AI9" s="21"/>
      <c r="AJ9" s="21"/>
      <c r="AK9" s="21"/>
      <c r="AL9" s="77"/>
      <c r="AM9" s="21"/>
      <c r="AN9" s="21"/>
      <c r="AO9" s="21"/>
      <c r="AP9" s="21"/>
      <c r="AQ9" s="21"/>
      <c r="AR9" s="21"/>
      <c r="AS9" s="77"/>
      <c r="AT9" s="21"/>
      <c r="AU9" s="21"/>
      <c r="AV9" s="21"/>
      <c r="AW9" s="21"/>
      <c r="AX9" s="21">
        <v>1</v>
      </c>
      <c r="AY9" s="21">
        <v>2</v>
      </c>
      <c r="AZ9" s="77"/>
      <c r="BA9" s="21">
        <v>2</v>
      </c>
      <c r="BB9" s="21"/>
      <c r="BC9" s="21"/>
      <c r="BD9" s="144">
        <f t="shared" si="6"/>
        <v>5</v>
      </c>
      <c r="BE9" s="94">
        <f t="shared" si="7"/>
        <v>0</v>
      </c>
      <c r="BF9" s="26"/>
      <c r="BH9" s="141">
        <v>96102857</v>
      </c>
      <c r="BI9" s="141" t="s">
        <v>2345</v>
      </c>
      <c r="BJ9" s="141" t="s">
        <v>2386</v>
      </c>
      <c r="BK9" s="141" t="s">
        <v>2387</v>
      </c>
      <c r="BL9" s="141"/>
      <c r="BM9" s="141"/>
      <c r="BN9" s="141"/>
      <c r="BO9" s="141"/>
      <c r="BP9" s="141" t="s">
        <v>2388</v>
      </c>
      <c r="BQ9" s="141" t="s">
        <v>2389</v>
      </c>
      <c r="BR9" s="141"/>
      <c r="BS9" s="141"/>
      <c r="BT9" s="141" t="s">
        <v>2390</v>
      </c>
      <c r="BU9" s="141" t="s">
        <v>2391</v>
      </c>
      <c r="BV9" s="141" t="s">
        <v>2422</v>
      </c>
      <c r="BW9" s="141" t="s">
        <v>2423</v>
      </c>
      <c r="BX9" s="141"/>
      <c r="BY9" s="141"/>
      <c r="BZ9" s="141" t="s">
        <v>2424</v>
      </c>
      <c r="CA9" s="141" t="s">
        <v>2395</v>
      </c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142"/>
    </row>
    <row r="10" spans="1:93" s="7" customFormat="1" x14ac:dyDescent="0.25">
      <c r="A10" s="19" t="s">
        <v>2298</v>
      </c>
      <c r="B10" s="19" t="s">
        <v>2299</v>
      </c>
      <c r="C10" s="19">
        <v>96102177</v>
      </c>
      <c r="D10" s="20">
        <v>96102177</v>
      </c>
      <c r="E10" s="21" t="s">
        <v>2317</v>
      </c>
      <c r="F10" s="21" t="s">
        <v>2318</v>
      </c>
      <c r="G10" s="21" t="s">
        <v>332</v>
      </c>
      <c r="H10" s="21" t="s">
        <v>234</v>
      </c>
      <c r="I10" s="21" t="s">
        <v>254</v>
      </c>
      <c r="J10" s="21" t="s">
        <v>2070</v>
      </c>
      <c r="K10" s="21" t="s">
        <v>2324</v>
      </c>
      <c r="L10" s="21" t="s">
        <v>2068</v>
      </c>
      <c r="M10" s="19" t="s">
        <v>2350</v>
      </c>
      <c r="N10" s="19"/>
      <c r="O10" s="35">
        <v>5</v>
      </c>
      <c r="P10" s="35">
        <v>0</v>
      </c>
      <c r="Q10" s="32"/>
      <c r="R10" s="22">
        <v>5</v>
      </c>
      <c r="S10" s="22">
        <v>5</v>
      </c>
      <c r="T10" s="22">
        <v>5</v>
      </c>
      <c r="U10" s="22">
        <v>0</v>
      </c>
      <c r="V10" s="60">
        <f t="shared" si="5"/>
        <v>15</v>
      </c>
      <c r="W10" s="86"/>
      <c r="X10" s="86"/>
      <c r="Y10" s="86"/>
      <c r="Z10" s="86"/>
      <c r="AA10" s="86">
        <v>0</v>
      </c>
      <c r="AB10" s="21"/>
      <c r="AC10" s="77"/>
      <c r="AD10" s="21"/>
      <c r="AE10" s="77"/>
      <c r="AF10" s="21"/>
      <c r="AG10" s="21"/>
      <c r="AH10" s="21"/>
      <c r="AI10" s="21"/>
      <c r="AJ10" s="21"/>
      <c r="AK10" s="21"/>
      <c r="AL10" s="77"/>
      <c r="AM10" s="21"/>
      <c r="AN10" s="21"/>
      <c r="AO10" s="21"/>
      <c r="AP10" s="21"/>
      <c r="AQ10" s="21"/>
      <c r="AR10" s="21"/>
      <c r="AS10" s="77"/>
      <c r="AT10" s="21"/>
      <c r="AU10" s="21"/>
      <c r="AV10" s="21"/>
      <c r="AW10" s="21"/>
      <c r="AX10" s="21"/>
      <c r="AY10" s="21"/>
      <c r="AZ10" s="77"/>
      <c r="BA10" s="21"/>
      <c r="BB10" s="21"/>
      <c r="BC10" s="21"/>
      <c r="BD10" s="144">
        <f t="shared" si="6"/>
        <v>0</v>
      </c>
      <c r="BE10" s="94">
        <f t="shared" si="7"/>
        <v>0</v>
      </c>
      <c r="BF10" s="26"/>
      <c r="BH10" s="141">
        <v>96102177</v>
      </c>
      <c r="BI10" s="141" t="s">
        <v>2350</v>
      </c>
      <c r="BJ10" s="141" t="s">
        <v>2386</v>
      </c>
      <c r="BK10" s="141" t="s">
        <v>2387</v>
      </c>
      <c r="BL10" s="141"/>
      <c r="BM10" s="141"/>
      <c r="BN10" s="141"/>
      <c r="BO10" s="141"/>
      <c r="BP10" s="141" t="s">
        <v>2388</v>
      </c>
      <c r="BQ10" s="141" t="s">
        <v>2389</v>
      </c>
      <c r="BR10" s="141"/>
      <c r="BS10" s="141"/>
      <c r="BT10" s="141" t="s">
        <v>2390</v>
      </c>
      <c r="BU10" s="141" t="s">
        <v>2391</v>
      </c>
      <c r="BV10" s="141" t="s">
        <v>2392</v>
      </c>
      <c r="BW10" s="141" t="s">
        <v>2393</v>
      </c>
      <c r="BX10" s="141"/>
      <c r="BY10" s="141"/>
      <c r="BZ10" s="141" t="s">
        <v>2425</v>
      </c>
      <c r="CA10" s="141" t="s">
        <v>2395</v>
      </c>
      <c r="CB10" s="142"/>
      <c r="CC10" s="142"/>
      <c r="CD10" s="142"/>
      <c r="CE10" s="142"/>
      <c r="CF10" s="142"/>
      <c r="CG10" s="142"/>
      <c r="CH10" s="142"/>
      <c r="CI10" s="142"/>
      <c r="CJ10" s="142"/>
      <c r="CK10" s="142"/>
      <c r="CL10" s="142"/>
      <c r="CM10" s="142"/>
      <c r="CN10" s="142"/>
      <c r="CO10" s="142"/>
    </row>
    <row r="11" spans="1:93" s="7" customFormat="1" x14ac:dyDescent="0.25">
      <c r="A11" s="19" t="s">
        <v>2298</v>
      </c>
      <c r="B11" s="19" t="s">
        <v>2299</v>
      </c>
      <c r="C11" s="19">
        <v>96200622</v>
      </c>
      <c r="D11" s="20">
        <v>96200622</v>
      </c>
      <c r="E11" s="21" t="s">
        <v>2321</v>
      </c>
      <c r="F11" s="21" t="s">
        <v>2320</v>
      </c>
      <c r="G11" s="21" t="s">
        <v>260</v>
      </c>
      <c r="H11" s="21" t="s">
        <v>234</v>
      </c>
      <c r="I11" s="21" t="s">
        <v>254</v>
      </c>
      <c r="J11" s="21" t="s">
        <v>2070</v>
      </c>
      <c r="K11" s="21" t="s">
        <v>2324</v>
      </c>
      <c r="L11" s="21" t="s">
        <v>2068</v>
      </c>
      <c r="M11" s="19" t="s">
        <v>2368</v>
      </c>
      <c r="N11" s="19"/>
      <c r="O11" s="35">
        <v>1</v>
      </c>
      <c r="P11" s="35">
        <v>0</v>
      </c>
      <c r="Q11" s="32"/>
      <c r="R11" s="22">
        <v>1</v>
      </c>
      <c r="S11" s="22">
        <v>1</v>
      </c>
      <c r="T11" s="22">
        <v>0</v>
      </c>
      <c r="U11" s="22">
        <v>0</v>
      </c>
      <c r="V11" s="60">
        <f t="shared" si="5"/>
        <v>2</v>
      </c>
      <c r="W11" s="86"/>
      <c r="X11" s="86"/>
      <c r="Y11" s="86"/>
      <c r="Z11" s="86"/>
      <c r="AA11" s="86">
        <v>0</v>
      </c>
      <c r="AB11" s="21"/>
      <c r="AC11" s="77"/>
      <c r="AD11" s="21"/>
      <c r="AE11" s="77"/>
      <c r="AF11" s="21"/>
      <c r="AG11" s="21"/>
      <c r="AH11" s="21"/>
      <c r="AI11" s="21"/>
      <c r="AJ11" s="21"/>
      <c r="AK11" s="21"/>
      <c r="AL11" s="77"/>
      <c r="AM11" s="21"/>
      <c r="AN11" s="21"/>
      <c r="AO11" s="21"/>
      <c r="AP11" s="21"/>
      <c r="AQ11" s="21"/>
      <c r="AR11" s="21"/>
      <c r="AS11" s="77"/>
      <c r="AT11" s="21"/>
      <c r="AU11" s="21"/>
      <c r="AV11" s="21"/>
      <c r="AW11" s="21"/>
      <c r="AX11" s="21"/>
      <c r="AY11" s="21"/>
      <c r="AZ11" s="77"/>
      <c r="BA11" s="21"/>
      <c r="BB11" s="21"/>
      <c r="BC11" s="21"/>
      <c r="BD11" s="144">
        <f t="shared" si="6"/>
        <v>0</v>
      </c>
      <c r="BE11" s="94">
        <f t="shared" si="7"/>
        <v>0</v>
      </c>
      <c r="BF11" s="26"/>
      <c r="BH11" s="141">
        <v>96200622</v>
      </c>
      <c r="BI11" s="141" t="s">
        <v>2368</v>
      </c>
      <c r="BJ11" s="141" t="s">
        <v>2386</v>
      </c>
      <c r="BK11" s="141" t="s">
        <v>2387</v>
      </c>
      <c r="BL11" s="141"/>
      <c r="BM11" s="141"/>
      <c r="BN11" s="141"/>
      <c r="BO11" s="141"/>
      <c r="BP11" s="141" t="s">
        <v>2388</v>
      </c>
      <c r="BQ11" s="141" t="s">
        <v>2389</v>
      </c>
      <c r="BR11" s="141"/>
      <c r="BS11" s="141"/>
      <c r="BT11" s="141" t="s">
        <v>2390</v>
      </c>
      <c r="BU11" s="141" t="s">
        <v>2391</v>
      </c>
      <c r="BV11" s="141" t="s">
        <v>2422</v>
      </c>
      <c r="BW11" s="141" t="s">
        <v>2423</v>
      </c>
      <c r="BX11" s="141"/>
      <c r="BY11" s="141"/>
      <c r="BZ11" s="141" t="s">
        <v>2394</v>
      </c>
      <c r="CA11" s="141" t="s">
        <v>2395</v>
      </c>
      <c r="CB11" s="142"/>
      <c r="CC11" s="142" t="s">
        <v>2394</v>
      </c>
      <c r="CD11" s="142" t="s">
        <v>2395</v>
      </c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</row>
    <row r="12" spans="1:93" s="7" customFormat="1" x14ac:dyDescent="0.25">
      <c r="A12" s="19" t="s">
        <v>2298</v>
      </c>
      <c r="B12" s="19" t="s">
        <v>2299</v>
      </c>
      <c r="C12" s="19">
        <v>96200762</v>
      </c>
      <c r="D12" s="20">
        <v>96200762</v>
      </c>
      <c r="E12" s="21" t="s">
        <v>2321</v>
      </c>
      <c r="F12" s="21" t="s">
        <v>2320</v>
      </c>
      <c r="G12" s="21" t="s">
        <v>260</v>
      </c>
      <c r="H12" s="21" t="s">
        <v>2322</v>
      </c>
      <c r="I12" s="21" t="s">
        <v>254</v>
      </c>
      <c r="J12" s="21" t="s">
        <v>2070</v>
      </c>
      <c r="K12" s="21" t="s">
        <v>2324</v>
      </c>
      <c r="L12" s="21" t="s">
        <v>2068</v>
      </c>
      <c r="M12" s="19" t="s">
        <v>2369</v>
      </c>
      <c r="N12" s="19"/>
      <c r="O12" s="35">
        <v>2</v>
      </c>
      <c r="P12" s="35">
        <v>0</v>
      </c>
      <c r="Q12" s="32"/>
      <c r="R12" s="22">
        <v>1</v>
      </c>
      <c r="S12" s="22">
        <v>0</v>
      </c>
      <c r="T12" s="22">
        <v>1</v>
      </c>
      <c r="U12" s="22">
        <v>0</v>
      </c>
      <c r="V12" s="60">
        <f t="shared" si="5"/>
        <v>2</v>
      </c>
      <c r="W12" s="86"/>
      <c r="X12" s="86"/>
      <c r="Y12" s="86"/>
      <c r="Z12" s="86"/>
      <c r="AA12" s="86">
        <v>0</v>
      </c>
      <c r="AB12" s="21"/>
      <c r="AC12" s="77"/>
      <c r="AD12" s="21"/>
      <c r="AE12" s="77"/>
      <c r="AF12" s="21"/>
      <c r="AG12" s="21"/>
      <c r="AH12" s="21"/>
      <c r="AI12" s="21"/>
      <c r="AJ12" s="21"/>
      <c r="AK12" s="21"/>
      <c r="AL12" s="77"/>
      <c r="AM12" s="21"/>
      <c r="AN12" s="21"/>
      <c r="AO12" s="21"/>
      <c r="AP12" s="21"/>
      <c r="AQ12" s="21"/>
      <c r="AR12" s="21"/>
      <c r="AS12" s="77"/>
      <c r="AT12" s="21"/>
      <c r="AU12" s="21"/>
      <c r="AV12" s="21"/>
      <c r="AW12" s="21"/>
      <c r="AX12" s="21"/>
      <c r="AY12" s="21"/>
      <c r="AZ12" s="77"/>
      <c r="BA12" s="21"/>
      <c r="BB12" s="21"/>
      <c r="BC12" s="21"/>
      <c r="BD12" s="144">
        <f t="shared" si="6"/>
        <v>0</v>
      </c>
      <c r="BE12" s="94">
        <f t="shared" si="7"/>
        <v>0</v>
      </c>
      <c r="BF12" s="26"/>
      <c r="BH12" s="141">
        <v>96200762</v>
      </c>
      <c r="BI12" s="141" t="s">
        <v>2369</v>
      </c>
      <c r="BJ12" s="141" t="s">
        <v>2386</v>
      </c>
      <c r="BK12" s="141" t="s">
        <v>2387</v>
      </c>
      <c r="BL12" s="141"/>
      <c r="BM12" s="141"/>
      <c r="BN12" s="141"/>
      <c r="BO12" s="141"/>
      <c r="BP12" s="141" t="s">
        <v>2388</v>
      </c>
      <c r="BQ12" s="141" t="s">
        <v>2389</v>
      </c>
      <c r="BR12" s="141"/>
      <c r="BS12" s="141"/>
      <c r="BT12" s="141" t="s">
        <v>2390</v>
      </c>
      <c r="BU12" s="141" t="s">
        <v>2391</v>
      </c>
      <c r="BV12" s="141" t="s">
        <v>2422</v>
      </c>
      <c r="BW12" s="141" t="s">
        <v>2423</v>
      </c>
      <c r="BX12" s="141"/>
      <c r="BY12" s="141"/>
      <c r="BZ12" s="141" t="s">
        <v>2394</v>
      </c>
      <c r="CA12" s="141" t="s">
        <v>2395</v>
      </c>
      <c r="CB12" s="142"/>
      <c r="CC12" s="142" t="s">
        <v>2394</v>
      </c>
      <c r="CD12" s="142" t="s">
        <v>2395</v>
      </c>
      <c r="CE12" s="142"/>
      <c r="CF12" s="142"/>
      <c r="CG12" s="142"/>
      <c r="CH12" s="142"/>
      <c r="CI12" s="142"/>
      <c r="CJ12" s="142"/>
      <c r="CK12" s="142"/>
      <c r="CL12" s="142"/>
      <c r="CM12" s="142"/>
      <c r="CN12" s="142"/>
      <c r="CO12" s="142"/>
    </row>
    <row r="13" spans="1:93" s="7" customFormat="1" x14ac:dyDescent="0.25">
      <c r="A13" s="19" t="s">
        <v>2298</v>
      </c>
      <c r="B13" s="19" t="s">
        <v>2299</v>
      </c>
      <c r="C13" s="19">
        <v>96259887</v>
      </c>
      <c r="D13" s="20" t="s">
        <v>2305</v>
      </c>
      <c r="E13" s="21" t="s">
        <v>2321</v>
      </c>
      <c r="F13" s="21" t="s">
        <v>2320</v>
      </c>
      <c r="G13" s="21" t="s">
        <v>260</v>
      </c>
      <c r="H13" s="21" t="s">
        <v>234</v>
      </c>
      <c r="I13" s="21" t="s">
        <v>254</v>
      </c>
      <c r="J13" s="21" t="s">
        <v>255</v>
      </c>
      <c r="K13" s="21" t="s">
        <v>2324</v>
      </c>
      <c r="L13" s="21" t="s">
        <v>239</v>
      </c>
      <c r="M13" s="19" t="s">
        <v>2375</v>
      </c>
      <c r="N13" s="19"/>
      <c r="O13" s="35">
        <v>2</v>
      </c>
      <c r="P13" s="35">
        <v>1</v>
      </c>
      <c r="Q13" s="32"/>
      <c r="R13" s="22">
        <v>2</v>
      </c>
      <c r="S13" s="22">
        <v>1</v>
      </c>
      <c r="T13" s="22">
        <v>1</v>
      </c>
      <c r="U13" s="22">
        <v>1</v>
      </c>
      <c r="V13" s="60">
        <f t="shared" si="5"/>
        <v>5</v>
      </c>
      <c r="W13" s="86"/>
      <c r="X13" s="86"/>
      <c r="Y13" s="86">
        <v>5</v>
      </c>
      <c r="Z13" s="86"/>
      <c r="AA13" s="86">
        <v>5</v>
      </c>
      <c r="AB13" s="21"/>
      <c r="AC13" s="77"/>
      <c r="AD13" s="21"/>
      <c r="AE13" s="77"/>
      <c r="AF13" s="21"/>
      <c r="AG13" s="21"/>
      <c r="AH13" s="21"/>
      <c r="AI13" s="21"/>
      <c r="AJ13" s="21"/>
      <c r="AK13" s="21"/>
      <c r="AL13" s="77"/>
      <c r="AM13" s="21"/>
      <c r="AN13" s="21"/>
      <c r="AO13" s="21"/>
      <c r="AP13" s="21"/>
      <c r="AQ13" s="145"/>
      <c r="AR13" s="145"/>
      <c r="AS13" s="77"/>
      <c r="AT13" s="21"/>
      <c r="AU13" s="21"/>
      <c r="AV13" s="21"/>
      <c r="AW13" s="21"/>
      <c r="AX13" s="21">
        <v>1</v>
      </c>
      <c r="AY13" s="21">
        <v>1</v>
      </c>
      <c r="AZ13" s="77"/>
      <c r="BA13" s="21">
        <v>1</v>
      </c>
      <c r="BB13" s="21">
        <v>2</v>
      </c>
      <c r="BC13" s="21"/>
      <c r="BD13" s="144">
        <f t="shared" si="6"/>
        <v>5</v>
      </c>
      <c r="BE13" s="94">
        <f t="shared" si="7"/>
        <v>0</v>
      </c>
      <c r="BF13" s="26"/>
      <c r="BH13" s="141" t="s">
        <v>2305</v>
      </c>
      <c r="BI13" s="141" t="s">
        <v>2421</v>
      </c>
      <c r="BJ13" s="141" t="s">
        <v>2386</v>
      </c>
      <c r="BK13" s="141" t="s">
        <v>2387</v>
      </c>
      <c r="BL13" s="141"/>
      <c r="BM13" s="141"/>
      <c r="BN13" s="141"/>
      <c r="BO13" s="141"/>
      <c r="BP13" s="141" t="s">
        <v>2388</v>
      </c>
      <c r="BQ13" s="141" t="s">
        <v>2389</v>
      </c>
      <c r="BR13" s="141"/>
      <c r="BS13" s="141"/>
      <c r="BT13" s="141" t="s">
        <v>2390</v>
      </c>
      <c r="BU13" s="141" t="s">
        <v>2391</v>
      </c>
      <c r="BV13" s="141" t="s">
        <v>2422</v>
      </c>
      <c r="BW13" s="141" t="s">
        <v>2423</v>
      </c>
      <c r="BX13" s="141"/>
      <c r="BY13" s="141"/>
      <c r="BZ13" s="141" t="s">
        <v>2394</v>
      </c>
      <c r="CA13" s="141" t="s">
        <v>2397</v>
      </c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</row>
    <row r="14" spans="1:93" s="7" customFormat="1" x14ac:dyDescent="0.25">
      <c r="A14" s="19" t="s">
        <v>2298</v>
      </c>
      <c r="B14" s="19" t="s">
        <v>2299</v>
      </c>
      <c r="C14" s="19">
        <v>96109877</v>
      </c>
      <c r="D14" s="20" t="s">
        <v>2314</v>
      </c>
      <c r="E14" s="21" t="s">
        <v>2321</v>
      </c>
      <c r="F14" s="21" t="s">
        <v>2318</v>
      </c>
      <c r="G14" s="21" t="s">
        <v>332</v>
      </c>
      <c r="H14" s="21" t="s">
        <v>234</v>
      </c>
      <c r="I14" s="21" t="s">
        <v>254</v>
      </c>
      <c r="J14" s="21" t="s">
        <v>255</v>
      </c>
      <c r="K14" s="21" t="s">
        <v>2324</v>
      </c>
      <c r="L14" s="21" t="s">
        <v>239</v>
      </c>
      <c r="M14" s="51" t="s">
        <v>2376</v>
      </c>
      <c r="N14" s="19"/>
      <c r="O14" s="35">
        <v>2</v>
      </c>
      <c r="P14" s="35">
        <v>0</v>
      </c>
      <c r="Q14" s="32"/>
      <c r="R14" s="22">
        <v>1</v>
      </c>
      <c r="S14" s="22">
        <v>1</v>
      </c>
      <c r="T14" s="22">
        <v>1</v>
      </c>
      <c r="U14" s="22">
        <v>0</v>
      </c>
      <c r="V14" s="60">
        <f t="shared" si="5"/>
        <v>3</v>
      </c>
      <c r="W14" s="86"/>
      <c r="X14" s="86"/>
      <c r="Y14" s="86">
        <v>3</v>
      </c>
      <c r="Z14" s="86"/>
      <c r="AA14" s="86">
        <v>3</v>
      </c>
      <c r="AB14" s="21"/>
      <c r="AC14" s="77"/>
      <c r="AD14" s="21"/>
      <c r="AE14" s="77"/>
      <c r="AF14" s="21"/>
      <c r="AG14" s="21"/>
      <c r="AH14" s="21"/>
      <c r="AI14" s="21"/>
      <c r="AJ14" s="21"/>
      <c r="AK14" s="21"/>
      <c r="AL14" s="77"/>
      <c r="AM14" s="21"/>
      <c r="AN14" s="21"/>
      <c r="AO14" s="21"/>
      <c r="AP14" s="21"/>
      <c r="AQ14" s="145"/>
      <c r="AR14" s="145"/>
      <c r="AS14" s="77"/>
      <c r="AT14" s="21"/>
      <c r="AU14" s="21"/>
      <c r="AV14" s="21"/>
      <c r="AW14" s="21"/>
      <c r="AX14" s="21"/>
      <c r="AY14" s="21"/>
      <c r="AZ14" s="77"/>
      <c r="BA14" s="21">
        <v>1</v>
      </c>
      <c r="BB14" s="21"/>
      <c r="BC14" s="21">
        <v>2</v>
      </c>
      <c r="BD14" s="144">
        <f t="shared" si="6"/>
        <v>3</v>
      </c>
      <c r="BE14" s="94">
        <f t="shared" si="7"/>
        <v>0</v>
      </c>
      <c r="BF14" s="26"/>
      <c r="BH14" s="141" t="s">
        <v>2314</v>
      </c>
      <c r="BI14" s="141" t="s">
        <v>2454</v>
      </c>
      <c r="BJ14" s="141" t="s">
        <v>2386</v>
      </c>
      <c r="BK14" s="141" t="s">
        <v>2387</v>
      </c>
      <c r="BL14" s="141"/>
      <c r="BM14" s="141"/>
      <c r="BN14" s="141"/>
      <c r="BO14" s="141"/>
      <c r="BP14" s="141" t="s">
        <v>2388</v>
      </c>
      <c r="BQ14" s="141" t="s">
        <v>2389</v>
      </c>
      <c r="BR14" s="141"/>
      <c r="BS14" s="141"/>
      <c r="BT14" s="141" t="s">
        <v>2390</v>
      </c>
      <c r="BU14" s="141" t="s">
        <v>2391</v>
      </c>
      <c r="BV14" s="141" t="s">
        <v>2392</v>
      </c>
      <c r="BW14" s="141" t="s">
        <v>2393</v>
      </c>
      <c r="BX14" s="141"/>
      <c r="BY14" s="141"/>
      <c r="BZ14" s="141" t="s">
        <v>2455</v>
      </c>
      <c r="CA14" s="141" t="s">
        <v>2397</v>
      </c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</row>
    <row r="15" spans="1:93" s="7" customFormat="1" x14ac:dyDescent="0.25">
      <c r="A15" s="19" t="s">
        <v>2298</v>
      </c>
      <c r="B15" s="19" t="s">
        <v>2299</v>
      </c>
      <c r="C15" s="19">
        <v>96104192</v>
      </c>
      <c r="D15" s="20">
        <v>96104192</v>
      </c>
      <c r="E15" s="21" t="s">
        <v>2321</v>
      </c>
      <c r="F15" s="21" t="s">
        <v>2318</v>
      </c>
      <c r="G15" s="21" t="s">
        <v>260</v>
      </c>
      <c r="H15" s="21" t="s">
        <v>234</v>
      </c>
      <c r="I15" s="21" t="s">
        <v>254</v>
      </c>
      <c r="J15" s="21" t="s">
        <v>2070</v>
      </c>
      <c r="K15" s="21" t="s">
        <v>2324</v>
      </c>
      <c r="L15" s="21" t="s">
        <v>2068</v>
      </c>
      <c r="M15" s="19" t="s">
        <v>2381</v>
      </c>
      <c r="N15" s="19"/>
      <c r="O15" s="35">
        <v>0</v>
      </c>
      <c r="P15" s="35">
        <v>0</v>
      </c>
      <c r="Q15" s="32"/>
      <c r="R15" s="22">
        <v>50</v>
      </c>
      <c r="S15" s="22">
        <v>0</v>
      </c>
      <c r="T15" s="22">
        <v>0</v>
      </c>
      <c r="U15" s="22">
        <v>0</v>
      </c>
      <c r="V15" s="60">
        <f t="shared" si="5"/>
        <v>50</v>
      </c>
      <c r="W15" s="86"/>
      <c r="X15" s="86"/>
      <c r="Y15" s="86"/>
      <c r="Z15" s="86">
        <v>40</v>
      </c>
      <c r="AA15" s="86">
        <v>40</v>
      </c>
      <c r="AB15" s="21"/>
      <c r="AC15" s="77"/>
      <c r="AD15" s="21"/>
      <c r="AE15" s="77"/>
      <c r="AF15" s="21"/>
      <c r="AG15" s="21"/>
      <c r="AH15" s="21"/>
      <c r="AI15" s="21"/>
      <c r="AJ15" s="21"/>
      <c r="AK15" s="21"/>
      <c r="AL15" s="77"/>
      <c r="AM15" s="21"/>
      <c r="AN15" s="21"/>
      <c r="AO15" s="21"/>
      <c r="AP15" s="21"/>
      <c r="AQ15" s="21"/>
      <c r="AR15" s="21"/>
      <c r="AS15" s="77"/>
      <c r="AT15" s="21"/>
      <c r="AU15" s="21"/>
      <c r="AV15" s="21"/>
      <c r="AW15" s="21"/>
      <c r="AX15" s="21">
        <v>10</v>
      </c>
      <c r="AY15" s="21">
        <v>10</v>
      </c>
      <c r="AZ15" s="77"/>
      <c r="BA15" s="21">
        <v>10</v>
      </c>
      <c r="BB15" s="21">
        <v>10</v>
      </c>
      <c r="BC15" s="21"/>
      <c r="BD15" s="144">
        <f t="shared" si="6"/>
        <v>40</v>
      </c>
      <c r="BE15" s="94">
        <f t="shared" si="7"/>
        <v>0</v>
      </c>
      <c r="BF15" s="26"/>
      <c r="BH15" s="141">
        <v>96104192</v>
      </c>
      <c r="BI15" s="141" t="s">
        <v>2381</v>
      </c>
      <c r="BJ15" s="141" t="s">
        <v>2386</v>
      </c>
      <c r="BK15" s="141" t="s">
        <v>2387</v>
      </c>
      <c r="BL15" s="141"/>
      <c r="BM15" s="141"/>
      <c r="BN15" s="141"/>
      <c r="BO15" s="141"/>
      <c r="BP15" s="141" t="s">
        <v>2388</v>
      </c>
      <c r="BQ15" s="141" t="s">
        <v>2389</v>
      </c>
      <c r="BR15" s="141"/>
      <c r="BS15" s="141"/>
      <c r="BT15" s="141" t="s">
        <v>2390</v>
      </c>
      <c r="BU15" s="141" t="s">
        <v>2391</v>
      </c>
      <c r="BV15" s="141" t="s">
        <v>2422</v>
      </c>
      <c r="BW15" s="141" t="s">
        <v>2423</v>
      </c>
      <c r="BX15" s="141"/>
      <c r="BY15" s="141"/>
      <c r="BZ15" s="141" t="s">
        <v>2455</v>
      </c>
      <c r="CA15" s="141" t="s">
        <v>2395</v>
      </c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</row>
    <row r="16" spans="1:93" s="7" customFormat="1" x14ac:dyDescent="0.25">
      <c r="A16" s="19" t="s">
        <v>2298</v>
      </c>
      <c r="B16" s="19" t="s">
        <v>2299</v>
      </c>
      <c r="C16" s="19">
        <v>96101846</v>
      </c>
      <c r="D16" s="20">
        <v>96101846</v>
      </c>
      <c r="E16" s="21" t="s">
        <v>2323</v>
      </c>
      <c r="F16" s="21" t="s">
        <v>2318</v>
      </c>
      <c r="G16" s="21" t="s">
        <v>332</v>
      </c>
      <c r="H16" s="21" t="s">
        <v>234</v>
      </c>
      <c r="I16" s="21" t="s">
        <v>254</v>
      </c>
      <c r="J16" s="21" t="s">
        <v>2070</v>
      </c>
      <c r="K16" s="21" t="s">
        <v>2326</v>
      </c>
      <c r="L16" s="21" t="s">
        <v>2068</v>
      </c>
      <c r="M16" s="19" t="s">
        <v>2351</v>
      </c>
      <c r="N16" s="19"/>
      <c r="O16" s="35">
        <v>60</v>
      </c>
      <c r="P16" s="35">
        <v>20</v>
      </c>
      <c r="Q16" s="32"/>
      <c r="R16" s="22">
        <v>10</v>
      </c>
      <c r="S16" s="22">
        <v>15</v>
      </c>
      <c r="T16" s="22">
        <v>15</v>
      </c>
      <c r="U16" s="22">
        <v>10</v>
      </c>
      <c r="V16" s="60">
        <f t="shared" si="5"/>
        <v>50</v>
      </c>
      <c r="W16" s="86"/>
      <c r="X16" s="86"/>
      <c r="Y16" s="86">
        <v>50</v>
      </c>
      <c r="Z16" s="86"/>
      <c r="AA16" s="86">
        <v>50</v>
      </c>
      <c r="AB16" s="21"/>
      <c r="AC16" s="77"/>
      <c r="AD16" s="21"/>
      <c r="AE16" s="77"/>
      <c r="AF16" s="21"/>
      <c r="AG16" s="21"/>
      <c r="AH16" s="21"/>
      <c r="AI16" s="21"/>
      <c r="AJ16" s="21"/>
      <c r="AK16" s="21"/>
      <c r="AL16" s="77"/>
      <c r="AM16" s="21"/>
      <c r="AN16" s="21"/>
      <c r="AO16" s="21"/>
      <c r="AP16" s="21"/>
      <c r="AQ16" s="21"/>
      <c r="AR16" s="21"/>
      <c r="AS16" s="77"/>
      <c r="AT16" s="21"/>
      <c r="AU16" s="21"/>
      <c r="AV16" s="21"/>
      <c r="AW16" s="21">
        <v>4</v>
      </c>
      <c r="AX16" s="21">
        <v>4</v>
      </c>
      <c r="AY16" s="21">
        <v>6</v>
      </c>
      <c r="AZ16" s="77"/>
      <c r="BA16" s="21">
        <v>6</v>
      </c>
      <c r="BB16" s="21">
        <v>6</v>
      </c>
      <c r="BC16" s="21">
        <v>9</v>
      </c>
      <c r="BD16" s="144">
        <f t="shared" si="6"/>
        <v>35</v>
      </c>
      <c r="BE16" s="94">
        <f t="shared" si="7"/>
        <v>15</v>
      </c>
      <c r="BF16" s="26"/>
      <c r="BH16" s="141">
        <v>96101846</v>
      </c>
      <c r="BI16" s="141" t="s">
        <v>2351</v>
      </c>
      <c r="BJ16" s="141" t="s">
        <v>2386</v>
      </c>
      <c r="BK16" s="141" t="s">
        <v>2387</v>
      </c>
      <c r="BL16" s="141" t="s">
        <v>2426</v>
      </c>
      <c r="BM16" s="141" t="s">
        <v>2427</v>
      </c>
      <c r="BN16" s="141" t="s">
        <v>2401</v>
      </c>
      <c r="BO16" s="141" t="s">
        <v>2402</v>
      </c>
      <c r="BP16" s="141" t="s">
        <v>2428</v>
      </c>
      <c r="BQ16" s="141" t="s">
        <v>2429</v>
      </c>
      <c r="BR16" s="141" t="s">
        <v>2430</v>
      </c>
      <c r="BS16" s="141" t="s">
        <v>2406</v>
      </c>
      <c r="BT16" s="141" t="s">
        <v>2390</v>
      </c>
      <c r="BU16" s="141" t="s">
        <v>2391</v>
      </c>
      <c r="BV16" s="141" t="s">
        <v>2392</v>
      </c>
      <c r="BW16" s="141" t="s">
        <v>2393</v>
      </c>
      <c r="BX16" s="141" t="s">
        <v>2431</v>
      </c>
      <c r="BY16" s="141" t="s">
        <v>2432</v>
      </c>
      <c r="BZ16" s="141" t="s">
        <v>2433</v>
      </c>
      <c r="CA16" s="141" t="s">
        <v>2434</v>
      </c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</row>
    <row r="17" spans="1:93" s="7" customFormat="1" x14ac:dyDescent="0.25">
      <c r="A17" s="19" t="s">
        <v>2298</v>
      </c>
      <c r="B17" s="19" t="s">
        <v>2299</v>
      </c>
      <c r="C17" s="19">
        <v>96101847</v>
      </c>
      <c r="D17" s="20" t="s">
        <v>2306</v>
      </c>
      <c r="E17" s="21" t="s">
        <v>2323</v>
      </c>
      <c r="F17" s="21" t="s">
        <v>2318</v>
      </c>
      <c r="G17" s="21" t="s">
        <v>332</v>
      </c>
      <c r="H17" s="21" t="s">
        <v>234</v>
      </c>
      <c r="I17" s="21" t="s">
        <v>254</v>
      </c>
      <c r="J17" s="21" t="s">
        <v>2083</v>
      </c>
      <c r="K17" s="21" t="s">
        <v>2326</v>
      </c>
      <c r="L17" s="21" t="s">
        <v>2068</v>
      </c>
      <c r="M17" s="19" t="s">
        <v>2352</v>
      </c>
      <c r="N17" s="19"/>
      <c r="O17" s="35">
        <v>0</v>
      </c>
      <c r="P17" s="35">
        <v>0</v>
      </c>
      <c r="Q17" s="32"/>
      <c r="R17" s="22">
        <v>0</v>
      </c>
      <c r="S17" s="22">
        <v>5</v>
      </c>
      <c r="T17" s="22">
        <v>0</v>
      </c>
      <c r="U17" s="22">
        <v>0</v>
      </c>
      <c r="V17" s="60">
        <f t="shared" si="5"/>
        <v>5</v>
      </c>
      <c r="W17" s="86"/>
      <c r="X17" s="86"/>
      <c r="Y17" s="86">
        <v>5</v>
      </c>
      <c r="Z17" s="86"/>
      <c r="AA17" s="86">
        <v>5</v>
      </c>
      <c r="AB17" s="21"/>
      <c r="AC17" s="77"/>
      <c r="AD17" s="21"/>
      <c r="AE17" s="77"/>
      <c r="AF17" s="21"/>
      <c r="AG17" s="21"/>
      <c r="AH17" s="21"/>
      <c r="AI17" s="21"/>
      <c r="AJ17" s="21"/>
      <c r="AK17" s="21"/>
      <c r="AL17" s="77"/>
      <c r="AM17" s="21"/>
      <c r="AN17" s="21"/>
      <c r="AO17" s="21"/>
      <c r="AP17" s="21"/>
      <c r="AQ17" s="21"/>
      <c r="AR17" s="21"/>
      <c r="AS17" s="77"/>
      <c r="AT17" s="21"/>
      <c r="AU17" s="21"/>
      <c r="AV17" s="21"/>
      <c r="AW17" s="21"/>
      <c r="AX17" s="21">
        <v>1</v>
      </c>
      <c r="AY17" s="21">
        <v>1</v>
      </c>
      <c r="AZ17" s="77"/>
      <c r="BA17" s="21">
        <v>1</v>
      </c>
      <c r="BB17" s="21">
        <v>1</v>
      </c>
      <c r="BC17" s="21">
        <v>1</v>
      </c>
      <c r="BD17" s="144">
        <f t="shared" si="6"/>
        <v>5</v>
      </c>
      <c r="BE17" s="94">
        <f t="shared" si="7"/>
        <v>0</v>
      </c>
      <c r="BF17" s="26"/>
      <c r="BH17" s="141" t="s">
        <v>2306</v>
      </c>
      <c r="BI17" s="141" t="s">
        <v>2435</v>
      </c>
      <c r="BJ17" s="141" t="s">
        <v>2386</v>
      </c>
      <c r="BK17" s="141" t="s">
        <v>2387</v>
      </c>
      <c r="BL17" s="141" t="s">
        <v>2426</v>
      </c>
      <c r="BM17" s="141" t="s">
        <v>2427</v>
      </c>
      <c r="BN17" s="141" t="s">
        <v>2401</v>
      </c>
      <c r="BO17" s="141" t="s">
        <v>2402</v>
      </c>
      <c r="BP17" s="141" t="s">
        <v>2428</v>
      </c>
      <c r="BQ17" s="141" t="s">
        <v>2429</v>
      </c>
      <c r="BR17" s="141" t="s">
        <v>2430</v>
      </c>
      <c r="BS17" s="141" t="s">
        <v>2406</v>
      </c>
      <c r="BT17" s="141" t="s">
        <v>2390</v>
      </c>
      <c r="BU17" s="141" t="s">
        <v>2391</v>
      </c>
      <c r="BV17" s="141" t="s">
        <v>2392</v>
      </c>
      <c r="BW17" s="141" t="s">
        <v>2393</v>
      </c>
      <c r="BX17" s="141" t="s">
        <v>2431</v>
      </c>
      <c r="BY17" s="141" t="s">
        <v>2432</v>
      </c>
      <c r="BZ17" s="141" t="s">
        <v>2433</v>
      </c>
      <c r="CA17" s="141" t="s">
        <v>2436</v>
      </c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</row>
    <row r="18" spans="1:93" s="7" customFormat="1" x14ac:dyDescent="0.25">
      <c r="A18" s="19" t="s">
        <v>2298</v>
      </c>
      <c r="B18" s="19" t="s">
        <v>2299</v>
      </c>
      <c r="C18" s="19">
        <v>96101849</v>
      </c>
      <c r="D18" s="20">
        <v>96101849</v>
      </c>
      <c r="E18" s="21" t="s">
        <v>2323</v>
      </c>
      <c r="F18" s="21" t="s">
        <v>2318</v>
      </c>
      <c r="G18" s="21" t="s">
        <v>332</v>
      </c>
      <c r="H18" s="21" t="s">
        <v>234</v>
      </c>
      <c r="I18" s="21" t="s">
        <v>254</v>
      </c>
      <c r="J18" s="21" t="s">
        <v>2070</v>
      </c>
      <c r="K18" s="21" t="s">
        <v>2326</v>
      </c>
      <c r="L18" s="21" t="s">
        <v>2068</v>
      </c>
      <c r="M18" s="19" t="s">
        <v>2353</v>
      </c>
      <c r="N18" s="19"/>
      <c r="O18" s="35">
        <v>30</v>
      </c>
      <c r="P18" s="35">
        <v>10</v>
      </c>
      <c r="Q18" s="32"/>
      <c r="R18" s="22">
        <v>5</v>
      </c>
      <c r="S18" s="22">
        <v>5</v>
      </c>
      <c r="T18" s="22">
        <v>10</v>
      </c>
      <c r="U18" s="22">
        <v>10</v>
      </c>
      <c r="V18" s="60">
        <f t="shared" si="5"/>
        <v>30</v>
      </c>
      <c r="W18" s="86"/>
      <c r="X18" s="86"/>
      <c r="Y18" s="86"/>
      <c r="Z18" s="86">
        <v>10</v>
      </c>
      <c r="AA18" s="86">
        <v>10</v>
      </c>
      <c r="AB18" s="21"/>
      <c r="AC18" s="77"/>
      <c r="AD18" s="21"/>
      <c r="AE18" s="77"/>
      <c r="AF18" s="21"/>
      <c r="AG18" s="21"/>
      <c r="AH18" s="21"/>
      <c r="AI18" s="21"/>
      <c r="AJ18" s="21"/>
      <c r="AK18" s="21"/>
      <c r="AL18" s="77"/>
      <c r="AM18" s="21"/>
      <c r="AN18" s="21"/>
      <c r="AO18" s="21"/>
      <c r="AP18" s="21"/>
      <c r="AQ18" s="21"/>
      <c r="AR18" s="21"/>
      <c r="AS18" s="77"/>
      <c r="AT18" s="21"/>
      <c r="AU18" s="21"/>
      <c r="AV18" s="21"/>
      <c r="AW18" s="21"/>
      <c r="AX18" s="21"/>
      <c r="AY18" s="21"/>
      <c r="AZ18" s="77"/>
      <c r="BA18" s="21"/>
      <c r="BB18" s="21"/>
      <c r="BC18" s="21">
        <v>5</v>
      </c>
      <c r="BD18" s="144">
        <f t="shared" si="6"/>
        <v>5</v>
      </c>
      <c r="BE18" s="94">
        <f t="shared" si="7"/>
        <v>5</v>
      </c>
      <c r="BF18" s="26"/>
      <c r="BH18" s="141">
        <v>96101849</v>
      </c>
      <c r="BI18" s="141" t="s">
        <v>2353</v>
      </c>
      <c r="BJ18" s="141" t="s">
        <v>2386</v>
      </c>
      <c r="BK18" s="141" t="s">
        <v>2387</v>
      </c>
      <c r="BL18" s="141" t="s">
        <v>2437</v>
      </c>
      <c r="BM18" s="141" t="s">
        <v>2438</v>
      </c>
      <c r="BN18" s="141" t="s">
        <v>2401</v>
      </c>
      <c r="BO18" s="141" t="s">
        <v>2402</v>
      </c>
      <c r="BP18" s="141" t="s">
        <v>2428</v>
      </c>
      <c r="BQ18" s="141" t="s">
        <v>2429</v>
      </c>
      <c r="BR18" s="141" t="s">
        <v>2439</v>
      </c>
      <c r="BS18" s="141" t="s">
        <v>2406</v>
      </c>
      <c r="BT18" s="141" t="s">
        <v>2390</v>
      </c>
      <c r="BU18" s="141" t="s">
        <v>2391</v>
      </c>
      <c r="BV18" s="141" t="s">
        <v>2392</v>
      </c>
      <c r="BW18" s="141" t="s">
        <v>2393</v>
      </c>
      <c r="BX18" s="141" t="s">
        <v>2440</v>
      </c>
      <c r="BY18" s="141" t="s">
        <v>2441</v>
      </c>
      <c r="BZ18" s="141" t="s">
        <v>2442</v>
      </c>
      <c r="CA18" s="141" t="s">
        <v>2434</v>
      </c>
      <c r="CB18" s="142"/>
      <c r="CC18" s="142"/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</row>
    <row r="19" spans="1:93" s="7" customFormat="1" x14ac:dyDescent="0.25">
      <c r="A19" s="19" t="s">
        <v>2298</v>
      </c>
      <c r="B19" s="19" t="s">
        <v>2299</v>
      </c>
      <c r="C19" s="19">
        <v>96101855</v>
      </c>
      <c r="D19" s="20">
        <v>96101855</v>
      </c>
      <c r="E19" s="21" t="s">
        <v>2323</v>
      </c>
      <c r="F19" s="21" t="s">
        <v>2318</v>
      </c>
      <c r="G19" s="21" t="s">
        <v>332</v>
      </c>
      <c r="H19" s="21" t="s">
        <v>234</v>
      </c>
      <c r="I19" s="21" t="s">
        <v>254</v>
      </c>
      <c r="J19" s="21" t="s">
        <v>2070</v>
      </c>
      <c r="K19" s="21" t="s">
        <v>2327</v>
      </c>
      <c r="L19" s="21" t="s">
        <v>2068</v>
      </c>
      <c r="M19" s="19" t="s">
        <v>2354</v>
      </c>
      <c r="N19" s="19"/>
      <c r="O19" s="35">
        <v>40</v>
      </c>
      <c r="P19" s="35">
        <v>5</v>
      </c>
      <c r="Q19" s="32"/>
      <c r="R19" s="22">
        <v>5</v>
      </c>
      <c r="S19" s="22">
        <v>10</v>
      </c>
      <c r="T19" s="22">
        <v>10</v>
      </c>
      <c r="U19" s="22">
        <v>10</v>
      </c>
      <c r="V19" s="60">
        <f t="shared" si="5"/>
        <v>35</v>
      </c>
      <c r="W19" s="86"/>
      <c r="X19" s="86"/>
      <c r="Y19" s="86"/>
      <c r="Z19" s="86">
        <v>35</v>
      </c>
      <c r="AA19" s="86">
        <v>35</v>
      </c>
      <c r="AB19" s="21"/>
      <c r="AC19" s="77"/>
      <c r="AD19" s="21"/>
      <c r="AE19" s="77"/>
      <c r="AF19" s="21"/>
      <c r="AG19" s="21"/>
      <c r="AH19" s="21"/>
      <c r="AI19" s="21"/>
      <c r="AJ19" s="21"/>
      <c r="AK19" s="21"/>
      <c r="AL19" s="77"/>
      <c r="AM19" s="21"/>
      <c r="AN19" s="21"/>
      <c r="AO19" s="21"/>
      <c r="AP19" s="21"/>
      <c r="AQ19" s="21"/>
      <c r="AR19" s="21"/>
      <c r="AS19" s="77"/>
      <c r="AT19" s="21"/>
      <c r="AU19" s="21"/>
      <c r="AV19" s="21"/>
      <c r="AW19" s="21"/>
      <c r="AX19" s="21"/>
      <c r="AY19" s="21">
        <v>6</v>
      </c>
      <c r="AZ19" s="77"/>
      <c r="BA19" s="21">
        <v>6</v>
      </c>
      <c r="BB19" s="21">
        <v>6</v>
      </c>
      <c r="BC19" s="21">
        <v>6</v>
      </c>
      <c r="BD19" s="144">
        <f t="shared" si="6"/>
        <v>24</v>
      </c>
      <c r="BE19" s="94">
        <f t="shared" si="7"/>
        <v>11</v>
      </c>
      <c r="BF19" s="26"/>
      <c r="BH19" s="141">
        <v>96101855</v>
      </c>
      <c r="BI19" s="141" t="s">
        <v>2354</v>
      </c>
      <c r="BJ19" s="141" t="s">
        <v>2386</v>
      </c>
      <c r="BK19" s="141" t="s">
        <v>2387</v>
      </c>
      <c r="BL19" s="141" t="s">
        <v>2426</v>
      </c>
      <c r="BM19" s="141" t="s">
        <v>2427</v>
      </c>
      <c r="BN19" s="141" t="s">
        <v>2401</v>
      </c>
      <c r="BO19" s="141" t="s">
        <v>2402</v>
      </c>
      <c r="BP19" s="141" t="s">
        <v>2428</v>
      </c>
      <c r="BQ19" s="141" t="s">
        <v>2429</v>
      </c>
      <c r="BR19" s="141" t="s">
        <v>2443</v>
      </c>
      <c r="BS19" s="141" t="s">
        <v>2406</v>
      </c>
      <c r="BT19" s="141" t="s">
        <v>2390</v>
      </c>
      <c r="BU19" s="141" t="s">
        <v>2391</v>
      </c>
      <c r="BV19" s="141" t="s">
        <v>2392</v>
      </c>
      <c r="BW19" s="141" t="s">
        <v>2393</v>
      </c>
      <c r="BX19" s="141" t="s">
        <v>2431</v>
      </c>
      <c r="BY19" s="141" t="s">
        <v>2432</v>
      </c>
      <c r="BZ19" s="141" t="s">
        <v>2433</v>
      </c>
      <c r="CA19" s="141" t="s">
        <v>2434</v>
      </c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</row>
    <row r="20" spans="1:93" s="7" customFormat="1" x14ac:dyDescent="0.25">
      <c r="A20" s="19" t="s">
        <v>2298</v>
      </c>
      <c r="B20" s="19" t="s">
        <v>2299</v>
      </c>
      <c r="C20" s="19">
        <v>96101860</v>
      </c>
      <c r="D20" s="20">
        <v>96101860</v>
      </c>
      <c r="E20" s="21" t="s">
        <v>2323</v>
      </c>
      <c r="F20" s="21" t="s">
        <v>2318</v>
      </c>
      <c r="G20" s="21" t="s">
        <v>332</v>
      </c>
      <c r="H20" s="21" t="s">
        <v>234</v>
      </c>
      <c r="I20" s="21" t="s">
        <v>254</v>
      </c>
      <c r="J20" s="21" t="s">
        <v>2070</v>
      </c>
      <c r="K20" s="21" t="s">
        <v>2327</v>
      </c>
      <c r="L20" s="21" t="s">
        <v>2068</v>
      </c>
      <c r="M20" s="19" t="s">
        <v>2355</v>
      </c>
      <c r="N20" s="19"/>
      <c r="O20" s="35">
        <v>20</v>
      </c>
      <c r="P20" s="35">
        <v>5</v>
      </c>
      <c r="Q20" s="32"/>
      <c r="R20" s="22">
        <v>5</v>
      </c>
      <c r="S20" s="22">
        <v>5</v>
      </c>
      <c r="T20" s="22">
        <v>5</v>
      </c>
      <c r="U20" s="22">
        <v>5</v>
      </c>
      <c r="V20" s="60">
        <f t="shared" si="5"/>
        <v>20</v>
      </c>
      <c r="W20" s="86"/>
      <c r="X20" s="86"/>
      <c r="Y20" s="86"/>
      <c r="Z20" s="86"/>
      <c r="AA20" s="86">
        <v>0</v>
      </c>
      <c r="AB20" s="21"/>
      <c r="AC20" s="77"/>
      <c r="AD20" s="21"/>
      <c r="AE20" s="77"/>
      <c r="AF20" s="21"/>
      <c r="AG20" s="21"/>
      <c r="AH20" s="21"/>
      <c r="AI20" s="21"/>
      <c r="AJ20" s="21"/>
      <c r="AK20" s="21"/>
      <c r="AL20" s="77"/>
      <c r="AM20" s="21"/>
      <c r="AN20" s="21"/>
      <c r="AO20" s="21"/>
      <c r="AP20" s="21"/>
      <c r="AQ20" s="21"/>
      <c r="AR20" s="21"/>
      <c r="AS20" s="77"/>
      <c r="AT20" s="21"/>
      <c r="AU20" s="21"/>
      <c r="AV20" s="21"/>
      <c r="AW20" s="21"/>
      <c r="AX20" s="21"/>
      <c r="AY20" s="21"/>
      <c r="AZ20" s="77"/>
      <c r="BA20" s="21"/>
      <c r="BB20" s="21"/>
      <c r="BC20" s="21"/>
      <c r="BD20" s="144">
        <f t="shared" si="6"/>
        <v>0</v>
      </c>
      <c r="BE20" s="94">
        <f t="shared" si="7"/>
        <v>0</v>
      </c>
      <c r="BF20" s="26"/>
      <c r="BH20" s="141">
        <v>96101860</v>
      </c>
      <c r="BI20" s="141" t="s">
        <v>2355</v>
      </c>
      <c r="BJ20" s="141" t="s">
        <v>2386</v>
      </c>
      <c r="BK20" s="141" t="s">
        <v>2387</v>
      </c>
      <c r="BL20" s="141" t="s">
        <v>2437</v>
      </c>
      <c r="BM20" s="141" t="s">
        <v>2438</v>
      </c>
      <c r="BN20" s="141" t="s">
        <v>2401</v>
      </c>
      <c r="BO20" s="141" t="s">
        <v>2402</v>
      </c>
      <c r="BP20" s="141" t="s">
        <v>2428</v>
      </c>
      <c r="BQ20" s="141" t="s">
        <v>2429</v>
      </c>
      <c r="BR20" s="141" t="s">
        <v>2444</v>
      </c>
      <c r="BS20" s="141" t="s">
        <v>2406</v>
      </c>
      <c r="BT20" s="141" t="s">
        <v>2390</v>
      </c>
      <c r="BU20" s="141" t="s">
        <v>2391</v>
      </c>
      <c r="BV20" s="141" t="s">
        <v>2392</v>
      </c>
      <c r="BW20" s="141" t="s">
        <v>2393</v>
      </c>
      <c r="BX20" s="141" t="s">
        <v>2440</v>
      </c>
      <c r="BY20" s="141" t="s">
        <v>2441</v>
      </c>
      <c r="BZ20" s="141" t="s">
        <v>2442</v>
      </c>
      <c r="CA20" s="141" t="s">
        <v>2434</v>
      </c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</row>
    <row r="21" spans="1:93" s="7" customFormat="1" x14ac:dyDescent="0.25">
      <c r="A21" s="19" t="s">
        <v>2298</v>
      </c>
      <c r="B21" s="19" t="s">
        <v>2299</v>
      </c>
      <c r="C21" s="19">
        <v>96101368</v>
      </c>
      <c r="D21" s="20" t="s">
        <v>2307</v>
      </c>
      <c r="E21" s="21" t="s">
        <v>1860</v>
      </c>
      <c r="F21" s="21" t="s">
        <v>2318</v>
      </c>
      <c r="G21" s="21" t="s">
        <v>332</v>
      </c>
      <c r="H21" s="21" t="s">
        <v>234</v>
      </c>
      <c r="I21" s="21" t="s">
        <v>254</v>
      </c>
      <c r="J21" s="21" t="s">
        <v>2083</v>
      </c>
      <c r="K21" s="21" t="s">
        <v>2328</v>
      </c>
      <c r="L21" s="21" t="s">
        <v>2068</v>
      </c>
      <c r="M21" s="19" t="s">
        <v>2356</v>
      </c>
      <c r="N21" s="19"/>
      <c r="O21" s="35">
        <v>70</v>
      </c>
      <c r="P21" s="35">
        <v>50</v>
      </c>
      <c r="Q21" s="32"/>
      <c r="R21" s="22">
        <v>50</v>
      </c>
      <c r="S21" s="22">
        <v>35</v>
      </c>
      <c r="T21" s="22">
        <v>40</v>
      </c>
      <c r="U21" s="22">
        <v>21</v>
      </c>
      <c r="V21" s="60">
        <f t="shared" si="5"/>
        <v>146</v>
      </c>
      <c r="W21" s="86">
        <v>126</v>
      </c>
      <c r="X21" s="86"/>
      <c r="Y21" s="86"/>
      <c r="Z21" s="86"/>
      <c r="AA21" s="86">
        <v>126</v>
      </c>
      <c r="AB21" s="21"/>
      <c r="AC21" s="77"/>
      <c r="AD21" s="21"/>
      <c r="AE21" s="77"/>
      <c r="AF21" s="21">
        <v>5</v>
      </c>
      <c r="AG21" s="21">
        <v>5</v>
      </c>
      <c r="AH21" s="21">
        <v>5</v>
      </c>
      <c r="AI21" s="21">
        <v>5</v>
      </c>
      <c r="AJ21" s="21">
        <v>5</v>
      </c>
      <c r="AK21" s="21">
        <v>5</v>
      </c>
      <c r="AL21" s="77"/>
      <c r="AM21" s="21">
        <v>5</v>
      </c>
      <c r="AN21" s="21">
        <v>10</v>
      </c>
      <c r="AO21" s="21">
        <v>10</v>
      </c>
      <c r="AP21" s="21">
        <v>14</v>
      </c>
      <c r="AQ21" s="21">
        <v>4</v>
      </c>
      <c r="AR21" s="21">
        <v>6</v>
      </c>
      <c r="AS21" s="77"/>
      <c r="AT21" s="21">
        <v>2</v>
      </c>
      <c r="AU21" s="21">
        <v>6</v>
      </c>
      <c r="AV21" s="21">
        <v>6</v>
      </c>
      <c r="AW21" s="21">
        <v>7</v>
      </c>
      <c r="AX21" s="21">
        <v>6</v>
      </c>
      <c r="AY21" s="21">
        <v>0</v>
      </c>
      <c r="AZ21" s="77"/>
      <c r="BA21" s="21">
        <v>0</v>
      </c>
      <c r="BB21" s="21">
        <v>3</v>
      </c>
      <c r="BC21" s="21">
        <v>17</v>
      </c>
      <c r="BD21" s="144">
        <f t="shared" si="6"/>
        <v>126</v>
      </c>
      <c r="BE21" s="94">
        <f t="shared" si="7"/>
        <v>0</v>
      </c>
      <c r="BF21" s="26"/>
      <c r="BH21" s="141" t="s">
        <v>2307</v>
      </c>
      <c r="BI21" s="141" t="s">
        <v>2445</v>
      </c>
      <c r="BJ21" s="141" t="s">
        <v>2386</v>
      </c>
      <c r="BK21" s="141" t="s">
        <v>2387</v>
      </c>
      <c r="BL21" s="141" t="s">
        <v>2399</v>
      </c>
      <c r="BM21" s="141" t="s">
        <v>2400</v>
      </c>
      <c r="BN21" s="141" t="s">
        <v>2401</v>
      </c>
      <c r="BO21" s="141" t="s">
        <v>2402</v>
      </c>
      <c r="BP21" s="141" t="s">
        <v>2403</v>
      </c>
      <c r="BQ21" s="141" t="s">
        <v>2404</v>
      </c>
      <c r="BR21" s="141" t="s">
        <v>2446</v>
      </c>
      <c r="BS21" s="141" t="s">
        <v>2406</v>
      </c>
      <c r="BT21" s="141" t="s">
        <v>2390</v>
      </c>
      <c r="BU21" s="141" t="s">
        <v>2391</v>
      </c>
      <c r="BV21" s="141" t="s">
        <v>2392</v>
      </c>
      <c r="BW21" s="141" t="s">
        <v>2393</v>
      </c>
      <c r="BX21" s="141" t="s">
        <v>2407</v>
      </c>
      <c r="BY21" s="141" t="s">
        <v>2408</v>
      </c>
      <c r="BZ21" s="141" t="s">
        <v>2409</v>
      </c>
      <c r="CA21" s="141" t="s">
        <v>2410</v>
      </c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</row>
    <row r="22" spans="1:93" s="7" customFormat="1" x14ac:dyDescent="0.25">
      <c r="A22" s="19" t="s">
        <v>2298</v>
      </c>
      <c r="B22" s="19" t="s">
        <v>2299</v>
      </c>
      <c r="C22" s="19">
        <v>96101421</v>
      </c>
      <c r="D22" s="20">
        <v>96101421</v>
      </c>
      <c r="E22" s="21" t="s">
        <v>1860</v>
      </c>
      <c r="F22" s="21" t="s">
        <v>2318</v>
      </c>
      <c r="G22" s="21" t="s">
        <v>332</v>
      </c>
      <c r="H22" s="21" t="s">
        <v>234</v>
      </c>
      <c r="I22" s="21" t="s">
        <v>254</v>
      </c>
      <c r="J22" s="21" t="s">
        <v>2070</v>
      </c>
      <c r="K22" s="21" t="s">
        <v>2328</v>
      </c>
      <c r="L22" s="21" t="s">
        <v>2068</v>
      </c>
      <c r="M22" s="19" t="s">
        <v>2357</v>
      </c>
      <c r="N22" s="19"/>
      <c r="O22" s="35">
        <v>100</v>
      </c>
      <c r="P22" s="35">
        <v>60</v>
      </c>
      <c r="Q22" s="32"/>
      <c r="R22" s="22">
        <v>50</v>
      </c>
      <c r="S22" s="22">
        <v>50</v>
      </c>
      <c r="T22" s="22">
        <v>50</v>
      </c>
      <c r="U22" s="22">
        <v>50</v>
      </c>
      <c r="V22" s="60">
        <f t="shared" si="5"/>
        <v>200</v>
      </c>
      <c r="W22" s="86">
        <v>75</v>
      </c>
      <c r="X22" s="86">
        <v>75</v>
      </c>
      <c r="Y22" s="86"/>
      <c r="Z22" s="86"/>
      <c r="AA22" s="86">
        <v>150</v>
      </c>
      <c r="AB22" s="21">
        <v>10</v>
      </c>
      <c r="AC22" s="77"/>
      <c r="AD22" s="21">
        <v>10</v>
      </c>
      <c r="AE22" s="77"/>
      <c r="AF22" s="21">
        <v>10</v>
      </c>
      <c r="AG22" s="21">
        <v>10</v>
      </c>
      <c r="AH22" s="21">
        <v>10</v>
      </c>
      <c r="AI22" s="21">
        <v>12</v>
      </c>
      <c r="AJ22" s="21">
        <v>13</v>
      </c>
      <c r="AK22" s="21"/>
      <c r="AL22" s="77"/>
      <c r="AM22" s="21">
        <v>10</v>
      </c>
      <c r="AN22" s="21">
        <v>10</v>
      </c>
      <c r="AO22" s="21">
        <v>10</v>
      </c>
      <c r="AP22" s="21"/>
      <c r="AQ22" s="21"/>
      <c r="AR22" s="21"/>
      <c r="AS22" s="77"/>
      <c r="AT22" s="21">
        <v>10</v>
      </c>
      <c r="AU22" s="21">
        <v>8</v>
      </c>
      <c r="AV22" s="21">
        <v>9</v>
      </c>
      <c r="AW22" s="21">
        <v>11</v>
      </c>
      <c r="AX22" s="21">
        <v>5</v>
      </c>
      <c r="AY22" s="21"/>
      <c r="AZ22" s="77"/>
      <c r="BA22" s="21"/>
      <c r="BB22" s="21"/>
      <c r="BC22" s="21"/>
      <c r="BD22" s="144">
        <f t="shared" si="6"/>
        <v>148</v>
      </c>
      <c r="BE22" s="94">
        <f t="shared" si="7"/>
        <v>2</v>
      </c>
      <c r="BF22" s="26"/>
      <c r="BH22" s="141">
        <v>96101421</v>
      </c>
      <c r="BI22" s="141" t="s">
        <v>2357</v>
      </c>
      <c r="BJ22" s="141" t="s">
        <v>2386</v>
      </c>
      <c r="BK22" s="141" t="s">
        <v>2387</v>
      </c>
      <c r="BL22" s="141" t="s">
        <v>2399</v>
      </c>
      <c r="BM22" s="141" t="s">
        <v>2400</v>
      </c>
      <c r="BN22" s="141" t="s">
        <v>2401</v>
      </c>
      <c r="BO22" s="141" t="s">
        <v>2402</v>
      </c>
      <c r="BP22" s="141" t="s">
        <v>2403</v>
      </c>
      <c r="BQ22" s="141" t="s">
        <v>2404</v>
      </c>
      <c r="BR22" s="141" t="s">
        <v>2446</v>
      </c>
      <c r="BS22" s="141" t="s">
        <v>2406</v>
      </c>
      <c r="BT22" s="141" t="s">
        <v>2390</v>
      </c>
      <c r="BU22" s="141" t="s">
        <v>2391</v>
      </c>
      <c r="BV22" s="141" t="s">
        <v>2392</v>
      </c>
      <c r="BW22" s="141" t="s">
        <v>2393</v>
      </c>
      <c r="BX22" s="141" t="s">
        <v>2407</v>
      </c>
      <c r="BY22" s="141" t="s">
        <v>2408</v>
      </c>
      <c r="BZ22" s="141" t="s">
        <v>2409</v>
      </c>
      <c r="CA22" s="141" t="s">
        <v>2411</v>
      </c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</row>
    <row r="23" spans="1:93" s="7" customFormat="1" x14ac:dyDescent="0.25">
      <c r="A23" s="19" t="s">
        <v>2298</v>
      </c>
      <c r="B23" s="19" t="s">
        <v>2299</v>
      </c>
      <c r="C23" s="19">
        <v>96201441</v>
      </c>
      <c r="D23" s="20" t="s">
        <v>2308</v>
      </c>
      <c r="E23" s="21" t="s">
        <v>1860</v>
      </c>
      <c r="F23" s="21" t="s">
        <v>2320</v>
      </c>
      <c r="G23" s="21" t="s">
        <v>332</v>
      </c>
      <c r="H23" s="21" t="s">
        <v>234</v>
      </c>
      <c r="I23" s="21" t="s">
        <v>254</v>
      </c>
      <c r="J23" s="21" t="s">
        <v>2083</v>
      </c>
      <c r="K23" s="21" t="s">
        <v>2328</v>
      </c>
      <c r="L23" s="21" t="s">
        <v>2068</v>
      </c>
      <c r="M23" s="19" t="s">
        <v>2358</v>
      </c>
      <c r="N23" s="19"/>
      <c r="O23" s="35">
        <v>10</v>
      </c>
      <c r="P23" s="35">
        <v>10</v>
      </c>
      <c r="Q23" s="32"/>
      <c r="R23" s="22">
        <v>10</v>
      </c>
      <c r="S23" s="22">
        <v>5</v>
      </c>
      <c r="T23" s="22">
        <v>10</v>
      </c>
      <c r="U23" s="22">
        <v>5</v>
      </c>
      <c r="V23" s="60">
        <f t="shared" si="5"/>
        <v>30</v>
      </c>
      <c r="W23" s="86">
        <v>30</v>
      </c>
      <c r="X23" s="86"/>
      <c r="Y23" s="86"/>
      <c r="Z23" s="86"/>
      <c r="AA23" s="86">
        <v>30</v>
      </c>
      <c r="AB23" s="21"/>
      <c r="AC23" s="77"/>
      <c r="AD23" s="21"/>
      <c r="AE23" s="77"/>
      <c r="AF23" s="21"/>
      <c r="AG23" s="21">
        <v>5</v>
      </c>
      <c r="AH23" s="21">
        <v>5</v>
      </c>
      <c r="AI23" s="21">
        <v>5</v>
      </c>
      <c r="AJ23" s="21">
        <v>5</v>
      </c>
      <c r="AK23" s="21">
        <v>5</v>
      </c>
      <c r="AL23" s="77"/>
      <c r="AM23" s="21">
        <v>5</v>
      </c>
      <c r="AN23" s="21"/>
      <c r="AO23" s="21"/>
      <c r="AP23" s="21"/>
      <c r="AQ23" s="21"/>
      <c r="AR23" s="21"/>
      <c r="AS23" s="77"/>
      <c r="AT23" s="21"/>
      <c r="AU23" s="21"/>
      <c r="AV23" s="21"/>
      <c r="AW23" s="21"/>
      <c r="AX23" s="21"/>
      <c r="AY23" s="21"/>
      <c r="AZ23" s="77"/>
      <c r="BA23" s="21"/>
      <c r="BB23" s="21"/>
      <c r="BC23" s="21"/>
      <c r="BD23" s="144">
        <f t="shared" si="6"/>
        <v>30</v>
      </c>
      <c r="BE23" s="94">
        <f t="shared" si="7"/>
        <v>0</v>
      </c>
      <c r="BF23" s="26"/>
      <c r="BH23" s="141" t="s">
        <v>2308</v>
      </c>
      <c r="BI23" s="141" t="s">
        <v>2447</v>
      </c>
      <c r="BJ23" s="141" t="s">
        <v>2386</v>
      </c>
      <c r="BK23" s="141" t="s">
        <v>2387</v>
      </c>
      <c r="BL23" s="141" t="s">
        <v>2399</v>
      </c>
      <c r="BM23" s="141" t="s">
        <v>2400</v>
      </c>
      <c r="BN23" s="141" t="s">
        <v>2401</v>
      </c>
      <c r="BO23" s="141" t="s">
        <v>2402</v>
      </c>
      <c r="BP23" s="141" t="s">
        <v>2403</v>
      </c>
      <c r="BQ23" s="141" t="s">
        <v>2404</v>
      </c>
      <c r="BR23" s="141" t="s">
        <v>2446</v>
      </c>
      <c r="BS23" s="141" t="s">
        <v>2406</v>
      </c>
      <c r="BT23" s="141" t="s">
        <v>2390</v>
      </c>
      <c r="BU23" s="141" t="s">
        <v>2391</v>
      </c>
      <c r="BV23" s="141" t="s">
        <v>2392</v>
      </c>
      <c r="BW23" s="141" t="s">
        <v>2393</v>
      </c>
      <c r="BX23" s="141" t="s">
        <v>2407</v>
      </c>
      <c r="BY23" s="141" t="s">
        <v>2408</v>
      </c>
      <c r="BZ23" s="141" t="s">
        <v>2409</v>
      </c>
      <c r="CA23" s="141" t="s">
        <v>2410</v>
      </c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</row>
    <row r="24" spans="1:93" s="7" customFormat="1" x14ac:dyDescent="0.25">
      <c r="A24" s="19" t="s">
        <v>2298</v>
      </c>
      <c r="B24" s="19" t="s">
        <v>2299</v>
      </c>
      <c r="C24" s="19">
        <v>96101548</v>
      </c>
      <c r="D24" s="20">
        <v>96101548</v>
      </c>
      <c r="E24" s="21" t="s">
        <v>1860</v>
      </c>
      <c r="F24" s="21" t="s">
        <v>2318</v>
      </c>
      <c r="G24" s="21" t="s">
        <v>332</v>
      </c>
      <c r="H24" s="21" t="s">
        <v>234</v>
      </c>
      <c r="I24" s="21" t="s">
        <v>254</v>
      </c>
      <c r="J24" s="21" t="s">
        <v>2070</v>
      </c>
      <c r="K24" s="21" t="s">
        <v>2328</v>
      </c>
      <c r="L24" s="21" t="s">
        <v>2068</v>
      </c>
      <c r="M24" s="19" t="s">
        <v>2359</v>
      </c>
      <c r="N24" s="19"/>
      <c r="O24" s="35">
        <v>40</v>
      </c>
      <c r="P24" s="35">
        <v>20</v>
      </c>
      <c r="Q24" s="32"/>
      <c r="R24" s="22">
        <v>20</v>
      </c>
      <c r="S24" s="22">
        <v>20</v>
      </c>
      <c r="T24" s="22">
        <v>10</v>
      </c>
      <c r="U24" s="22">
        <v>10</v>
      </c>
      <c r="V24" s="60">
        <f t="shared" si="5"/>
        <v>60</v>
      </c>
      <c r="W24" s="86"/>
      <c r="X24" s="86"/>
      <c r="Y24" s="86">
        <v>25</v>
      </c>
      <c r="Z24" s="86">
        <v>25</v>
      </c>
      <c r="AA24" s="86">
        <v>50</v>
      </c>
      <c r="AB24" s="21"/>
      <c r="AC24" s="77"/>
      <c r="AD24" s="21"/>
      <c r="AE24" s="77"/>
      <c r="AF24" s="21"/>
      <c r="AG24" s="21"/>
      <c r="AH24" s="21"/>
      <c r="AI24" s="21"/>
      <c r="AJ24" s="21"/>
      <c r="AK24" s="21"/>
      <c r="AL24" s="77"/>
      <c r="AM24" s="21"/>
      <c r="AN24" s="21"/>
      <c r="AO24" s="21"/>
      <c r="AP24" s="21"/>
      <c r="AQ24" s="21"/>
      <c r="AR24" s="21"/>
      <c r="AS24" s="77"/>
      <c r="AT24" s="21"/>
      <c r="AU24" s="21"/>
      <c r="AV24" s="21"/>
      <c r="AW24" s="21">
        <v>2</v>
      </c>
      <c r="AX24" s="21">
        <v>6</v>
      </c>
      <c r="AY24" s="21">
        <v>6</v>
      </c>
      <c r="AZ24" s="77"/>
      <c r="BA24" s="21">
        <v>6</v>
      </c>
      <c r="BB24" s="21">
        <v>4</v>
      </c>
      <c r="BC24" s="21">
        <v>8</v>
      </c>
      <c r="BD24" s="144">
        <f t="shared" si="6"/>
        <v>32</v>
      </c>
      <c r="BE24" s="94">
        <f t="shared" si="7"/>
        <v>18</v>
      </c>
      <c r="BF24" s="26"/>
      <c r="BH24" s="141">
        <v>96101548</v>
      </c>
      <c r="BI24" s="141" t="s">
        <v>2359</v>
      </c>
      <c r="BJ24" s="141" t="s">
        <v>2386</v>
      </c>
      <c r="BK24" s="141" t="s">
        <v>2387</v>
      </c>
      <c r="BL24" s="141" t="s">
        <v>2413</v>
      </c>
      <c r="BM24" s="141" t="s">
        <v>2414</v>
      </c>
      <c r="BN24" s="141" t="s">
        <v>2401</v>
      </c>
      <c r="BO24" s="141" t="s">
        <v>2402</v>
      </c>
      <c r="BP24" s="141" t="s">
        <v>2403</v>
      </c>
      <c r="BQ24" s="141" t="s">
        <v>2404</v>
      </c>
      <c r="BR24" s="141" t="s">
        <v>2448</v>
      </c>
      <c r="BS24" s="141" t="s">
        <v>2406</v>
      </c>
      <c r="BT24" s="141" t="s">
        <v>2390</v>
      </c>
      <c r="BU24" s="141" t="s">
        <v>2391</v>
      </c>
      <c r="BV24" s="141" t="s">
        <v>2392</v>
      </c>
      <c r="BW24" s="141" t="s">
        <v>2393</v>
      </c>
      <c r="BX24" s="141" t="s">
        <v>2416</v>
      </c>
      <c r="BY24" s="141" t="s">
        <v>2417</v>
      </c>
      <c r="BZ24" s="141" t="s">
        <v>2418</v>
      </c>
      <c r="CA24" s="141" t="s">
        <v>2411</v>
      </c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</row>
    <row r="25" spans="1:93" s="7" customFormat="1" x14ac:dyDescent="0.25">
      <c r="A25" s="19" t="s">
        <v>2298</v>
      </c>
      <c r="B25" s="19" t="s">
        <v>2299</v>
      </c>
      <c r="C25" s="19">
        <v>96201440</v>
      </c>
      <c r="D25" s="20">
        <v>96201440</v>
      </c>
      <c r="E25" s="21" t="s">
        <v>1860</v>
      </c>
      <c r="F25" s="21" t="s">
        <v>2320</v>
      </c>
      <c r="G25" s="21" t="s">
        <v>332</v>
      </c>
      <c r="H25" s="21" t="s">
        <v>234</v>
      </c>
      <c r="I25" s="21" t="s">
        <v>254</v>
      </c>
      <c r="J25" s="21" t="s">
        <v>2070</v>
      </c>
      <c r="K25" s="21" t="s">
        <v>2328</v>
      </c>
      <c r="L25" s="21" t="s">
        <v>2068</v>
      </c>
      <c r="M25" s="19" t="s">
        <v>2360</v>
      </c>
      <c r="N25" s="19"/>
      <c r="O25" s="35">
        <v>40</v>
      </c>
      <c r="P25" s="35">
        <v>30</v>
      </c>
      <c r="Q25" s="32"/>
      <c r="R25" s="22">
        <v>20</v>
      </c>
      <c r="S25" s="22">
        <v>20</v>
      </c>
      <c r="T25" s="22">
        <v>20</v>
      </c>
      <c r="U25" s="22">
        <v>10</v>
      </c>
      <c r="V25" s="60">
        <f t="shared" si="5"/>
        <v>70</v>
      </c>
      <c r="W25" s="86">
        <v>55</v>
      </c>
      <c r="X25" s="86"/>
      <c r="Y25" s="86"/>
      <c r="Z25" s="86"/>
      <c r="AA25" s="86">
        <v>55</v>
      </c>
      <c r="AB25" s="21">
        <v>10</v>
      </c>
      <c r="AC25" s="77"/>
      <c r="AD25" s="21">
        <v>10</v>
      </c>
      <c r="AE25" s="77"/>
      <c r="AF25" s="21">
        <v>10</v>
      </c>
      <c r="AG25" s="21">
        <v>5</v>
      </c>
      <c r="AH25" s="21">
        <v>10</v>
      </c>
      <c r="AI25" s="21">
        <v>5</v>
      </c>
      <c r="AJ25" s="21"/>
      <c r="AK25" s="21">
        <v>5</v>
      </c>
      <c r="AL25" s="77"/>
      <c r="AM25" s="21"/>
      <c r="AN25" s="21"/>
      <c r="AO25" s="21"/>
      <c r="AP25" s="21"/>
      <c r="AQ25" s="21"/>
      <c r="AR25" s="21"/>
      <c r="AS25" s="77"/>
      <c r="AT25" s="21"/>
      <c r="AU25" s="21"/>
      <c r="AV25" s="21"/>
      <c r="AW25" s="21"/>
      <c r="AX25" s="21"/>
      <c r="AY25" s="21"/>
      <c r="AZ25" s="77"/>
      <c r="BA25" s="21"/>
      <c r="BB25" s="21"/>
      <c r="BC25" s="21"/>
      <c r="BD25" s="144">
        <f t="shared" si="6"/>
        <v>55</v>
      </c>
      <c r="BE25" s="94">
        <f t="shared" si="7"/>
        <v>0</v>
      </c>
      <c r="BF25" s="26"/>
      <c r="BH25" s="141">
        <v>96201440</v>
      </c>
      <c r="BI25" s="141" t="s">
        <v>2360</v>
      </c>
      <c r="BJ25" s="141" t="s">
        <v>2386</v>
      </c>
      <c r="BK25" s="141" t="s">
        <v>2387</v>
      </c>
      <c r="BL25" s="141" t="s">
        <v>2399</v>
      </c>
      <c r="BM25" s="141" t="s">
        <v>2400</v>
      </c>
      <c r="BN25" s="141" t="s">
        <v>2401</v>
      </c>
      <c r="BO25" s="141" t="s">
        <v>2402</v>
      </c>
      <c r="BP25" s="141" t="s">
        <v>2403</v>
      </c>
      <c r="BQ25" s="141" t="s">
        <v>2404</v>
      </c>
      <c r="BR25" s="141" t="s">
        <v>2446</v>
      </c>
      <c r="BS25" s="141" t="s">
        <v>2406</v>
      </c>
      <c r="BT25" s="141" t="s">
        <v>2390</v>
      </c>
      <c r="BU25" s="141" t="s">
        <v>2391</v>
      </c>
      <c r="BV25" s="141" t="s">
        <v>2392</v>
      </c>
      <c r="BW25" s="141" t="s">
        <v>2393</v>
      </c>
      <c r="BX25" s="141" t="s">
        <v>2407</v>
      </c>
      <c r="BY25" s="141" t="s">
        <v>2408</v>
      </c>
      <c r="BZ25" s="141" t="s">
        <v>2409</v>
      </c>
      <c r="CA25" s="141" t="s">
        <v>2411</v>
      </c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</row>
    <row r="26" spans="1:93" s="7" customFormat="1" x14ac:dyDescent="0.25">
      <c r="A26" s="19" t="s">
        <v>2298</v>
      </c>
      <c r="B26" s="19" t="s">
        <v>2299</v>
      </c>
      <c r="C26" s="19">
        <v>96201442</v>
      </c>
      <c r="D26" s="20" t="s">
        <v>2308</v>
      </c>
      <c r="E26" s="21" t="s">
        <v>1860</v>
      </c>
      <c r="F26" s="21" t="s">
        <v>2320</v>
      </c>
      <c r="G26" s="21" t="s">
        <v>332</v>
      </c>
      <c r="H26" s="21" t="s">
        <v>2319</v>
      </c>
      <c r="I26" s="21" t="s">
        <v>254</v>
      </c>
      <c r="J26" s="21" t="s">
        <v>2083</v>
      </c>
      <c r="K26" s="21" t="s">
        <v>2328</v>
      </c>
      <c r="L26" s="21" t="s">
        <v>2068</v>
      </c>
      <c r="M26" s="19" t="s">
        <v>2361</v>
      </c>
      <c r="N26" s="19"/>
      <c r="O26" s="35">
        <v>10</v>
      </c>
      <c r="P26" s="35">
        <v>10</v>
      </c>
      <c r="Q26" s="32"/>
      <c r="R26" s="22">
        <v>5</v>
      </c>
      <c r="S26" s="22">
        <v>10</v>
      </c>
      <c r="T26" s="22">
        <v>5</v>
      </c>
      <c r="U26" s="22">
        <v>5</v>
      </c>
      <c r="V26" s="60">
        <f t="shared" si="5"/>
        <v>25</v>
      </c>
      <c r="W26" s="86">
        <v>25</v>
      </c>
      <c r="X26" s="86"/>
      <c r="Y26" s="86"/>
      <c r="Z26" s="86"/>
      <c r="AA26" s="86">
        <v>25</v>
      </c>
      <c r="AB26" s="21"/>
      <c r="AC26" s="77"/>
      <c r="AD26" s="21"/>
      <c r="AE26" s="77"/>
      <c r="AF26" s="21"/>
      <c r="AG26" s="21"/>
      <c r="AH26" s="21"/>
      <c r="AI26" s="21"/>
      <c r="AJ26" s="21"/>
      <c r="AK26" s="21"/>
      <c r="AL26" s="77"/>
      <c r="AM26" s="21">
        <v>1</v>
      </c>
      <c r="AN26" s="21">
        <v>1</v>
      </c>
      <c r="AO26" s="21">
        <v>1</v>
      </c>
      <c r="AP26" s="21">
        <v>2</v>
      </c>
      <c r="AQ26" s="21">
        <v>2</v>
      </c>
      <c r="AR26" s="21">
        <v>2</v>
      </c>
      <c r="AS26" s="77"/>
      <c r="AT26" s="21">
        <v>2</v>
      </c>
      <c r="AU26" s="21">
        <v>2</v>
      </c>
      <c r="AV26" s="21">
        <v>2</v>
      </c>
      <c r="AW26" s="21">
        <v>2</v>
      </c>
      <c r="AX26" s="21">
        <v>2</v>
      </c>
      <c r="AY26" s="21">
        <v>2</v>
      </c>
      <c r="AZ26" s="77"/>
      <c r="BA26" s="21">
        <v>2</v>
      </c>
      <c r="BB26" s="21">
        <v>1</v>
      </c>
      <c r="BC26" s="21">
        <v>1</v>
      </c>
      <c r="BD26" s="144">
        <f t="shared" si="6"/>
        <v>25</v>
      </c>
      <c r="BE26" s="94">
        <f t="shared" si="7"/>
        <v>0</v>
      </c>
      <c r="BF26" s="26"/>
      <c r="BH26" s="141" t="s">
        <v>2308</v>
      </c>
      <c r="BI26" s="141" t="s">
        <v>2447</v>
      </c>
      <c r="BJ26" s="141" t="s">
        <v>2386</v>
      </c>
      <c r="BK26" s="141" t="s">
        <v>2387</v>
      </c>
      <c r="BL26" s="141" t="s">
        <v>2399</v>
      </c>
      <c r="BM26" s="141" t="s">
        <v>2400</v>
      </c>
      <c r="BN26" s="141" t="s">
        <v>2401</v>
      </c>
      <c r="BO26" s="141" t="s">
        <v>2402</v>
      </c>
      <c r="BP26" s="141" t="s">
        <v>2403</v>
      </c>
      <c r="BQ26" s="141" t="s">
        <v>2404</v>
      </c>
      <c r="BR26" s="141" t="s">
        <v>2446</v>
      </c>
      <c r="BS26" s="141" t="s">
        <v>2406</v>
      </c>
      <c r="BT26" s="141" t="s">
        <v>2390</v>
      </c>
      <c r="BU26" s="141" t="s">
        <v>2391</v>
      </c>
      <c r="BV26" s="141" t="s">
        <v>2392</v>
      </c>
      <c r="BW26" s="141" t="s">
        <v>2393</v>
      </c>
      <c r="BX26" s="141" t="s">
        <v>2407</v>
      </c>
      <c r="BY26" s="141" t="s">
        <v>2408</v>
      </c>
      <c r="BZ26" s="141" t="s">
        <v>2409</v>
      </c>
      <c r="CA26" s="141" t="s">
        <v>2410</v>
      </c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</row>
    <row r="27" spans="1:93" s="7" customFormat="1" x14ac:dyDescent="0.25">
      <c r="A27" s="19" t="s">
        <v>2298</v>
      </c>
      <c r="B27" s="19" t="s">
        <v>2299</v>
      </c>
      <c r="C27" s="19">
        <v>96101550</v>
      </c>
      <c r="D27" s="20" t="s">
        <v>2309</v>
      </c>
      <c r="E27" s="21" t="s">
        <v>1860</v>
      </c>
      <c r="F27" s="21" t="s">
        <v>2318</v>
      </c>
      <c r="G27" s="21" t="s">
        <v>332</v>
      </c>
      <c r="H27" s="21" t="s">
        <v>234</v>
      </c>
      <c r="I27" s="21" t="s">
        <v>254</v>
      </c>
      <c r="J27" s="21" t="s">
        <v>2083</v>
      </c>
      <c r="K27" s="21" t="s">
        <v>2328</v>
      </c>
      <c r="L27" s="21" t="s">
        <v>2068</v>
      </c>
      <c r="M27" s="19" t="s">
        <v>2362</v>
      </c>
      <c r="N27" s="19"/>
      <c r="O27" s="35">
        <v>15</v>
      </c>
      <c r="P27" s="35">
        <v>20</v>
      </c>
      <c r="Q27" s="32"/>
      <c r="R27" s="22">
        <v>10</v>
      </c>
      <c r="S27" s="22">
        <v>5</v>
      </c>
      <c r="T27" s="22">
        <v>5</v>
      </c>
      <c r="U27" s="22">
        <v>0</v>
      </c>
      <c r="V27" s="60">
        <f t="shared" si="5"/>
        <v>20</v>
      </c>
      <c r="W27" s="86"/>
      <c r="X27" s="86"/>
      <c r="Y27" s="86">
        <v>20</v>
      </c>
      <c r="Z27" s="86"/>
      <c r="AA27" s="86">
        <v>20</v>
      </c>
      <c r="AB27" s="21"/>
      <c r="AC27" s="77"/>
      <c r="AD27" s="21"/>
      <c r="AE27" s="77"/>
      <c r="AF27" s="21"/>
      <c r="AG27" s="21"/>
      <c r="AH27" s="21"/>
      <c r="AI27" s="21"/>
      <c r="AJ27" s="21"/>
      <c r="AK27" s="21"/>
      <c r="AL27" s="77"/>
      <c r="AM27" s="21"/>
      <c r="AN27" s="21"/>
      <c r="AO27" s="21"/>
      <c r="AP27" s="21"/>
      <c r="AQ27" s="21"/>
      <c r="AR27" s="21"/>
      <c r="AS27" s="77"/>
      <c r="AT27" s="21"/>
      <c r="AU27" s="21"/>
      <c r="AV27" s="21"/>
      <c r="AW27" s="21">
        <v>5</v>
      </c>
      <c r="AX27" s="21">
        <v>5</v>
      </c>
      <c r="AY27" s="21">
        <v>5</v>
      </c>
      <c r="AZ27" s="77"/>
      <c r="BA27" s="21">
        <v>5</v>
      </c>
      <c r="BB27" s="21"/>
      <c r="BC27" s="21"/>
      <c r="BD27" s="144">
        <f t="shared" si="6"/>
        <v>20</v>
      </c>
      <c r="BE27" s="94">
        <f t="shared" si="7"/>
        <v>0</v>
      </c>
      <c r="BF27" s="26"/>
      <c r="BH27" s="141" t="s">
        <v>2309</v>
      </c>
      <c r="BI27" s="141" t="s">
        <v>2449</v>
      </c>
      <c r="BJ27" s="141" t="s">
        <v>2386</v>
      </c>
      <c r="BK27" s="141" t="s">
        <v>2387</v>
      </c>
      <c r="BL27" s="141" t="s">
        <v>2413</v>
      </c>
      <c r="BM27" s="141" t="s">
        <v>2414</v>
      </c>
      <c r="BN27" s="141" t="s">
        <v>2401</v>
      </c>
      <c r="BO27" s="141" t="s">
        <v>2402</v>
      </c>
      <c r="BP27" s="141" t="s">
        <v>2403</v>
      </c>
      <c r="BQ27" s="141" t="s">
        <v>2404</v>
      </c>
      <c r="BR27" s="141" t="s">
        <v>2448</v>
      </c>
      <c r="BS27" s="141" t="s">
        <v>2406</v>
      </c>
      <c r="BT27" s="141" t="s">
        <v>2390</v>
      </c>
      <c r="BU27" s="141" t="s">
        <v>2391</v>
      </c>
      <c r="BV27" s="141" t="s">
        <v>2392</v>
      </c>
      <c r="BW27" s="141" t="s">
        <v>2393</v>
      </c>
      <c r="BX27" s="141" t="s">
        <v>2416</v>
      </c>
      <c r="BY27" s="141" t="s">
        <v>2417</v>
      </c>
      <c r="BZ27" s="141" t="s">
        <v>2418</v>
      </c>
      <c r="CA27" s="141" t="s">
        <v>2410</v>
      </c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</row>
    <row r="28" spans="1:93" s="7" customFormat="1" x14ac:dyDescent="0.25">
      <c r="A28" s="19" t="s">
        <v>2298</v>
      </c>
      <c r="B28" s="19" t="s">
        <v>2299</v>
      </c>
      <c r="C28" s="19">
        <v>96101551</v>
      </c>
      <c r="D28" s="20" t="s">
        <v>2309</v>
      </c>
      <c r="E28" s="21" t="s">
        <v>1860</v>
      </c>
      <c r="F28" s="21" t="s">
        <v>2318</v>
      </c>
      <c r="G28" s="21" t="s">
        <v>332</v>
      </c>
      <c r="H28" s="21" t="s">
        <v>2319</v>
      </c>
      <c r="I28" s="21" t="s">
        <v>254</v>
      </c>
      <c r="J28" s="21" t="s">
        <v>2083</v>
      </c>
      <c r="K28" s="21" t="s">
        <v>2328</v>
      </c>
      <c r="L28" s="21" t="s">
        <v>2068</v>
      </c>
      <c r="M28" s="19" t="s">
        <v>2363</v>
      </c>
      <c r="N28" s="19"/>
      <c r="O28" s="35">
        <v>15</v>
      </c>
      <c r="P28" s="35">
        <v>20</v>
      </c>
      <c r="Q28" s="32"/>
      <c r="R28" s="22">
        <v>10</v>
      </c>
      <c r="S28" s="22">
        <v>5</v>
      </c>
      <c r="T28" s="22">
        <v>5</v>
      </c>
      <c r="U28" s="22">
        <v>0</v>
      </c>
      <c r="V28" s="60">
        <f t="shared" si="5"/>
        <v>20</v>
      </c>
      <c r="W28" s="86"/>
      <c r="X28" s="86"/>
      <c r="Y28" s="86">
        <v>20</v>
      </c>
      <c r="Z28" s="86"/>
      <c r="AA28" s="86">
        <v>20</v>
      </c>
      <c r="AB28" s="21"/>
      <c r="AC28" s="77"/>
      <c r="AD28" s="21"/>
      <c r="AE28" s="77"/>
      <c r="AF28" s="21"/>
      <c r="AG28" s="21"/>
      <c r="AH28" s="21"/>
      <c r="AI28" s="21"/>
      <c r="AJ28" s="21"/>
      <c r="AK28" s="21"/>
      <c r="AL28" s="77"/>
      <c r="AM28" s="21"/>
      <c r="AN28" s="21"/>
      <c r="AO28" s="21"/>
      <c r="AP28" s="21"/>
      <c r="AQ28" s="21"/>
      <c r="AR28" s="21"/>
      <c r="AS28" s="77"/>
      <c r="AT28" s="21"/>
      <c r="AU28" s="21"/>
      <c r="AV28" s="21"/>
      <c r="AW28" s="21"/>
      <c r="AX28" s="21">
        <v>5</v>
      </c>
      <c r="AY28" s="21">
        <v>5</v>
      </c>
      <c r="AZ28" s="77"/>
      <c r="BA28" s="21">
        <v>5</v>
      </c>
      <c r="BB28" s="21">
        <v>5</v>
      </c>
      <c r="BC28" s="21"/>
      <c r="BD28" s="144">
        <f t="shared" si="6"/>
        <v>20</v>
      </c>
      <c r="BE28" s="94">
        <f t="shared" si="7"/>
        <v>0</v>
      </c>
      <c r="BF28" s="26"/>
      <c r="BH28" s="141" t="s">
        <v>2309</v>
      </c>
      <c r="BI28" s="141" t="s">
        <v>2449</v>
      </c>
      <c r="BJ28" s="141" t="s">
        <v>2386</v>
      </c>
      <c r="BK28" s="141" t="s">
        <v>2387</v>
      </c>
      <c r="BL28" s="141" t="s">
        <v>2413</v>
      </c>
      <c r="BM28" s="141" t="s">
        <v>2414</v>
      </c>
      <c r="BN28" s="141" t="s">
        <v>2401</v>
      </c>
      <c r="BO28" s="141" t="s">
        <v>2402</v>
      </c>
      <c r="BP28" s="141" t="s">
        <v>2403</v>
      </c>
      <c r="BQ28" s="141" t="s">
        <v>2404</v>
      </c>
      <c r="BR28" s="141" t="s">
        <v>2448</v>
      </c>
      <c r="BS28" s="141" t="s">
        <v>2406</v>
      </c>
      <c r="BT28" s="141" t="s">
        <v>2390</v>
      </c>
      <c r="BU28" s="141" t="s">
        <v>2391</v>
      </c>
      <c r="BV28" s="141" t="s">
        <v>2392</v>
      </c>
      <c r="BW28" s="141" t="s">
        <v>2393</v>
      </c>
      <c r="BX28" s="141" t="s">
        <v>2416</v>
      </c>
      <c r="BY28" s="141" t="s">
        <v>2417</v>
      </c>
      <c r="BZ28" s="141" t="s">
        <v>2418</v>
      </c>
      <c r="CA28" s="141" t="s">
        <v>2410</v>
      </c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</row>
    <row r="29" spans="1:93" s="7" customFormat="1" x14ac:dyDescent="0.25">
      <c r="A29" s="19" t="s">
        <v>2298</v>
      </c>
      <c r="B29" s="19" t="s">
        <v>2299</v>
      </c>
      <c r="C29" s="19">
        <v>96101367</v>
      </c>
      <c r="D29" s="20" t="s">
        <v>2310</v>
      </c>
      <c r="E29" s="21" t="s">
        <v>1860</v>
      </c>
      <c r="F29" s="21" t="s">
        <v>2318</v>
      </c>
      <c r="G29" s="21" t="s">
        <v>332</v>
      </c>
      <c r="H29" s="21" t="s">
        <v>2319</v>
      </c>
      <c r="I29" s="21" t="s">
        <v>254</v>
      </c>
      <c r="J29" s="21" t="s">
        <v>2083</v>
      </c>
      <c r="K29" s="21" t="s">
        <v>2328</v>
      </c>
      <c r="L29" s="21" t="s">
        <v>2068</v>
      </c>
      <c r="M29" s="19" t="s">
        <v>2364</v>
      </c>
      <c r="N29" s="19"/>
      <c r="O29" s="35">
        <v>40</v>
      </c>
      <c r="P29" s="35">
        <v>20</v>
      </c>
      <c r="Q29" s="32"/>
      <c r="R29" s="22">
        <v>20</v>
      </c>
      <c r="S29" s="22">
        <v>10</v>
      </c>
      <c r="T29" s="22">
        <v>15</v>
      </c>
      <c r="U29" s="22">
        <v>10</v>
      </c>
      <c r="V29" s="60">
        <f t="shared" si="5"/>
        <v>55</v>
      </c>
      <c r="W29" s="86">
        <v>45</v>
      </c>
      <c r="X29" s="86"/>
      <c r="Y29" s="86"/>
      <c r="Z29" s="86"/>
      <c r="AA29" s="86">
        <v>45</v>
      </c>
      <c r="AB29" s="21"/>
      <c r="AC29" s="77"/>
      <c r="AD29" s="21"/>
      <c r="AE29" s="77"/>
      <c r="AF29" s="21">
        <v>5</v>
      </c>
      <c r="AG29" s="21">
        <v>5</v>
      </c>
      <c r="AH29" s="21">
        <v>5</v>
      </c>
      <c r="AI29" s="21">
        <v>5</v>
      </c>
      <c r="AJ29" s="21">
        <v>5</v>
      </c>
      <c r="AK29" s="21">
        <v>5</v>
      </c>
      <c r="AL29" s="77"/>
      <c r="AM29" s="21">
        <v>5</v>
      </c>
      <c r="AN29" s="21">
        <v>5</v>
      </c>
      <c r="AO29" s="21">
        <v>5</v>
      </c>
      <c r="AP29" s="21"/>
      <c r="AQ29" s="21"/>
      <c r="AR29" s="21"/>
      <c r="AS29" s="77"/>
      <c r="AT29" s="21"/>
      <c r="AU29" s="21"/>
      <c r="AV29" s="21"/>
      <c r="AW29" s="21"/>
      <c r="AX29" s="21"/>
      <c r="AY29" s="21"/>
      <c r="AZ29" s="77"/>
      <c r="BA29" s="21"/>
      <c r="BB29" s="21"/>
      <c r="BC29" s="21"/>
      <c r="BD29" s="144">
        <f t="shared" si="6"/>
        <v>45</v>
      </c>
      <c r="BE29" s="94">
        <f t="shared" si="7"/>
        <v>0</v>
      </c>
      <c r="BF29" s="26"/>
      <c r="BH29" s="141" t="s">
        <v>2310</v>
      </c>
      <c r="BI29" s="141" t="s">
        <v>2445</v>
      </c>
      <c r="BJ29" s="141" t="s">
        <v>2386</v>
      </c>
      <c r="BK29" s="141" t="s">
        <v>2387</v>
      </c>
      <c r="BL29" s="141" t="s">
        <v>2399</v>
      </c>
      <c r="BM29" s="141" t="s">
        <v>2400</v>
      </c>
      <c r="BN29" s="141" t="s">
        <v>2401</v>
      </c>
      <c r="BO29" s="141" t="s">
        <v>2402</v>
      </c>
      <c r="BP29" s="141" t="s">
        <v>2403</v>
      </c>
      <c r="BQ29" s="141" t="s">
        <v>2404</v>
      </c>
      <c r="BR29" s="141" t="s">
        <v>2446</v>
      </c>
      <c r="BS29" s="141" t="s">
        <v>2406</v>
      </c>
      <c r="BT29" s="141" t="s">
        <v>2390</v>
      </c>
      <c r="BU29" s="141" t="s">
        <v>2391</v>
      </c>
      <c r="BV29" s="141" t="s">
        <v>2392</v>
      </c>
      <c r="BW29" s="141" t="s">
        <v>2393</v>
      </c>
      <c r="BX29" s="141" t="s">
        <v>2407</v>
      </c>
      <c r="BY29" s="141" t="s">
        <v>2408</v>
      </c>
      <c r="BZ29" s="141" t="s">
        <v>2409</v>
      </c>
      <c r="CA29" s="141" t="s">
        <v>2410</v>
      </c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</row>
    <row r="30" spans="1:93" s="7" customFormat="1" x14ac:dyDescent="0.25">
      <c r="A30" s="19" t="s">
        <v>2298</v>
      </c>
      <c r="B30" s="19" t="s">
        <v>2299</v>
      </c>
      <c r="C30" s="19">
        <v>96101422</v>
      </c>
      <c r="D30" s="20">
        <v>96101422</v>
      </c>
      <c r="E30" s="21" t="s">
        <v>1860</v>
      </c>
      <c r="F30" s="21" t="s">
        <v>2318</v>
      </c>
      <c r="G30" s="21" t="s">
        <v>332</v>
      </c>
      <c r="H30" s="21" t="s">
        <v>2319</v>
      </c>
      <c r="I30" s="21" t="s">
        <v>254</v>
      </c>
      <c r="J30" s="21" t="s">
        <v>2070</v>
      </c>
      <c r="K30" s="21" t="s">
        <v>2328</v>
      </c>
      <c r="L30" s="21" t="s">
        <v>2068</v>
      </c>
      <c r="M30" s="19" t="s">
        <v>2365</v>
      </c>
      <c r="N30" s="19"/>
      <c r="O30" s="35">
        <v>10</v>
      </c>
      <c r="P30" s="35">
        <v>10</v>
      </c>
      <c r="Q30" s="32"/>
      <c r="R30" s="22">
        <v>10</v>
      </c>
      <c r="S30" s="22">
        <v>10</v>
      </c>
      <c r="T30" s="22">
        <v>15</v>
      </c>
      <c r="U30" s="22">
        <v>10</v>
      </c>
      <c r="V30" s="60">
        <f t="shared" si="5"/>
        <v>45</v>
      </c>
      <c r="W30" s="86">
        <v>40</v>
      </c>
      <c r="X30" s="86"/>
      <c r="Y30" s="86"/>
      <c r="Z30" s="86"/>
      <c r="AA30" s="86">
        <v>40</v>
      </c>
      <c r="AB30" s="21"/>
      <c r="AC30" s="77"/>
      <c r="AD30" s="21"/>
      <c r="AE30" s="77"/>
      <c r="AF30" s="21"/>
      <c r="AG30" s="21"/>
      <c r="AH30" s="21"/>
      <c r="AI30" s="21"/>
      <c r="AJ30" s="21">
        <v>10</v>
      </c>
      <c r="AK30" s="21">
        <v>20</v>
      </c>
      <c r="AL30" s="77"/>
      <c r="AM30" s="21">
        <v>10</v>
      </c>
      <c r="AN30" s="21"/>
      <c r="AO30" s="21"/>
      <c r="AP30" s="21"/>
      <c r="AQ30" s="21"/>
      <c r="AR30" s="21"/>
      <c r="AS30" s="77"/>
      <c r="AT30" s="21"/>
      <c r="AU30" s="21"/>
      <c r="AV30" s="21"/>
      <c r="AW30" s="21"/>
      <c r="AX30" s="21"/>
      <c r="AY30" s="21"/>
      <c r="AZ30" s="77"/>
      <c r="BA30" s="21"/>
      <c r="BB30" s="21"/>
      <c r="BC30" s="21"/>
      <c r="BD30" s="144">
        <f t="shared" si="6"/>
        <v>40</v>
      </c>
      <c r="BE30" s="94">
        <f t="shared" si="7"/>
        <v>0</v>
      </c>
      <c r="BF30" s="26"/>
      <c r="BH30" s="141">
        <v>96101422</v>
      </c>
      <c r="BI30" s="141" t="s">
        <v>2365</v>
      </c>
      <c r="BJ30" s="141" t="s">
        <v>2386</v>
      </c>
      <c r="BK30" s="141" t="s">
        <v>2387</v>
      </c>
      <c r="BL30" s="141" t="s">
        <v>2399</v>
      </c>
      <c r="BM30" s="141" t="s">
        <v>2400</v>
      </c>
      <c r="BN30" s="141" t="s">
        <v>2401</v>
      </c>
      <c r="BO30" s="141" t="s">
        <v>2402</v>
      </c>
      <c r="BP30" s="141" t="s">
        <v>2403</v>
      </c>
      <c r="BQ30" s="141" t="s">
        <v>2404</v>
      </c>
      <c r="BR30" s="141" t="s">
        <v>2446</v>
      </c>
      <c r="BS30" s="141" t="s">
        <v>2406</v>
      </c>
      <c r="BT30" s="141" t="s">
        <v>2390</v>
      </c>
      <c r="BU30" s="141" t="s">
        <v>2391</v>
      </c>
      <c r="BV30" s="141" t="s">
        <v>2392</v>
      </c>
      <c r="BW30" s="141" t="s">
        <v>2393</v>
      </c>
      <c r="BX30" s="141" t="s">
        <v>2407</v>
      </c>
      <c r="BY30" s="141" t="s">
        <v>2408</v>
      </c>
      <c r="BZ30" s="141" t="s">
        <v>2409</v>
      </c>
      <c r="CA30" s="141" t="s">
        <v>2411</v>
      </c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</row>
    <row r="31" spans="1:93" s="7" customFormat="1" x14ac:dyDescent="0.25">
      <c r="A31" s="19" t="s">
        <v>2298</v>
      </c>
      <c r="B31" s="19" t="s">
        <v>2299</v>
      </c>
      <c r="C31" s="19">
        <v>96201369</v>
      </c>
      <c r="D31" s="20">
        <v>96201369</v>
      </c>
      <c r="E31" s="21" t="s">
        <v>1860</v>
      </c>
      <c r="F31" s="21" t="s">
        <v>2320</v>
      </c>
      <c r="G31" s="21" t="s">
        <v>332</v>
      </c>
      <c r="H31" s="21" t="s">
        <v>2319</v>
      </c>
      <c r="I31" s="21" t="s">
        <v>254</v>
      </c>
      <c r="J31" s="21" t="s">
        <v>2070</v>
      </c>
      <c r="K31" s="21" t="s">
        <v>2328</v>
      </c>
      <c r="L31" s="21" t="s">
        <v>2068</v>
      </c>
      <c r="M31" s="19" t="s">
        <v>2366</v>
      </c>
      <c r="N31" s="19"/>
      <c r="O31" s="35">
        <v>10</v>
      </c>
      <c r="P31" s="35">
        <v>10</v>
      </c>
      <c r="Q31" s="32"/>
      <c r="R31" s="22">
        <v>5</v>
      </c>
      <c r="S31" s="22">
        <v>10</v>
      </c>
      <c r="T31" s="22">
        <v>5</v>
      </c>
      <c r="U31" s="22">
        <v>5</v>
      </c>
      <c r="V31" s="60">
        <f t="shared" si="5"/>
        <v>25</v>
      </c>
      <c r="W31" s="86">
        <v>14</v>
      </c>
      <c r="X31" s="86">
        <v>11</v>
      </c>
      <c r="Y31" s="86"/>
      <c r="Z31" s="86"/>
      <c r="AA31" s="86">
        <v>25</v>
      </c>
      <c r="AB31" s="21"/>
      <c r="AC31" s="77"/>
      <c r="AD31" s="21"/>
      <c r="AE31" s="77"/>
      <c r="AF31" s="21"/>
      <c r="AG31" s="21"/>
      <c r="AH31" s="21"/>
      <c r="AI31" s="21"/>
      <c r="AJ31" s="21"/>
      <c r="AK31" s="21">
        <v>8</v>
      </c>
      <c r="AL31" s="77"/>
      <c r="AM31" s="21">
        <v>6</v>
      </c>
      <c r="AN31" s="21">
        <v>3</v>
      </c>
      <c r="AO31" s="21">
        <v>2</v>
      </c>
      <c r="AP31" s="21">
        <v>2</v>
      </c>
      <c r="AQ31" s="21">
        <v>2</v>
      </c>
      <c r="AR31" s="21">
        <v>2</v>
      </c>
      <c r="AS31" s="77"/>
      <c r="AT31" s="21"/>
      <c r="AU31" s="21"/>
      <c r="AV31" s="21"/>
      <c r="AW31" s="21"/>
      <c r="AX31" s="21"/>
      <c r="AY31" s="21"/>
      <c r="AZ31" s="77"/>
      <c r="BA31" s="21"/>
      <c r="BB31" s="21"/>
      <c r="BC31" s="21"/>
      <c r="BD31" s="144">
        <f t="shared" si="6"/>
        <v>25</v>
      </c>
      <c r="BE31" s="94">
        <f t="shared" si="7"/>
        <v>0</v>
      </c>
      <c r="BF31" s="26"/>
      <c r="BH31" s="141">
        <v>96201369</v>
      </c>
      <c r="BI31" s="141" t="s">
        <v>2366</v>
      </c>
      <c r="BJ31" s="141" t="s">
        <v>2386</v>
      </c>
      <c r="BK31" s="141" t="s">
        <v>2387</v>
      </c>
      <c r="BL31" s="141" t="s">
        <v>2399</v>
      </c>
      <c r="BM31" s="141" t="s">
        <v>2400</v>
      </c>
      <c r="BN31" s="141" t="s">
        <v>2401</v>
      </c>
      <c r="BO31" s="141" t="s">
        <v>2402</v>
      </c>
      <c r="BP31" s="141" t="s">
        <v>2403</v>
      </c>
      <c r="BQ31" s="141" t="s">
        <v>2404</v>
      </c>
      <c r="BR31" s="141" t="s">
        <v>2446</v>
      </c>
      <c r="BS31" s="141" t="s">
        <v>2406</v>
      </c>
      <c r="BT31" s="141" t="s">
        <v>2390</v>
      </c>
      <c r="BU31" s="141" t="s">
        <v>2391</v>
      </c>
      <c r="BV31" s="141" t="s">
        <v>2392</v>
      </c>
      <c r="BW31" s="141" t="s">
        <v>2393</v>
      </c>
      <c r="BX31" s="141" t="s">
        <v>2407</v>
      </c>
      <c r="BY31" s="141" t="s">
        <v>2408</v>
      </c>
      <c r="BZ31" s="141" t="s">
        <v>2409</v>
      </c>
      <c r="CA31" s="141" t="s">
        <v>2411</v>
      </c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</row>
    <row r="32" spans="1:93" s="7" customFormat="1" x14ac:dyDescent="0.25">
      <c r="A32" s="19" t="s">
        <v>2298</v>
      </c>
      <c r="B32" s="19" t="s">
        <v>2299</v>
      </c>
      <c r="C32" s="19">
        <v>96101549</v>
      </c>
      <c r="D32" s="20">
        <v>96101549</v>
      </c>
      <c r="E32" s="21" t="s">
        <v>1860</v>
      </c>
      <c r="F32" s="21" t="s">
        <v>2318</v>
      </c>
      <c r="G32" s="21" t="s">
        <v>332</v>
      </c>
      <c r="H32" s="21" t="s">
        <v>2319</v>
      </c>
      <c r="I32" s="21" t="s">
        <v>254</v>
      </c>
      <c r="J32" s="21" t="s">
        <v>2070</v>
      </c>
      <c r="K32" s="21" t="s">
        <v>2328</v>
      </c>
      <c r="L32" s="21" t="s">
        <v>2068</v>
      </c>
      <c r="M32" s="19" t="s">
        <v>2367</v>
      </c>
      <c r="N32" s="19"/>
      <c r="O32" s="35">
        <v>10</v>
      </c>
      <c r="P32" s="35">
        <v>5</v>
      </c>
      <c r="Q32" s="32"/>
      <c r="R32" s="22">
        <v>5</v>
      </c>
      <c r="S32" s="22">
        <v>2</v>
      </c>
      <c r="T32" s="22">
        <v>1</v>
      </c>
      <c r="U32" s="22">
        <v>2</v>
      </c>
      <c r="V32" s="60">
        <f t="shared" si="5"/>
        <v>10</v>
      </c>
      <c r="W32" s="86"/>
      <c r="X32" s="86"/>
      <c r="Y32" s="86"/>
      <c r="Z32" s="86">
        <v>10</v>
      </c>
      <c r="AA32" s="86">
        <v>10</v>
      </c>
      <c r="AB32" s="21"/>
      <c r="AC32" s="77"/>
      <c r="AD32" s="21"/>
      <c r="AE32" s="77"/>
      <c r="AF32" s="21"/>
      <c r="AG32" s="21"/>
      <c r="AH32" s="21"/>
      <c r="AI32" s="21"/>
      <c r="AJ32" s="21"/>
      <c r="AK32" s="21"/>
      <c r="AL32" s="77"/>
      <c r="AM32" s="21"/>
      <c r="AN32" s="21"/>
      <c r="AO32" s="21"/>
      <c r="AP32" s="21"/>
      <c r="AQ32" s="21"/>
      <c r="AR32" s="21"/>
      <c r="AS32" s="77"/>
      <c r="AT32" s="21"/>
      <c r="AU32" s="21"/>
      <c r="AV32" s="21"/>
      <c r="AW32" s="21"/>
      <c r="AX32" s="21">
        <v>2</v>
      </c>
      <c r="AY32" s="21">
        <v>2</v>
      </c>
      <c r="AZ32" s="77"/>
      <c r="BA32" s="21">
        <v>2</v>
      </c>
      <c r="BB32" s="21">
        <v>2</v>
      </c>
      <c r="BC32" s="21">
        <v>2</v>
      </c>
      <c r="BD32" s="144">
        <f t="shared" si="6"/>
        <v>10</v>
      </c>
      <c r="BE32" s="94">
        <f t="shared" si="7"/>
        <v>0</v>
      </c>
      <c r="BF32" s="26"/>
      <c r="BH32" s="141">
        <v>96101549</v>
      </c>
      <c r="BI32" s="141" t="s">
        <v>2367</v>
      </c>
      <c r="BJ32" s="141" t="s">
        <v>2386</v>
      </c>
      <c r="BK32" s="141" t="s">
        <v>2387</v>
      </c>
      <c r="BL32" s="141" t="s">
        <v>2413</v>
      </c>
      <c r="BM32" s="141" t="s">
        <v>2414</v>
      </c>
      <c r="BN32" s="141" t="s">
        <v>2401</v>
      </c>
      <c r="BO32" s="141" t="s">
        <v>2402</v>
      </c>
      <c r="BP32" s="141" t="s">
        <v>2403</v>
      </c>
      <c r="BQ32" s="141" t="s">
        <v>2404</v>
      </c>
      <c r="BR32" s="141" t="s">
        <v>2448</v>
      </c>
      <c r="BS32" s="141" t="s">
        <v>2406</v>
      </c>
      <c r="BT32" s="141" t="s">
        <v>2390</v>
      </c>
      <c r="BU32" s="141" t="s">
        <v>2391</v>
      </c>
      <c r="BV32" s="141" t="s">
        <v>2392</v>
      </c>
      <c r="BW32" s="141" t="s">
        <v>2393</v>
      </c>
      <c r="BX32" s="141" t="s">
        <v>2416</v>
      </c>
      <c r="BY32" s="141" t="s">
        <v>2417</v>
      </c>
      <c r="BZ32" s="141" t="s">
        <v>2418</v>
      </c>
      <c r="CA32" s="141" t="s">
        <v>2411</v>
      </c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</row>
    <row r="33" spans="1:93" s="7" customFormat="1" x14ac:dyDescent="0.25">
      <c r="A33" s="19" t="s">
        <v>2298</v>
      </c>
      <c r="B33" s="19" t="s">
        <v>2299</v>
      </c>
      <c r="C33" s="19">
        <v>96202939</v>
      </c>
      <c r="D33" s="20" t="s">
        <v>2312</v>
      </c>
      <c r="E33" s="21" t="s">
        <v>1860</v>
      </c>
      <c r="F33" s="21" t="s">
        <v>2320</v>
      </c>
      <c r="G33" s="21" t="s">
        <v>332</v>
      </c>
      <c r="H33" s="21" t="s">
        <v>2077</v>
      </c>
      <c r="I33" s="21" t="s">
        <v>254</v>
      </c>
      <c r="J33" s="21" t="s">
        <v>255</v>
      </c>
      <c r="K33" s="21" t="s">
        <v>2328</v>
      </c>
      <c r="L33" s="21" t="s">
        <v>239</v>
      </c>
      <c r="M33" s="19" t="s">
        <v>2371</v>
      </c>
      <c r="N33" s="19"/>
      <c r="O33" s="35">
        <v>0</v>
      </c>
      <c r="P33" s="35">
        <v>0</v>
      </c>
      <c r="Q33" s="32"/>
      <c r="R33" s="22">
        <v>0</v>
      </c>
      <c r="S33" s="22">
        <v>0</v>
      </c>
      <c r="T33" s="22">
        <v>5</v>
      </c>
      <c r="U33" s="22">
        <v>0</v>
      </c>
      <c r="V33" s="60">
        <f t="shared" si="5"/>
        <v>5</v>
      </c>
      <c r="W33" s="86">
        <v>5</v>
      </c>
      <c r="X33" s="86"/>
      <c r="Y33" s="86"/>
      <c r="Z33" s="86"/>
      <c r="AA33" s="86">
        <v>5</v>
      </c>
      <c r="AB33" s="21"/>
      <c r="AC33" s="77"/>
      <c r="AD33" s="21"/>
      <c r="AE33" s="77"/>
      <c r="AF33" s="21"/>
      <c r="AG33" s="21"/>
      <c r="AH33" s="21"/>
      <c r="AI33" s="21"/>
      <c r="AJ33" s="21">
        <v>2</v>
      </c>
      <c r="AK33" s="21">
        <v>2</v>
      </c>
      <c r="AL33" s="77"/>
      <c r="AM33" s="21">
        <v>1</v>
      </c>
      <c r="AN33" s="21"/>
      <c r="AO33" s="21"/>
      <c r="AP33" s="21"/>
      <c r="AQ33" s="21"/>
      <c r="AR33" s="21"/>
      <c r="AS33" s="77"/>
      <c r="AT33" s="21"/>
      <c r="AU33" s="21"/>
      <c r="AV33" s="21"/>
      <c r="AW33" s="21"/>
      <c r="AX33" s="21"/>
      <c r="AY33" s="21"/>
      <c r="AZ33" s="77"/>
      <c r="BA33" s="21"/>
      <c r="BB33" s="21"/>
      <c r="BC33" s="21"/>
      <c r="BD33" s="144">
        <f t="shared" si="6"/>
        <v>5</v>
      </c>
      <c r="BE33" s="94">
        <f t="shared" si="7"/>
        <v>0</v>
      </c>
      <c r="BF33" s="26"/>
      <c r="BH33" s="141" t="s">
        <v>2312</v>
      </c>
      <c r="BI33" s="141" t="s">
        <v>2451</v>
      </c>
      <c r="BJ33" s="141" t="s">
        <v>2386</v>
      </c>
      <c r="BK33" s="141" t="s">
        <v>2387</v>
      </c>
      <c r="BL33" s="141" t="s">
        <v>2399</v>
      </c>
      <c r="BM33" s="141" t="s">
        <v>2400</v>
      </c>
      <c r="BN33" s="141" t="s">
        <v>2401</v>
      </c>
      <c r="BO33" s="141" t="s">
        <v>2402</v>
      </c>
      <c r="BP33" s="141" t="s">
        <v>2403</v>
      </c>
      <c r="BQ33" s="141" t="s">
        <v>2404</v>
      </c>
      <c r="BR33" s="141" t="s">
        <v>2446</v>
      </c>
      <c r="BS33" s="141" t="s">
        <v>2406</v>
      </c>
      <c r="BT33" s="141" t="s">
        <v>2390</v>
      </c>
      <c r="BU33" s="141" t="s">
        <v>2391</v>
      </c>
      <c r="BV33" s="141" t="s">
        <v>2392</v>
      </c>
      <c r="BW33" s="141" t="s">
        <v>2393</v>
      </c>
      <c r="BX33" s="141" t="s">
        <v>2407</v>
      </c>
      <c r="BY33" s="141" t="s">
        <v>2408</v>
      </c>
      <c r="BZ33" s="141" t="s">
        <v>2409</v>
      </c>
      <c r="CA33" s="141" t="s">
        <v>2452</v>
      </c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</row>
    <row r="34" spans="1:93" s="7" customFormat="1" x14ac:dyDescent="0.25">
      <c r="A34" s="19" t="s">
        <v>2298</v>
      </c>
      <c r="B34" s="19" t="s">
        <v>2299</v>
      </c>
      <c r="C34" s="19">
        <v>96201563</v>
      </c>
      <c r="D34" s="20">
        <v>96201563</v>
      </c>
      <c r="E34" s="21" t="s">
        <v>1860</v>
      </c>
      <c r="F34" s="21" t="s">
        <v>2320</v>
      </c>
      <c r="G34" s="21" t="s">
        <v>332</v>
      </c>
      <c r="H34" s="21" t="s">
        <v>2319</v>
      </c>
      <c r="I34" s="21" t="s">
        <v>254</v>
      </c>
      <c r="J34" s="21" t="s">
        <v>2070</v>
      </c>
      <c r="K34" s="21" t="s">
        <v>2328</v>
      </c>
      <c r="L34" s="21" t="s">
        <v>2068</v>
      </c>
      <c r="M34" s="19" t="s">
        <v>2372</v>
      </c>
      <c r="N34" s="19"/>
      <c r="O34" s="35">
        <v>0</v>
      </c>
      <c r="P34" s="35">
        <v>0</v>
      </c>
      <c r="Q34" s="32"/>
      <c r="R34" s="22">
        <v>2</v>
      </c>
      <c r="S34" s="22">
        <v>1</v>
      </c>
      <c r="T34" s="22">
        <v>1</v>
      </c>
      <c r="U34" s="22">
        <v>1</v>
      </c>
      <c r="V34" s="60">
        <f t="shared" si="5"/>
        <v>5</v>
      </c>
      <c r="W34" s="86"/>
      <c r="X34" s="86"/>
      <c r="Y34" s="86"/>
      <c r="Z34" s="86">
        <v>5</v>
      </c>
      <c r="AA34" s="86">
        <v>5</v>
      </c>
      <c r="AB34" s="21"/>
      <c r="AC34" s="77"/>
      <c r="AD34" s="21"/>
      <c r="AE34" s="77"/>
      <c r="AF34" s="21"/>
      <c r="AG34" s="21"/>
      <c r="AH34" s="21"/>
      <c r="AI34" s="21"/>
      <c r="AJ34" s="21"/>
      <c r="AK34" s="21"/>
      <c r="AL34" s="77"/>
      <c r="AM34" s="21"/>
      <c r="AN34" s="21"/>
      <c r="AO34" s="21"/>
      <c r="AP34" s="21"/>
      <c r="AQ34" s="21"/>
      <c r="AR34" s="21"/>
      <c r="AS34" s="77"/>
      <c r="AT34" s="21"/>
      <c r="AU34" s="21"/>
      <c r="AV34" s="21"/>
      <c r="AW34" s="21"/>
      <c r="AX34" s="21">
        <v>2</v>
      </c>
      <c r="AY34" s="21"/>
      <c r="AZ34" s="77"/>
      <c r="BA34" s="21"/>
      <c r="BB34" s="21"/>
      <c r="BC34" s="21">
        <v>3</v>
      </c>
      <c r="BD34" s="144">
        <f t="shared" si="6"/>
        <v>5</v>
      </c>
      <c r="BE34" s="94">
        <f t="shared" si="7"/>
        <v>0</v>
      </c>
      <c r="BF34" s="26"/>
      <c r="BH34" s="141">
        <v>96201563</v>
      </c>
      <c r="BI34" s="141" t="s">
        <v>2372</v>
      </c>
      <c r="BJ34" s="141" t="s">
        <v>2386</v>
      </c>
      <c r="BK34" s="141" t="s">
        <v>2387</v>
      </c>
      <c r="BL34" s="141" t="s">
        <v>2413</v>
      </c>
      <c r="BM34" s="141" t="s">
        <v>2414</v>
      </c>
      <c r="BN34" s="141" t="s">
        <v>2401</v>
      </c>
      <c r="BO34" s="141" t="s">
        <v>2402</v>
      </c>
      <c r="BP34" s="141" t="s">
        <v>2403</v>
      </c>
      <c r="BQ34" s="141" t="s">
        <v>2404</v>
      </c>
      <c r="BR34" s="141" t="s">
        <v>2448</v>
      </c>
      <c r="BS34" s="141" t="s">
        <v>2406</v>
      </c>
      <c r="BT34" s="141" t="s">
        <v>2390</v>
      </c>
      <c r="BU34" s="141" t="s">
        <v>2391</v>
      </c>
      <c r="BV34" s="141" t="s">
        <v>2392</v>
      </c>
      <c r="BW34" s="141" t="s">
        <v>2393</v>
      </c>
      <c r="BX34" s="141" t="s">
        <v>2416</v>
      </c>
      <c r="BY34" s="141" t="s">
        <v>2417</v>
      </c>
      <c r="BZ34" s="141" t="s">
        <v>2418</v>
      </c>
      <c r="CA34" s="141" t="s">
        <v>2411</v>
      </c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</row>
    <row r="35" spans="1:93" s="7" customFormat="1" x14ac:dyDescent="0.25">
      <c r="A35" s="19" t="s">
        <v>2298</v>
      </c>
      <c r="B35" s="19" t="s">
        <v>2299</v>
      </c>
      <c r="C35" s="19">
        <v>96201564</v>
      </c>
      <c r="D35" s="20" t="s">
        <v>2313</v>
      </c>
      <c r="E35" s="21" t="s">
        <v>1860</v>
      </c>
      <c r="F35" s="21" t="s">
        <v>2320</v>
      </c>
      <c r="G35" s="21" t="s">
        <v>332</v>
      </c>
      <c r="H35" s="21" t="s">
        <v>234</v>
      </c>
      <c r="I35" s="21" t="s">
        <v>254</v>
      </c>
      <c r="J35" s="21" t="s">
        <v>2083</v>
      </c>
      <c r="K35" s="21" t="s">
        <v>2328</v>
      </c>
      <c r="L35" s="21" t="s">
        <v>2068</v>
      </c>
      <c r="M35" s="51" t="s">
        <v>2373</v>
      </c>
      <c r="N35" s="19"/>
      <c r="O35" s="35">
        <v>0</v>
      </c>
      <c r="P35" s="35">
        <v>0</v>
      </c>
      <c r="Q35" s="32"/>
      <c r="R35" s="22">
        <v>2</v>
      </c>
      <c r="S35" s="22">
        <v>1</v>
      </c>
      <c r="T35" s="22">
        <v>1</v>
      </c>
      <c r="U35" s="22">
        <v>1</v>
      </c>
      <c r="V35" s="60">
        <f t="shared" si="5"/>
        <v>5</v>
      </c>
      <c r="W35" s="86"/>
      <c r="X35" s="86"/>
      <c r="Y35" s="86">
        <v>5</v>
      </c>
      <c r="Z35" s="86"/>
      <c r="AA35" s="86">
        <v>5</v>
      </c>
      <c r="AB35" s="21"/>
      <c r="AC35" s="77"/>
      <c r="AD35" s="21"/>
      <c r="AE35" s="77"/>
      <c r="AF35" s="21"/>
      <c r="AG35" s="21"/>
      <c r="AH35" s="21"/>
      <c r="AI35" s="21"/>
      <c r="AJ35" s="21"/>
      <c r="AK35" s="21"/>
      <c r="AL35" s="77"/>
      <c r="AM35" s="21"/>
      <c r="AN35" s="21"/>
      <c r="AO35" s="21"/>
      <c r="AP35" s="21"/>
      <c r="AQ35" s="21"/>
      <c r="AR35" s="21"/>
      <c r="AS35" s="77"/>
      <c r="AT35" s="21"/>
      <c r="AU35" s="21"/>
      <c r="AV35" s="21"/>
      <c r="AW35" s="21">
        <v>1</v>
      </c>
      <c r="AX35" s="21"/>
      <c r="AY35" s="21"/>
      <c r="AZ35" s="77"/>
      <c r="BA35" s="21">
        <v>1</v>
      </c>
      <c r="BB35" s="21">
        <v>1</v>
      </c>
      <c r="BC35" s="21">
        <v>2</v>
      </c>
      <c r="BD35" s="144">
        <f t="shared" si="6"/>
        <v>5</v>
      </c>
      <c r="BE35" s="94">
        <f t="shared" si="7"/>
        <v>0</v>
      </c>
      <c r="BF35" s="26"/>
      <c r="BH35" s="141" t="s">
        <v>2313</v>
      </c>
      <c r="BI35" s="141" t="s">
        <v>2453</v>
      </c>
      <c r="BJ35" s="141" t="s">
        <v>2386</v>
      </c>
      <c r="BK35" s="141" t="s">
        <v>2387</v>
      </c>
      <c r="BL35" s="141" t="s">
        <v>2413</v>
      </c>
      <c r="BM35" s="141" t="s">
        <v>2414</v>
      </c>
      <c r="BN35" s="141" t="s">
        <v>2401</v>
      </c>
      <c r="BO35" s="141" t="s">
        <v>2402</v>
      </c>
      <c r="BP35" s="141" t="s">
        <v>2403</v>
      </c>
      <c r="BQ35" s="141" t="s">
        <v>2404</v>
      </c>
      <c r="BR35" s="141" t="s">
        <v>2448</v>
      </c>
      <c r="BS35" s="141" t="s">
        <v>2406</v>
      </c>
      <c r="BT35" s="141" t="s">
        <v>2390</v>
      </c>
      <c r="BU35" s="141" t="s">
        <v>2391</v>
      </c>
      <c r="BV35" s="141" t="s">
        <v>2392</v>
      </c>
      <c r="BW35" s="141" t="s">
        <v>2393</v>
      </c>
      <c r="BX35" s="141" t="s">
        <v>2416</v>
      </c>
      <c r="BY35" s="141" t="s">
        <v>2417</v>
      </c>
      <c r="BZ35" s="141" t="s">
        <v>2418</v>
      </c>
      <c r="CA35" s="141" t="s">
        <v>2410</v>
      </c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</row>
    <row r="36" spans="1:93" s="7" customFormat="1" x14ac:dyDescent="0.25">
      <c r="A36" s="19" t="s">
        <v>2298</v>
      </c>
      <c r="B36" s="19" t="s">
        <v>2299</v>
      </c>
      <c r="C36" s="19">
        <v>96201562</v>
      </c>
      <c r="D36" s="20">
        <v>96201562</v>
      </c>
      <c r="E36" s="21" t="s">
        <v>1860</v>
      </c>
      <c r="F36" s="21" t="s">
        <v>2320</v>
      </c>
      <c r="G36" s="21" t="s">
        <v>332</v>
      </c>
      <c r="H36" s="21" t="s">
        <v>234</v>
      </c>
      <c r="I36" s="21" t="s">
        <v>254</v>
      </c>
      <c r="J36" s="21" t="s">
        <v>2070</v>
      </c>
      <c r="K36" s="21" t="s">
        <v>2328</v>
      </c>
      <c r="L36" s="21" t="s">
        <v>2068</v>
      </c>
      <c r="M36" s="19" t="s">
        <v>2374</v>
      </c>
      <c r="N36" s="19"/>
      <c r="O36" s="35">
        <v>0</v>
      </c>
      <c r="P36" s="35">
        <v>0</v>
      </c>
      <c r="Q36" s="32"/>
      <c r="R36" s="22">
        <v>2</v>
      </c>
      <c r="S36" s="22">
        <v>1</v>
      </c>
      <c r="T36" s="22">
        <v>1</v>
      </c>
      <c r="U36" s="22">
        <v>1</v>
      </c>
      <c r="V36" s="60">
        <f t="shared" si="5"/>
        <v>5</v>
      </c>
      <c r="W36" s="86"/>
      <c r="X36" s="86"/>
      <c r="Y36" s="86"/>
      <c r="Z36" s="86">
        <v>5</v>
      </c>
      <c r="AA36" s="86">
        <v>5</v>
      </c>
      <c r="AB36" s="21"/>
      <c r="AC36" s="77"/>
      <c r="AD36" s="21"/>
      <c r="AE36" s="77"/>
      <c r="AF36" s="21"/>
      <c r="AG36" s="21"/>
      <c r="AH36" s="21"/>
      <c r="AI36" s="21"/>
      <c r="AJ36" s="21"/>
      <c r="AK36" s="21"/>
      <c r="AL36" s="77"/>
      <c r="AM36" s="21"/>
      <c r="AN36" s="21"/>
      <c r="AO36" s="21"/>
      <c r="AP36" s="21"/>
      <c r="AQ36" s="21"/>
      <c r="AR36" s="21"/>
      <c r="AS36" s="77"/>
      <c r="AT36" s="21"/>
      <c r="AU36" s="21"/>
      <c r="AV36" s="21"/>
      <c r="AW36" s="21"/>
      <c r="AX36" s="21"/>
      <c r="AY36" s="21"/>
      <c r="AZ36" s="77"/>
      <c r="BA36" s="21"/>
      <c r="BB36" s="21"/>
      <c r="BC36" s="21">
        <v>3</v>
      </c>
      <c r="BD36" s="144">
        <f t="shared" si="6"/>
        <v>3</v>
      </c>
      <c r="BE36" s="94">
        <f t="shared" si="7"/>
        <v>2</v>
      </c>
      <c r="BF36" s="26"/>
      <c r="BH36" s="141">
        <v>96201562</v>
      </c>
      <c r="BI36" s="141" t="s">
        <v>2374</v>
      </c>
      <c r="BJ36" s="141" t="s">
        <v>2386</v>
      </c>
      <c r="BK36" s="141" t="s">
        <v>2387</v>
      </c>
      <c r="BL36" s="141" t="s">
        <v>2413</v>
      </c>
      <c r="BM36" s="141" t="s">
        <v>2414</v>
      </c>
      <c r="BN36" s="141" t="s">
        <v>2401</v>
      </c>
      <c r="BO36" s="141" t="s">
        <v>2402</v>
      </c>
      <c r="BP36" s="141" t="s">
        <v>2403</v>
      </c>
      <c r="BQ36" s="141" t="s">
        <v>2404</v>
      </c>
      <c r="BR36" s="141" t="s">
        <v>2448</v>
      </c>
      <c r="BS36" s="141" t="s">
        <v>2406</v>
      </c>
      <c r="BT36" s="141" t="s">
        <v>2390</v>
      </c>
      <c r="BU36" s="141" t="s">
        <v>2391</v>
      </c>
      <c r="BV36" s="141" t="s">
        <v>2392</v>
      </c>
      <c r="BW36" s="141" t="s">
        <v>2393</v>
      </c>
      <c r="BX36" s="141" t="s">
        <v>2416</v>
      </c>
      <c r="BY36" s="141" t="s">
        <v>2417</v>
      </c>
      <c r="BZ36" s="141" t="s">
        <v>2418</v>
      </c>
      <c r="CA36" s="141" t="s">
        <v>2411</v>
      </c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</row>
    <row r="37" spans="1:93" s="7" customFormat="1" x14ac:dyDescent="0.25">
      <c r="A37" s="19" t="s">
        <v>2298</v>
      </c>
      <c r="B37" s="19" t="s">
        <v>2299</v>
      </c>
      <c r="C37" s="19">
        <v>96101423</v>
      </c>
      <c r="D37" s="20" t="s">
        <v>2315</v>
      </c>
      <c r="E37" s="21" t="s">
        <v>1860</v>
      </c>
      <c r="F37" s="21" t="s">
        <v>2318</v>
      </c>
      <c r="G37" s="21" t="s">
        <v>332</v>
      </c>
      <c r="H37" s="21" t="s">
        <v>2077</v>
      </c>
      <c r="I37" s="21" t="s">
        <v>254</v>
      </c>
      <c r="J37" s="21" t="s">
        <v>255</v>
      </c>
      <c r="K37" s="21" t="s">
        <v>2328</v>
      </c>
      <c r="L37" s="21" t="s">
        <v>239</v>
      </c>
      <c r="M37" s="51" t="s">
        <v>2377</v>
      </c>
      <c r="N37" s="19"/>
      <c r="O37" s="35">
        <v>0</v>
      </c>
      <c r="P37" s="35">
        <v>0</v>
      </c>
      <c r="Q37" s="32"/>
      <c r="R37" s="22">
        <v>0</v>
      </c>
      <c r="S37" s="22">
        <v>0</v>
      </c>
      <c r="T37" s="22">
        <v>0</v>
      </c>
      <c r="U37" s="22">
        <v>1</v>
      </c>
      <c r="V37" s="60">
        <f t="shared" si="5"/>
        <v>1</v>
      </c>
      <c r="W37" s="86">
        <v>1</v>
      </c>
      <c r="X37" s="86"/>
      <c r="Y37" s="86"/>
      <c r="Z37" s="86"/>
      <c r="AA37" s="86">
        <v>1</v>
      </c>
      <c r="AB37" s="21"/>
      <c r="AC37" s="77"/>
      <c r="AD37" s="21"/>
      <c r="AE37" s="77"/>
      <c r="AF37" s="21"/>
      <c r="AG37" s="21"/>
      <c r="AH37" s="21"/>
      <c r="AI37" s="21"/>
      <c r="AJ37" s="21"/>
      <c r="AK37" s="21"/>
      <c r="AL37" s="77"/>
      <c r="AM37" s="21">
        <v>1</v>
      </c>
      <c r="AN37" s="21"/>
      <c r="AO37" s="21"/>
      <c r="AP37" s="21"/>
      <c r="AQ37" s="21"/>
      <c r="AR37" s="21"/>
      <c r="AS37" s="77"/>
      <c r="AT37" s="21"/>
      <c r="AU37" s="21"/>
      <c r="AV37" s="21"/>
      <c r="AW37" s="21"/>
      <c r="AX37" s="21"/>
      <c r="AY37" s="21"/>
      <c r="AZ37" s="77"/>
      <c r="BA37" s="21"/>
      <c r="BB37" s="21"/>
      <c r="BC37" s="21"/>
      <c r="BD37" s="144">
        <f t="shared" si="6"/>
        <v>1</v>
      </c>
      <c r="BE37" s="94">
        <f t="shared" si="7"/>
        <v>0</v>
      </c>
      <c r="BF37" s="26"/>
      <c r="BH37" s="141" t="s">
        <v>2315</v>
      </c>
      <c r="BI37" s="141" t="s">
        <v>2445</v>
      </c>
      <c r="BJ37" s="141" t="s">
        <v>2386</v>
      </c>
      <c r="BK37" s="141" t="s">
        <v>2387</v>
      </c>
      <c r="BL37" s="141" t="s">
        <v>2399</v>
      </c>
      <c r="BM37" s="141" t="s">
        <v>2400</v>
      </c>
      <c r="BN37" s="141" t="s">
        <v>2401</v>
      </c>
      <c r="BO37" s="141" t="s">
        <v>2402</v>
      </c>
      <c r="BP37" s="141" t="s">
        <v>2403</v>
      </c>
      <c r="BQ37" s="141" t="s">
        <v>2404</v>
      </c>
      <c r="BR37" s="141" t="s">
        <v>2446</v>
      </c>
      <c r="BS37" s="141" t="s">
        <v>2406</v>
      </c>
      <c r="BT37" s="141" t="s">
        <v>2390</v>
      </c>
      <c r="BU37" s="141" t="s">
        <v>2391</v>
      </c>
      <c r="BV37" s="141" t="s">
        <v>2392</v>
      </c>
      <c r="BW37" s="141" t="s">
        <v>2393</v>
      </c>
      <c r="BX37" s="141" t="s">
        <v>2407</v>
      </c>
      <c r="BY37" s="141" t="s">
        <v>2408</v>
      </c>
      <c r="BZ37" s="141" t="s">
        <v>2409</v>
      </c>
      <c r="CA37" s="141" t="s">
        <v>2452</v>
      </c>
      <c r="CB37" s="142"/>
      <c r="CC37" s="142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</row>
    <row r="38" spans="1:93" s="7" customFormat="1" x14ac:dyDescent="0.25">
      <c r="A38" s="19" t="s">
        <v>2298</v>
      </c>
      <c r="B38" s="19" t="s">
        <v>2299</v>
      </c>
      <c r="C38" s="19">
        <v>96101418</v>
      </c>
      <c r="D38" s="20" t="s">
        <v>2301</v>
      </c>
      <c r="E38" s="21" t="s">
        <v>1860</v>
      </c>
      <c r="F38" s="21" t="s">
        <v>2318</v>
      </c>
      <c r="G38" s="21" t="s">
        <v>332</v>
      </c>
      <c r="H38" s="21" t="s">
        <v>234</v>
      </c>
      <c r="I38" s="21" t="s">
        <v>254</v>
      </c>
      <c r="J38" s="21" t="s">
        <v>2083</v>
      </c>
      <c r="K38" s="21" t="s">
        <v>2325</v>
      </c>
      <c r="L38" s="21" t="s">
        <v>2068</v>
      </c>
      <c r="M38" s="19" t="s">
        <v>2331</v>
      </c>
      <c r="N38" s="19"/>
      <c r="O38" s="35">
        <v>40</v>
      </c>
      <c r="P38" s="35">
        <v>20</v>
      </c>
      <c r="Q38" s="32"/>
      <c r="R38" s="22">
        <v>20</v>
      </c>
      <c r="S38" s="22">
        <v>10</v>
      </c>
      <c r="T38" s="22">
        <v>10</v>
      </c>
      <c r="U38" s="22">
        <v>10</v>
      </c>
      <c r="V38" s="60">
        <f t="shared" si="5"/>
        <v>50</v>
      </c>
      <c r="W38" s="86"/>
      <c r="X38" s="86">
        <v>50</v>
      </c>
      <c r="Y38" s="86"/>
      <c r="Z38" s="86"/>
      <c r="AA38" s="86">
        <v>50</v>
      </c>
      <c r="AB38" s="21"/>
      <c r="AC38" s="77"/>
      <c r="AD38" s="21"/>
      <c r="AE38" s="77"/>
      <c r="AF38" s="21"/>
      <c r="AG38" s="21"/>
      <c r="AH38" s="21"/>
      <c r="AI38" s="21"/>
      <c r="AJ38" s="21"/>
      <c r="AK38" s="21"/>
      <c r="AL38" s="77"/>
      <c r="AM38" s="21"/>
      <c r="AN38" s="21"/>
      <c r="AO38" s="21"/>
      <c r="AP38" s="21"/>
      <c r="AQ38" s="21">
        <v>5</v>
      </c>
      <c r="AR38" s="21">
        <v>5</v>
      </c>
      <c r="AS38" s="77"/>
      <c r="AT38" s="21">
        <v>5</v>
      </c>
      <c r="AU38" s="21">
        <v>5</v>
      </c>
      <c r="AV38" s="21">
        <v>5</v>
      </c>
      <c r="AW38" s="21">
        <v>5</v>
      </c>
      <c r="AX38" s="21">
        <v>5</v>
      </c>
      <c r="AY38" s="21">
        <v>5</v>
      </c>
      <c r="AZ38" s="77"/>
      <c r="BA38" s="21">
        <v>5</v>
      </c>
      <c r="BB38" s="21">
        <v>5</v>
      </c>
      <c r="BC38" s="21"/>
      <c r="BD38" s="144">
        <f t="shared" si="6"/>
        <v>50</v>
      </c>
      <c r="BE38" s="94">
        <f t="shared" si="7"/>
        <v>0</v>
      </c>
      <c r="BF38" s="26"/>
      <c r="BH38" s="141" t="s">
        <v>2301</v>
      </c>
      <c r="BI38" s="141" t="s">
        <v>2398</v>
      </c>
      <c r="BJ38" s="141" t="s">
        <v>2386</v>
      </c>
      <c r="BK38" s="141" t="s">
        <v>2387</v>
      </c>
      <c r="BL38" s="141" t="s">
        <v>2399</v>
      </c>
      <c r="BM38" s="141" t="s">
        <v>2400</v>
      </c>
      <c r="BN38" s="141" t="s">
        <v>2401</v>
      </c>
      <c r="BO38" s="141" t="s">
        <v>2402</v>
      </c>
      <c r="BP38" s="141" t="s">
        <v>2403</v>
      </c>
      <c r="BQ38" s="141" t="s">
        <v>2404</v>
      </c>
      <c r="BR38" s="141" t="s">
        <v>2405</v>
      </c>
      <c r="BS38" s="141" t="s">
        <v>2406</v>
      </c>
      <c r="BT38" s="141" t="s">
        <v>2390</v>
      </c>
      <c r="BU38" s="141" t="s">
        <v>2391</v>
      </c>
      <c r="BV38" s="141" t="s">
        <v>2392</v>
      </c>
      <c r="BW38" s="141" t="s">
        <v>2393</v>
      </c>
      <c r="BX38" s="141" t="s">
        <v>2407</v>
      </c>
      <c r="BY38" s="141" t="s">
        <v>2408</v>
      </c>
      <c r="BZ38" s="141" t="s">
        <v>2409</v>
      </c>
      <c r="CA38" s="141" t="s">
        <v>2410</v>
      </c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</row>
    <row r="39" spans="1:93" s="7" customFormat="1" x14ac:dyDescent="0.25">
      <c r="A39" s="19" t="s">
        <v>2298</v>
      </c>
      <c r="B39" s="19" t="s">
        <v>2299</v>
      </c>
      <c r="C39" s="19">
        <v>96101419</v>
      </c>
      <c r="D39" s="20" t="s">
        <v>2301</v>
      </c>
      <c r="E39" s="21" t="s">
        <v>1860</v>
      </c>
      <c r="F39" s="21" t="s">
        <v>2318</v>
      </c>
      <c r="G39" s="21" t="s">
        <v>332</v>
      </c>
      <c r="H39" s="21" t="s">
        <v>2319</v>
      </c>
      <c r="I39" s="21" t="s">
        <v>254</v>
      </c>
      <c r="J39" s="21" t="s">
        <v>2083</v>
      </c>
      <c r="K39" s="21" t="s">
        <v>2325</v>
      </c>
      <c r="L39" s="21" t="s">
        <v>2068</v>
      </c>
      <c r="M39" s="19" t="s">
        <v>2332</v>
      </c>
      <c r="N39" s="19"/>
      <c r="O39" s="35">
        <v>20</v>
      </c>
      <c r="P39" s="35">
        <v>10</v>
      </c>
      <c r="Q39" s="32"/>
      <c r="R39" s="22">
        <v>10</v>
      </c>
      <c r="S39" s="22">
        <v>5</v>
      </c>
      <c r="T39" s="22">
        <v>5</v>
      </c>
      <c r="U39" s="22">
        <v>5</v>
      </c>
      <c r="V39" s="60">
        <f t="shared" si="5"/>
        <v>25</v>
      </c>
      <c r="W39" s="86"/>
      <c r="X39" s="86">
        <v>25</v>
      </c>
      <c r="Y39" s="86"/>
      <c r="Z39" s="86"/>
      <c r="AA39" s="86">
        <v>25</v>
      </c>
      <c r="AB39" s="21"/>
      <c r="AC39" s="77"/>
      <c r="AD39" s="21"/>
      <c r="AE39" s="77"/>
      <c r="AF39" s="21"/>
      <c r="AG39" s="21"/>
      <c r="AH39" s="21"/>
      <c r="AI39" s="21"/>
      <c r="AJ39" s="21"/>
      <c r="AK39" s="21"/>
      <c r="AL39" s="77"/>
      <c r="AM39" s="21"/>
      <c r="AN39" s="21"/>
      <c r="AO39" s="21"/>
      <c r="AP39" s="21"/>
      <c r="AQ39" s="21">
        <v>5</v>
      </c>
      <c r="AR39" s="21">
        <v>5</v>
      </c>
      <c r="AS39" s="77"/>
      <c r="AT39" s="21">
        <v>5</v>
      </c>
      <c r="AU39" s="21">
        <v>5</v>
      </c>
      <c r="AV39" s="21">
        <v>5</v>
      </c>
      <c r="AW39" s="21"/>
      <c r="AX39" s="21"/>
      <c r="AY39" s="21"/>
      <c r="AZ39" s="77"/>
      <c r="BA39" s="21"/>
      <c r="BB39" s="21"/>
      <c r="BC39" s="21"/>
      <c r="BD39" s="144">
        <f t="shared" si="6"/>
        <v>25</v>
      </c>
      <c r="BE39" s="94">
        <f t="shared" si="7"/>
        <v>0</v>
      </c>
      <c r="BF39" s="26"/>
      <c r="BH39" s="141" t="s">
        <v>2301</v>
      </c>
      <c r="BI39" s="141" t="s">
        <v>2398</v>
      </c>
      <c r="BJ39" s="141" t="s">
        <v>2386</v>
      </c>
      <c r="BK39" s="141" t="s">
        <v>2387</v>
      </c>
      <c r="BL39" s="141" t="s">
        <v>2399</v>
      </c>
      <c r="BM39" s="141" t="s">
        <v>2400</v>
      </c>
      <c r="BN39" s="141" t="s">
        <v>2401</v>
      </c>
      <c r="BO39" s="141" t="s">
        <v>2402</v>
      </c>
      <c r="BP39" s="141" t="s">
        <v>2403</v>
      </c>
      <c r="BQ39" s="141" t="s">
        <v>2404</v>
      </c>
      <c r="BR39" s="141" t="s">
        <v>2405</v>
      </c>
      <c r="BS39" s="141" t="s">
        <v>2406</v>
      </c>
      <c r="BT39" s="141" t="s">
        <v>2390</v>
      </c>
      <c r="BU39" s="141" t="s">
        <v>2391</v>
      </c>
      <c r="BV39" s="141" t="s">
        <v>2392</v>
      </c>
      <c r="BW39" s="141" t="s">
        <v>2393</v>
      </c>
      <c r="BX39" s="141" t="s">
        <v>2407</v>
      </c>
      <c r="BY39" s="141" t="s">
        <v>2408</v>
      </c>
      <c r="BZ39" s="141" t="s">
        <v>2409</v>
      </c>
      <c r="CA39" s="141" t="s">
        <v>2410</v>
      </c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</row>
    <row r="40" spans="1:93" s="7" customFormat="1" x14ac:dyDescent="0.25">
      <c r="A40" s="19" t="s">
        <v>2298</v>
      </c>
      <c r="B40" s="19" t="s">
        <v>2299</v>
      </c>
      <c r="C40" s="19">
        <v>96101365</v>
      </c>
      <c r="D40" s="20" t="s">
        <v>2301</v>
      </c>
      <c r="E40" s="21" t="s">
        <v>1860</v>
      </c>
      <c r="F40" s="21" t="s">
        <v>2318</v>
      </c>
      <c r="G40" s="21" t="s">
        <v>332</v>
      </c>
      <c r="H40" s="21" t="s">
        <v>234</v>
      </c>
      <c r="I40" s="21" t="s">
        <v>254</v>
      </c>
      <c r="J40" s="21" t="s">
        <v>2083</v>
      </c>
      <c r="K40" s="21" t="s">
        <v>2325</v>
      </c>
      <c r="L40" s="21" t="s">
        <v>2068</v>
      </c>
      <c r="M40" s="19" t="s">
        <v>2333</v>
      </c>
      <c r="N40" s="19"/>
      <c r="O40" s="35">
        <v>0</v>
      </c>
      <c r="P40" s="35">
        <v>0</v>
      </c>
      <c r="Q40" s="32"/>
      <c r="R40" s="22">
        <v>0</v>
      </c>
      <c r="S40" s="22">
        <v>0</v>
      </c>
      <c r="T40" s="22">
        <v>0</v>
      </c>
      <c r="U40" s="22">
        <v>5</v>
      </c>
      <c r="V40" s="60">
        <f t="shared" si="5"/>
        <v>5</v>
      </c>
      <c r="W40" s="86"/>
      <c r="X40" s="86">
        <v>5</v>
      </c>
      <c r="Y40" s="86"/>
      <c r="Z40" s="86"/>
      <c r="AA40" s="86">
        <v>5</v>
      </c>
      <c r="AB40" s="21"/>
      <c r="AC40" s="77"/>
      <c r="AD40" s="21"/>
      <c r="AE40" s="77"/>
      <c r="AF40" s="21"/>
      <c r="AG40" s="21"/>
      <c r="AH40" s="21"/>
      <c r="AI40" s="21"/>
      <c r="AJ40" s="21"/>
      <c r="AK40" s="21"/>
      <c r="AL40" s="77"/>
      <c r="AM40" s="21"/>
      <c r="AN40" s="21"/>
      <c r="AO40" s="21"/>
      <c r="AP40" s="21"/>
      <c r="AQ40" s="21"/>
      <c r="AR40" s="21"/>
      <c r="AS40" s="77"/>
      <c r="AT40" s="21"/>
      <c r="AU40" s="21"/>
      <c r="AV40" s="21">
        <v>1</v>
      </c>
      <c r="AW40" s="21">
        <v>1</v>
      </c>
      <c r="AX40" s="21">
        <v>1</v>
      </c>
      <c r="AY40" s="21">
        <v>1</v>
      </c>
      <c r="AZ40" s="77"/>
      <c r="BA40" s="21">
        <v>1</v>
      </c>
      <c r="BB40" s="21"/>
      <c r="BC40" s="21"/>
      <c r="BD40" s="144">
        <f t="shared" si="6"/>
        <v>5</v>
      </c>
      <c r="BE40" s="94">
        <f t="shared" si="7"/>
        <v>0</v>
      </c>
      <c r="BF40" s="26"/>
      <c r="BH40" s="141" t="s">
        <v>2301</v>
      </c>
      <c r="BI40" s="141" t="s">
        <v>2398</v>
      </c>
      <c r="BJ40" s="141" t="s">
        <v>2386</v>
      </c>
      <c r="BK40" s="141" t="s">
        <v>2387</v>
      </c>
      <c r="BL40" s="141" t="s">
        <v>2399</v>
      </c>
      <c r="BM40" s="141" t="s">
        <v>2400</v>
      </c>
      <c r="BN40" s="141" t="s">
        <v>2401</v>
      </c>
      <c r="BO40" s="141" t="s">
        <v>2402</v>
      </c>
      <c r="BP40" s="141" t="s">
        <v>2403</v>
      </c>
      <c r="BQ40" s="141" t="s">
        <v>2404</v>
      </c>
      <c r="BR40" s="141" t="s">
        <v>2405</v>
      </c>
      <c r="BS40" s="141" t="s">
        <v>2406</v>
      </c>
      <c r="BT40" s="141" t="s">
        <v>2390</v>
      </c>
      <c r="BU40" s="141" t="s">
        <v>2391</v>
      </c>
      <c r="BV40" s="141" t="s">
        <v>2392</v>
      </c>
      <c r="BW40" s="141" t="s">
        <v>2393</v>
      </c>
      <c r="BX40" s="141" t="s">
        <v>2407</v>
      </c>
      <c r="BY40" s="141" t="s">
        <v>2408</v>
      </c>
      <c r="BZ40" s="141" t="s">
        <v>2409</v>
      </c>
      <c r="CA40" s="141" t="s">
        <v>2410</v>
      </c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</row>
    <row r="41" spans="1:93" s="7" customFormat="1" x14ac:dyDescent="0.25">
      <c r="A41" s="19" t="s">
        <v>2298</v>
      </c>
      <c r="B41" s="19" t="s">
        <v>2299</v>
      </c>
      <c r="C41" s="19">
        <v>96101416</v>
      </c>
      <c r="D41" s="20">
        <v>96101416</v>
      </c>
      <c r="E41" s="21" t="s">
        <v>1860</v>
      </c>
      <c r="F41" s="21" t="s">
        <v>2318</v>
      </c>
      <c r="G41" s="21" t="s">
        <v>332</v>
      </c>
      <c r="H41" s="21" t="s">
        <v>234</v>
      </c>
      <c r="I41" s="21" t="s">
        <v>254</v>
      </c>
      <c r="J41" s="21" t="s">
        <v>2070</v>
      </c>
      <c r="K41" s="21" t="s">
        <v>2325</v>
      </c>
      <c r="L41" s="21" t="s">
        <v>2068</v>
      </c>
      <c r="M41" s="19" t="s">
        <v>2334</v>
      </c>
      <c r="N41" s="19"/>
      <c r="O41" s="35">
        <v>60</v>
      </c>
      <c r="P41" s="35">
        <v>30</v>
      </c>
      <c r="Q41" s="32"/>
      <c r="R41" s="22">
        <v>20</v>
      </c>
      <c r="S41" s="22">
        <v>20</v>
      </c>
      <c r="T41" s="22">
        <v>20</v>
      </c>
      <c r="U41" s="22">
        <v>10</v>
      </c>
      <c r="V41" s="60">
        <f t="shared" si="5"/>
        <v>70</v>
      </c>
      <c r="W41" s="86"/>
      <c r="X41" s="86">
        <v>12</v>
      </c>
      <c r="Y41" s="86">
        <v>58</v>
      </c>
      <c r="Z41" s="86"/>
      <c r="AA41" s="86">
        <v>70</v>
      </c>
      <c r="AB41" s="21"/>
      <c r="AC41" s="77"/>
      <c r="AD41" s="21"/>
      <c r="AE41" s="77"/>
      <c r="AF41" s="21"/>
      <c r="AG41" s="21"/>
      <c r="AH41" s="21"/>
      <c r="AI41" s="21"/>
      <c r="AJ41" s="21"/>
      <c r="AK41" s="21"/>
      <c r="AL41" s="77"/>
      <c r="AM41" s="21">
        <v>4</v>
      </c>
      <c r="AN41" s="21">
        <v>4</v>
      </c>
      <c r="AO41" s="21">
        <v>4</v>
      </c>
      <c r="AP41" s="21"/>
      <c r="AQ41" s="21"/>
      <c r="AR41" s="21"/>
      <c r="AS41" s="77"/>
      <c r="AT41" s="21"/>
      <c r="AU41" s="21"/>
      <c r="AV41" s="21">
        <v>6</v>
      </c>
      <c r="AW41" s="21">
        <v>4</v>
      </c>
      <c r="AX41" s="21">
        <v>3</v>
      </c>
      <c r="AY41" s="21">
        <v>8</v>
      </c>
      <c r="AZ41" s="77"/>
      <c r="BA41" s="21">
        <v>8</v>
      </c>
      <c r="BB41" s="21">
        <v>8</v>
      </c>
      <c r="BC41" s="21">
        <v>10</v>
      </c>
      <c r="BD41" s="144">
        <f t="shared" si="6"/>
        <v>59</v>
      </c>
      <c r="BE41" s="94">
        <f t="shared" si="7"/>
        <v>11</v>
      </c>
      <c r="BF41" s="26"/>
      <c r="BH41" s="141">
        <v>96101416</v>
      </c>
      <c r="BI41" s="141" t="s">
        <v>2334</v>
      </c>
      <c r="BJ41" s="141" t="s">
        <v>2386</v>
      </c>
      <c r="BK41" s="141" t="s">
        <v>2387</v>
      </c>
      <c r="BL41" s="141" t="s">
        <v>2399</v>
      </c>
      <c r="BM41" s="141" t="s">
        <v>2400</v>
      </c>
      <c r="BN41" s="141" t="s">
        <v>2401</v>
      </c>
      <c r="BO41" s="141" t="s">
        <v>2402</v>
      </c>
      <c r="BP41" s="141" t="s">
        <v>2403</v>
      </c>
      <c r="BQ41" s="141" t="s">
        <v>2404</v>
      </c>
      <c r="BR41" s="141" t="s">
        <v>2405</v>
      </c>
      <c r="BS41" s="141" t="s">
        <v>2406</v>
      </c>
      <c r="BT41" s="141" t="s">
        <v>2390</v>
      </c>
      <c r="BU41" s="141" t="s">
        <v>2391</v>
      </c>
      <c r="BV41" s="141" t="s">
        <v>2392</v>
      </c>
      <c r="BW41" s="141" t="s">
        <v>2393</v>
      </c>
      <c r="BX41" s="141" t="s">
        <v>2407</v>
      </c>
      <c r="BY41" s="141" t="s">
        <v>2408</v>
      </c>
      <c r="BZ41" s="141" t="s">
        <v>2409</v>
      </c>
      <c r="CA41" s="141" t="s">
        <v>2411</v>
      </c>
      <c r="CB41" s="142"/>
      <c r="CC41" s="142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</row>
    <row r="42" spans="1:93" s="7" customFormat="1" x14ac:dyDescent="0.25">
      <c r="A42" s="19" t="s">
        <v>2298</v>
      </c>
      <c r="B42" s="19" t="s">
        <v>2299</v>
      </c>
      <c r="C42" s="19">
        <v>96201436</v>
      </c>
      <c r="D42" s="20" t="s">
        <v>2302</v>
      </c>
      <c r="E42" s="21" t="s">
        <v>1860</v>
      </c>
      <c r="F42" s="21" t="s">
        <v>2320</v>
      </c>
      <c r="G42" s="21" t="s">
        <v>332</v>
      </c>
      <c r="H42" s="21" t="s">
        <v>234</v>
      </c>
      <c r="I42" s="21" t="s">
        <v>254</v>
      </c>
      <c r="J42" s="21" t="s">
        <v>2083</v>
      </c>
      <c r="K42" s="21" t="s">
        <v>2325</v>
      </c>
      <c r="L42" s="21" t="s">
        <v>2068</v>
      </c>
      <c r="M42" s="19" t="s">
        <v>2335</v>
      </c>
      <c r="N42" s="19"/>
      <c r="O42" s="35">
        <v>10</v>
      </c>
      <c r="P42" s="35">
        <v>10</v>
      </c>
      <c r="Q42" s="32"/>
      <c r="R42" s="22">
        <v>5</v>
      </c>
      <c r="S42" s="22">
        <v>5</v>
      </c>
      <c r="T42" s="22">
        <v>5</v>
      </c>
      <c r="U42" s="22">
        <v>5</v>
      </c>
      <c r="V42" s="60">
        <f t="shared" si="5"/>
        <v>20</v>
      </c>
      <c r="W42" s="86"/>
      <c r="X42" s="86">
        <v>20</v>
      </c>
      <c r="Y42" s="86"/>
      <c r="Z42" s="86"/>
      <c r="AA42" s="86">
        <v>20</v>
      </c>
      <c r="AB42" s="21"/>
      <c r="AC42" s="77"/>
      <c r="AD42" s="21"/>
      <c r="AE42" s="77"/>
      <c r="AF42" s="21"/>
      <c r="AG42" s="21"/>
      <c r="AH42" s="21"/>
      <c r="AI42" s="21"/>
      <c r="AJ42" s="21"/>
      <c r="AK42" s="21"/>
      <c r="AL42" s="77"/>
      <c r="AM42" s="21"/>
      <c r="AN42" s="21"/>
      <c r="AO42" s="21"/>
      <c r="AP42" s="21"/>
      <c r="AQ42" s="21">
        <v>4</v>
      </c>
      <c r="AR42" s="21">
        <v>4</v>
      </c>
      <c r="AS42" s="77"/>
      <c r="AT42" s="21">
        <v>4</v>
      </c>
      <c r="AU42" s="21">
        <v>4</v>
      </c>
      <c r="AV42" s="21">
        <v>4</v>
      </c>
      <c r="AW42" s="21"/>
      <c r="AX42" s="21"/>
      <c r="AY42" s="21"/>
      <c r="AZ42" s="77"/>
      <c r="BA42" s="21"/>
      <c r="BB42" s="21"/>
      <c r="BC42" s="21"/>
      <c r="BD42" s="144">
        <f t="shared" si="6"/>
        <v>20</v>
      </c>
      <c r="BE42" s="94">
        <f t="shared" si="7"/>
        <v>0</v>
      </c>
      <c r="BF42" s="26"/>
      <c r="BH42" s="141" t="s">
        <v>2302</v>
      </c>
      <c r="BI42" s="141" t="s">
        <v>2412</v>
      </c>
      <c r="BJ42" s="141" t="s">
        <v>2386</v>
      </c>
      <c r="BK42" s="141" t="s">
        <v>2387</v>
      </c>
      <c r="BL42" s="141" t="s">
        <v>2399</v>
      </c>
      <c r="BM42" s="141" t="s">
        <v>2400</v>
      </c>
      <c r="BN42" s="141" t="s">
        <v>2401</v>
      </c>
      <c r="BO42" s="141" t="s">
        <v>2402</v>
      </c>
      <c r="BP42" s="141" t="s">
        <v>2403</v>
      </c>
      <c r="BQ42" s="141" t="s">
        <v>2404</v>
      </c>
      <c r="BR42" s="141" t="s">
        <v>2405</v>
      </c>
      <c r="BS42" s="141" t="s">
        <v>2406</v>
      </c>
      <c r="BT42" s="141" t="s">
        <v>2390</v>
      </c>
      <c r="BU42" s="141" t="s">
        <v>2391</v>
      </c>
      <c r="BV42" s="141" t="s">
        <v>2392</v>
      </c>
      <c r="BW42" s="141" t="s">
        <v>2393</v>
      </c>
      <c r="BX42" s="141" t="s">
        <v>2407</v>
      </c>
      <c r="BY42" s="141" t="s">
        <v>2408</v>
      </c>
      <c r="BZ42" s="141" t="s">
        <v>2409</v>
      </c>
      <c r="CA42" s="141" t="s">
        <v>2410</v>
      </c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</row>
    <row r="43" spans="1:93" s="7" customFormat="1" x14ac:dyDescent="0.25">
      <c r="A43" s="19" t="s">
        <v>2298</v>
      </c>
      <c r="B43" s="19" t="s">
        <v>2299</v>
      </c>
      <c r="C43" s="19">
        <v>96201437</v>
      </c>
      <c r="D43" s="20" t="s">
        <v>2302</v>
      </c>
      <c r="E43" s="21" t="s">
        <v>1860</v>
      </c>
      <c r="F43" s="21" t="s">
        <v>2320</v>
      </c>
      <c r="G43" s="21" t="s">
        <v>332</v>
      </c>
      <c r="H43" s="21" t="s">
        <v>2319</v>
      </c>
      <c r="I43" s="21" t="s">
        <v>254</v>
      </c>
      <c r="J43" s="21" t="s">
        <v>2083</v>
      </c>
      <c r="K43" s="21" t="s">
        <v>2325</v>
      </c>
      <c r="L43" s="21" t="s">
        <v>2068</v>
      </c>
      <c r="M43" s="19" t="s">
        <v>2336</v>
      </c>
      <c r="N43" s="19"/>
      <c r="O43" s="35">
        <v>5</v>
      </c>
      <c r="P43" s="35">
        <v>5</v>
      </c>
      <c r="Q43" s="32"/>
      <c r="R43" s="22">
        <v>5</v>
      </c>
      <c r="S43" s="22">
        <v>5</v>
      </c>
      <c r="T43" s="22">
        <v>5</v>
      </c>
      <c r="U43" s="22">
        <v>4</v>
      </c>
      <c r="V43" s="60">
        <f t="shared" si="5"/>
        <v>19</v>
      </c>
      <c r="W43" s="86"/>
      <c r="X43" s="86">
        <v>19</v>
      </c>
      <c r="Y43" s="86"/>
      <c r="Z43" s="86"/>
      <c r="AA43" s="86">
        <v>19</v>
      </c>
      <c r="AB43" s="21"/>
      <c r="AC43" s="77"/>
      <c r="AD43" s="21"/>
      <c r="AE43" s="77"/>
      <c r="AF43" s="21"/>
      <c r="AG43" s="21"/>
      <c r="AH43" s="21"/>
      <c r="AI43" s="21"/>
      <c r="AJ43" s="21"/>
      <c r="AK43" s="21"/>
      <c r="AL43" s="77"/>
      <c r="AM43" s="21"/>
      <c r="AN43" s="21"/>
      <c r="AO43" s="21"/>
      <c r="AP43" s="21"/>
      <c r="AQ43" s="21"/>
      <c r="AR43" s="21"/>
      <c r="AS43" s="77"/>
      <c r="AT43" s="21">
        <v>3</v>
      </c>
      <c r="AU43" s="21">
        <v>3</v>
      </c>
      <c r="AV43" s="21">
        <v>3</v>
      </c>
      <c r="AW43" s="21">
        <v>3</v>
      </c>
      <c r="AX43" s="21">
        <v>3</v>
      </c>
      <c r="AY43" s="21">
        <v>3</v>
      </c>
      <c r="AZ43" s="77"/>
      <c r="BA43" s="21">
        <v>1</v>
      </c>
      <c r="BB43" s="21"/>
      <c r="BC43" s="21"/>
      <c r="BD43" s="144">
        <f t="shared" si="6"/>
        <v>19</v>
      </c>
      <c r="BE43" s="94">
        <f t="shared" si="7"/>
        <v>0</v>
      </c>
      <c r="BF43" s="26"/>
      <c r="BH43" s="141" t="s">
        <v>2302</v>
      </c>
      <c r="BI43" s="141" t="s">
        <v>2412</v>
      </c>
      <c r="BJ43" s="141" t="s">
        <v>2386</v>
      </c>
      <c r="BK43" s="141" t="s">
        <v>2387</v>
      </c>
      <c r="BL43" s="141" t="s">
        <v>2399</v>
      </c>
      <c r="BM43" s="141" t="s">
        <v>2400</v>
      </c>
      <c r="BN43" s="141" t="s">
        <v>2401</v>
      </c>
      <c r="BO43" s="141" t="s">
        <v>2402</v>
      </c>
      <c r="BP43" s="141" t="s">
        <v>2403</v>
      </c>
      <c r="BQ43" s="141" t="s">
        <v>2404</v>
      </c>
      <c r="BR43" s="141" t="s">
        <v>2405</v>
      </c>
      <c r="BS43" s="141" t="s">
        <v>2406</v>
      </c>
      <c r="BT43" s="141" t="s">
        <v>2390</v>
      </c>
      <c r="BU43" s="141" t="s">
        <v>2391</v>
      </c>
      <c r="BV43" s="141" t="s">
        <v>2392</v>
      </c>
      <c r="BW43" s="141" t="s">
        <v>2393</v>
      </c>
      <c r="BX43" s="141" t="s">
        <v>2407</v>
      </c>
      <c r="BY43" s="141" t="s">
        <v>2408</v>
      </c>
      <c r="BZ43" s="141" t="s">
        <v>2409</v>
      </c>
      <c r="CA43" s="141" t="s">
        <v>2410</v>
      </c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</row>
    <row r="44" spans="1:93" s="7" customFormat="1" x14ac:dyDescent="0.25">
      <c r="A44" s="19" t="s">
        <v>2298</v>
      </c>
      <c r="B44" s="19" t="s">
        <v>2299</v>
      </c>
      <c r="C44" s="19">
        <v>96201426</v>
      </c>
      <c r="D44" s="20">
        <v>96201426</v>
      </c>
      <c r="E44" s="21" t="s">
        <v>1860</v>
      </c>
      <c r="F44" s="21" t="s">
        <v>2320</v>
      </c>
      <c r="G44" s="21" t="s">
        <v>332</v>
      </c>
      <c r="H44" s="21" t="s">
        <v>234</v>
      </c>
      <c r="I44" s="21" t="s">
        <v>254</v>
      </c>
      <c r="J44" s="21" t="s">
        <v>2070</v>
      </c>
      <c r="K44" s="21" t="s">
        <v>2325</v>
      </c>
      <c r="L44" s="21" t="s">
        <v>2068</v>
      </c>
      <c r="M44" s="19" t="s">
        <v>2337</v>
      </c>
      <c r="N44" s="19"/>
      <c r="O44" s="35">
        <v>40</v>
      </c>
      <c r="P44" s="35">
        <v>20</v>
      </c>
      <c r="Q44" s="32"/>
      <c r="R44" s="22">
        <v>10</v>
      </c>
      <c r="S44" s="22">
        <v>5</v>
      </c>
      <c r="T44" s="22">
        <v>10</v>
      </c>
      <c r="U44" s="22">
        <v>15</v>
      </c>
      <c r="V44" s="60">
        <f t="shared" si="5"/>
        <v>40</v>
      </c>
      <c r="W44" s="86"/>
      <c r="X44" s="86">
        <v>35</v>
      </c>
      <c r="Y44" s="86"/>
      <c r="Z44" s="86"/>
      <c r="AA44" s="86">
        <v>35</v>
      </c>
      <c r="AB44" s="21"/>
      <c r="AC44" s="77"/>
      <c r="AD44" s="21"/>
      <c r="AE44" s="77"/>
      <c r="AF44" s="21"/>
      <c r="AG44" s="21"/>
      <c r="AH44" s="21"/>
      <c r="AI44" s="21"/>
      <c r="AJ44" s="21"/>
      <c r="AK44" s="21"/>
      <c r="AL44" s="77"/>
      <c r="AM44" s="21">
        <v>7</v>
      </c>
      <c r="AN44" s="21">
        <v>7</v>
      </c>
      <c r="AO44" s="21">
        <v>7</v>
      </c>
      <c r="AP44" s="21">
        <v>7</v>
      </c>
      <c r="AQ44" s="21">
        <v>7</v>
      </c>
      <c r="AR44" s="21"/>
      <c r="AS44" s="77"/>
      <c r="AT44" s="21"/>
      <c r="AU44" s="21"/>
      <c r="AV44" s="21"/>
      <c r="AW44" s="21"/>
      <c r="AX44" s="21"/>
      <c r="AY44" s="21"/>
      <c r="AZ44" s="77"/>
      <c r="BA44" s="21"/>
      <c r="BB44" s="21"/>
      <c r="BC44" s="21"/>
      <c r="BD44" s="144">
        <f t="shared" si="6"/>
        <v>35</v>
      </c>
      <c r="BE44" s="94">
        <f t="shared" si="7"/>
        <v>0</v>
      </c>
      <c r="BF44" s="26"/>
      <c r="BH44" s="141">
        <v>96201426</v>
      </c>
      <c r="BI44" s="141" t="s">
        <v>2337</v>
      </c>
      <c r="BJ44" s="141" t="s">
        <v>2386</v>
      </c>
      <c r="BK44" s="141" t="s">
        <v>2387</v>
      </c>
      <c r="BL44" s="141" t="s">
        <v>2399</v>
      </c>
      <c r="BM44" s="141" t="s">
        <v>2400</v>
      </c>
      <c r="BN44" s="141" t="s">
        <v>2401</v>
      </c>
      <c r="BO44" s="141" t="s">
        <v>2402</v>
      </c>
      <c r="BP44" s="141" t="s">
        <v>2403</v>
      </c>
      <c r="BQ44" s="141" t="s">
        <v>2404</v>
      </c>
      <c r="BR44" s="141" t="s">
        <v>2405</v>
      </c>
      <c r="BS44" s="141" t="s">
        <v>2406</v>
      </c>
      <c r="BT44" s="141" t="s">
        <v>2390</v>
      </c>
      <c r="BU44" s="141" t="s">
        <v>2391</v>
      </c>
      <c r="BV44" s="141" t="s">
        <v>2392</v>
      </c>
      <c r="BW44" s="141" t="s">
        <v>2393</v>
      </c>
      <c r="BX44" s="141" t="s">
        <v>2407</v>
      </c>
      <c r="BY44" s="141" t="s">
        <v>2408</v>
      </c>
      <c r="BZ44" s="141" t="s">
        <v>2409</v>
      </c>
      <c r="CA44" s="141" t="s">
        <v>2411</v>
      </c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</row>
    <row r="45" spans="1:93" s="7" customFormat="1" x14ac:dyDescent="0.25">
      <c r="A45" s="19" t="s">
        <v>2298</v>
      </c>
      <c r="B45" s="19" t="s">
        <v>2299</v>
      </c>
      <c r="C45" s="19">
        <v>96101567</v>
      </c>
      <c r="D45" s="20">
        <v>96101567</v>
      </c>
      <c r="E45" s="21" t="s">
        <v>1860</v>
      </c>
      <c r="F45" s="21" t="s">
        <v>2318</v>
      </c>
      <c r="G45" s="21" t="s">
        <v>332</v>
      </c>
      <c r="H45" s="21" t="s">
        <v>2319</v>
      </c>
      <c r="I45" s="21" t="s">
        <v>254</v>
      </c>
      <c r="J45" s="21" t="s">
        <v>2070</v>
      </c>
      <c r="K45" s="21" t="s">
        <v>2325</v>
      </c>
      <c r="L45" s="21" t="s">
        <v>2068</v>
      </c>
      <c r="M45" s="19" t="s">
        <v>2338</v>
      </c>
      <c r="N45" s="19"/>
      <c r="O45" s="35">
        <v>5</v>
      </c>
      <c r="P45" s="35">
        <v>5</v>
      </c>
      <c r="Q45" s="32"/>
      <c r="R45" s="22">
        <v>3</v>
      </c>
      <c r="S45" s="22">
        <v>2</v>
      </c>
      <c r="T45" s="22">
        <v>3</v>
      </c>
      <c r="U45" s="22">
        <v>2</v>
      </c>
      <c r="V45" s="60">
        <f t="shared" si="5"/>
        <v>10</v>
      </c>
      <c r="W45" s="86"/>
      <c r="X45" s="86"/>
      <c r="Y45" s="86"/>
      <c r="Z45" s="86">
        <v>10</v>
      </c>
      <c r="AA45" s="86">
        <v>10</v>
      </c>
      <c r="AB45" s="21"/>
      <c r="AC45" s="77"/>
      <c r="AD45" s="21"/>
      <c r="AE45" s="77"/>
      <c r="AF45" s="21"/>
      <c r="AG45" s="21"/>
      <c r="AH45" s="21"/>
      <c r="AI45" s="21"/>
      <c r="AJ45" s="21"/>
      <c r="AK45" s="21"/>
      <c r="AL45" s="77"/>
      <c r="AM45" s="21"/>
      <c r="AN45" s="21"/>
      <c r="AO45" s="21"/>
      <c r="AP45" s="21"/>
      <c r="AQ45" s="21"/>
      <c r="AR45" s="21"/>
      <c r="AS45" s="77"/>
      <c r="AT45" s="21"/>
      <c r="AU45" s="21"/>
      <c r="AV45" s="21"/>
      <c r="AW45" s="21"/>
      <c r="AX45" s="21">
        <v>2</v>
      </c>
      <c r="AY45" s="21">
        <v>2</v>
      </c>
      <c r="AZ45" s="77"/>
      <c r="BA45" s="21">
        <v>2</v>
      </c>
      <c r="BB45" s="21">
        <v>2</v>
      </c>
      <c r="BC45" s="21"/>
      <c r="BD45" s="144">
        <f t="shared" si="6"/>
        <v>8</v>
      </c>
      <c r="BE45" s="94">
        <f t="shared" si="7"/>
        <v>2</v>
      </c>
      <c r="BF45" s="26"/>
      <c r="BH45" s="141">
        <v>96101567</v>
      </c>
      <c r="BI45" s="141" t="s">
        <v>2338</v>
      </c>
      <c r="BJ45" s="141" t="s">
        <v>2386</v>
      </c>
      <c r="BK45" s="141" t="s">
        <v>2387</v>
      </c>
      <c r="BL45" s="141" t="s">
        <v>2413</v>
      </c>
      <c r="BM45" s="141" t="s">
        <v>2414</v>
      </c>
      <c r="BN45" s="141" t="s">
        <v>2401</v>
      </c>
      <c r="BO45" s="141" t="s">
        <v>2402</v>
      </c>
      <c r="BP45" s="141" t="s">
        <v>2403</v>
      </c>
      <c r="BQ45" s="141" t="s">
        <v>2404</v>
      </c>
      <c r="BR45" s="141" t="s">
        <v>2415</v>
      </c>
      <c r="BS45" s="141" t="s">
        <v>2406</v>
      </c>
      <c r="BT45" s="141" t="s">
        <v>2390</v>
      </c>
      <c r="BU45" s="141" t="s">
        <v>2391</v>
      </c>
      <c r="BV45" s="141" t="s">
        <v>2392</v>
      </c>
      <c r="BW45" s="141" t="s">
        <v>2393</v>
      </c>
      <c r="BX45" s="141" t="s">
        <v>2416</v>
      </c>
      <c r="BY45" s="141" t="s">
        <v>2417</v>
      </c>
      <c r="BZ45" s="141" t="s">
        <v>2418</v>
      </c>
      <c r="CA45" s="141" t="s">
        <v>2411</v>
      </c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</row>
    <row r="46" spans="1:93" s="7" customFormat="1" x14ac:dyDescent="0.25">
      <c r="A46" s="19" t="s">
        <v>2298</v>
      </c>
      <c r="B46" s="19" t="s">
        <v>2299</v>
      </c>
      <c r="C46" s="19">
        <v>96101568</v>
      </c>
      <c r="D46" s="20" t="s">
        <v>2303</v>
      </c>
      <c r="E46" s="21" t="s">
        <v>1860</v>
      </c>
      <c r="F46" s="21" t="s">
        <v>2318</v>
      </c>
      <c r="G46" s="21" t="s">
        <v>332</v>
      </c>
      <c r="H46" s="21" t="s">
        <v>234</v>
      </c>
      <c r="I46" s="21" t="s">
        <v>254</v>
      </c>
      <c r="J46" s="21" t="s">
        <v>2083</v>
      </c>
      <c r="K46" s="21" t="s">
        <v>2325</v>
      </c>
      <c r="L46" s="21" t="s">
        <v>2068</v>
      </c>
      <c r="M46" s="19" t="s">
        <v>2339</v>
      </c>
      <c r="N46" s="19"/>
      <c r="O46" s="35">
        <v>10</v>
      </c>
      <c r="P46" s="35">
        <v>5</v>
      </c>
      <c r="Q46" s="32"/>
      <c r="R46" s="22">
        <v>15</v>
      </c>
      <c r="S46" s="22">
        <v>5</v>
      </c>
      <c r="T46" s="22">
        <v>5</v>
      </c>
      <c r="U46" s="22">
        <v>5</v>
      </c>
      <c r="V46" s="60">
        <f t="shared" si="5"/>
        <v>30</v>
      </c>
      <c r="W46" s="86"/>
      <c r="X46" s="86"/>
      <c r="Y46" s="86">
        <v>10</v>
      </c>
      <c r="Z46" s="86">
        <v>20</v>
      </c>
      <c r="AA46" s="86">
        <v>30</v>
      </c>
      <c r="AB46" s="21"/>
      <c r="AC46" s="77"/>
      <c r="AD46" s="21"/>
      <c r="AE46" s="77"/>
      <c r="AF46" s="21"/>
      <c r="AG46" s="21"/>
      <c r="AH46" s="21"/>
      <c r="AI46" s="21"/>
      <c r="AJ46" s="21"/>
      <c r="AK46" s="21"/>
      <c r="AL46" s="77"/>
      <c r="AM46" s="21"/>
      <c r="AN46" s="21"/>
      <c r="AO46" s="21"/>
      <c r="AP46" s="21"/>
      <c r="AQ46" s="21"/>
      <c r="AR46" s="21"/>
      <c r="AS46" s="77"/>
      <c r="AT46" s="21"/>
      <c r="AU46" s="21"/>
      <c r="AV46" s="21"/>
      <c r="AW46" s="21"/>
      <c r="AX46" s="21"/>
      <c r="AY46" s="21">
        <v>6</v>
      </c>
      <c r="AZ46" s="77"/>
      <c r="BA46" s="21">
        <v>4</v>
      </c>
      <c r="BB46" s="21">
        <v>3</v>
      </c>
      <c r="BC46" s="21">
        <v>3</v>
      </c>
      <c r="BD46" s="144">
        <f t="shared" si="6"/>
        <v>16</v>
      </c>
      <c r="BE46" s="94">
        <f t="shared" si="7"/>
        <v>14</v>
      </c>
      <c r="BF46" s="26"/>
      <c r="BH46" s="141" t="s">
        <v>2303</v>
      </c>
      <c r="BI46" s="141" t="s">
        <v>2419</v>
      </c>
      <c r="BJ46" s="141" t="s">
        <v>2386</v>
      </c>
      <c r="BK46" s="141" t="s">
        <v>2387</v>
      </c>
      <c r="BL46" s="141" t="s">
        <v>2413</v>
      </c>
      <c r="BM46" s="141" t="s">
        <v>2414</v>
      </c>
      <c r="BN46" s="141" t="s">
        <v>2401</v>
      </c>
      <c r="BO46" s="141" t="s">
        <v>2402</v>
      </c>
      <c r="BP46" s="141" t="s">
        <v>2403</v>
      </c>
      <c r="BQ46" s="141" t="s">
        <v>2404</v>
      </c>
      <c r="BR46" s="141" t="s">
        <v>2415</v>
      </c>
      <c r="BS46" s="141" t="s">
        <v>2406</v>
      </c>
      <c r="BT46" s="141" t="s">
        <v>2390</v>
      </c>
      <c r="BU46" s="141" t="s">
        <v>2391</v>
      </c>
      <c r="BV46" s="141" t="s">
        <v>2392</v>
      </c>
      <c r="BW46" s="141" t="s">
        <v>2393</v>
      </c>
      <c r="BX46" s="141" t="s">
        <v>2416</v>
      </c>
      <c r="BY46" s="141" t="s">
        <v>2417</v>
      </c>
      <c r="BZ46" s="141" t="s">
        <v>2418</v>
      </c>
      <c r="CA46" s="141" t="s">
        <v>2410</v>
      </c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</row>
    <row r="47" spans="1:93" s="7" customFormat="1" x14ac:dyDescent="0.25">
      <c r="A47" s="19" t="s">
        <v>2298</v>
      </c>
      <c r="B47" s="19" t="s">
        <v>2299</v>
      </c>
      <c r="C47" s="19">
        <v>96101569</v>
      </c>
      <c r="D47" s="20" t="s">
        <v>2303</v>
      </c>
      <c r="E47" s="21" t="s">
        <v>1860</v>
      </c>
      <c r="F47" s="21" t="s">
        <v>2318</v>
      </c>
      <c r="G47" s="21" t="s">
        <v>332</v>
      </c>
      <c r="H47" s="21" t="s">
        <v>2319</v>
      </c>
      <c r="I47" s="21" t="s">
        <v>254</v>
      </c>
      <c r="J47" s="21" t="s">
        <v>2083</v>
      </c>
      <c r="K47" s="21" t="s">
        <v>2325</v>
      </c>
      <c r="L47" s="21" t="s">
        <v>2068</v>
      </c>
      <c r="M47" s="19" t="s">
        <v>2340</v>
      </c>
      <c r="N47" s="19"/>
      <c r="O47" s="35">
        <v>5</v>
      </c>
      <c r="P47" s="35">
        <v>5</v>
      </c>
      <c r="Q47" s="32"/>
      <c r="R47" s="22">
        <v>3</v>
      </c>
      <c r="S47" s="22">
        <v>2</v>
      </c>
      <c r="T47" s="22">
        <v>3</v>
      </c>
      <c r="U47" s="22">
        <v>2</v>
      </c>
      <c r="V47" s="60">
        <f t="shared" si="5"/>
        <v>10</v>
      </c>
      <c r="W47" s="86"/>
      <c r="X47" s="86"/>
      <c r="Y47" s="86">
        <v>10</v>
      </c>
      <c r="Z47" s="86"/>
      <c r="AA47" s="86">
        <v>10</v>
      </c>
      <c r="AB47" s="21"/>
      <c r="AC47" s="77"/>
      <c r="AD47" s="21"/>
      <c r="AE47" s="77"/>
      <c r="AF47" s="21"/>
      <c r="AG47" s="21"/>
      <c r="AH47" s="21"/>
      <c r="AI47" s="21"/>
      <c r="AJ47" s="21"/>
      <c r="AK47" s="21"/>
      <c r="AL47" s="77"/>
      <c r="AM47" s="21"/>
      <c r="AN47" s="21"/>
      <c r="AO47" s="21"/>
      <c r="AP47" s="21"/>
      <c r="AQ47" s="21"/>
      <c r="AR47" s="21"/>
      <c r="AS47" s="77"/>
      <c r="AT47" s="21"/>
      <c r="AU47" s="21"/>
      <c r="AV47" s="21"/>
      <c r="AW47" s="21"/>
      <c r="AX47" s="21"/>
      <c r="AY47" s="21"/>
      <c r="AZ47" s="77"/>
      <c r="BA47" s="21">
        <v>5</v>
      </c>
      <c r="BB47" s="21">
        <v>5</v>
      </c>
      <c r="BC47" s="21"/>
      <c r="BD47" s="144">
        <f t="shared" si="6"/>
        <v>10</v>
      </c>
      <c r="BE47" s="94">
        <f t="shared" si="7"/>
        <v>0</v>
      </c>
      <c r="BF47" s="26"/>
      <c r="BH47" s="141" t="s">
        <v>2303</v>
      </c>
      <c r="BI47" s="141" t="s">
        <v>2419</v>
      </c>
      <c r="BJ47" s="141" t="s">
        <v>2386</v>
      </c>
      <c r="BK47" s="141" t="s">
        <v>2387</v>
      </c>
      <c r="BL47" s="141" t="s">
        <v>2413</v>
      </c>
      <c r="BM47" s="141" t="s">
        <v>2414</v>
      </c>
      <c r="BN47" s="141" t="s">
        <v>2401</v>
      </c>
      <c r="BO47" s="141" t="s">
        <v>2402</v>
      </c>
      <c r="BP47" s="141" t="s">
        <v>2403</v>
      </c>
      <c r="BQ47" s="141" t="s">
        <v>2404</v>
      </c>
      <c r="BR47" s="141" t="s">
        <v>2415</v>
      </c>
      <c r="BS47" s="141" t="s">
        <v>2406</v>
      </c>
      <c r="BT47" s="141" t="s">
        <v>2390</v>
      </c>
      <c r="BU47" s="141" t="s">
        <v>2391</v>
      </c>
      <c r="BV47" s="141" t="s">
        <v>2392</v>
      </c>
      <c r="BW47" s="141" t="s">
        <v>2393</v>
      </c>
      <c r="BX47" s="141" t="s">
        <v>2416</v>
      </c>
      <c r="BY47" s="141" t="s">
        <v>2417</v>
      </c>
      <c r="BZ47" s="141" t="s">
        <v>2418</v>
      </c>
      <c r="CA47" s="141" t="s">
        <v>2410</v>
      </c>
      <c r="CB47" s="142"/>
      <c r="CC47" s="142"/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</row>
    <row r="48" spans="1:93" s="7" customFormat="1" x14ac:dyDescent="0.25">
      <c r="A48" s="19" t="s">
        <v>2298</v>
      </c>
      <c r="B48" s="19" t="s">
        <v>2299</v>
      </c>
      <c r="C48" s="19">
        <v>96101531</v>
      </c>
      <c r="D48" s="20" t="s">
        <v>2301</v>
      </c>
      <c r="E48" s="21" t="s">
        <v>1860</v>
      </c>
      <c r="F48" s="21" t="s">
        <v>2318</v>
      </c>
      <c r="G48" s="21" t="s">
        <v>332</v>
      </c>
      <c r="H48" s="21" t="s">
        <v>234</v>
      </c>
      <c r="I48" s="21" t="s">
        <v>254</v>
      </c>
      <c r="J48" s="21" t="s">
        <v>2069</v>
      </c>
      <c r="K48" s="21" t="s">
        <v>2325</v>
      </c>
      <c r="L48" s="21" t="s">
        <v>2068</v>
      </c>
      <c r="M48" s="19" t="s">
        <v>2342</v>
      </c>
      <c r="N48" s="19"/>
      <c r="O48" s="35">
        <v>0</v>
      </c>
      <c r="P48" s="35">
        <v>0</v>
      </c>
      <c r="Q48" s="32"/>
      <c r="R48" s="22">
        <v>0</v>
      </c>
      <c r="S48" s="22">
        <v>0</v>
      </c>
      <c r="T48" s="22">
        <v>0</v>
      </c>
      <c r="U48" s="22">
        <v>5</v>
      </c>
      <c r="V48" s="60">
        <f t="shared" si="5"/>
        <v>5</v>
      </c>
      <c r="W48" s="86"/>
      <c r="X48" s="86">
        <v>5</v>
      </c>
      <c r="Y48" s="86"/>
      <c r="Z48" s="86"/>
      <c r="AA48" s="86">
        <v>5</v>
      </c>
      <c r="AB48" s="21"/>
      <c r="AC48" s="77"/>
      <c r="AD48" s="21"/>
      <c r="AE48" s="77"/>
      <c r="AF48" s="21"/>
      <c r="AG48" s="21"/>
      <c r="AH48" s="21"/>
      <c r="AI48" s="21"/>
      <c r="AJ48" s="21"/>
      <c r="AK48" s="21"/>
      <c r="AL48" s="77"/>
      <c r="AM48" s="21"/>
      <c r="AN48" s="21"/>
      <c r="AO48" s="21"/>
      <c r="AP48" s="21"/>
      <c r="AQ48" s="21"/>
      <c r="AR48" s="21"/>
      <c r="AS48" s="77"/>
      <c r="AT48" s="21"/>
      <c r="AU48" s="21"/>
      <c r="AV48" s="21"/>
      <c r="AW48" s="21">
        <v>1</v>
      </c>
      <c r="AX48" s="21">
        <v>1</v>
      </c>
      <c r="AY48" s="21">
        <v>1</v>
      </c>
      <c r="AZ48" s="77"/>
      <c r="BA48" s="21">
        <v>1</v>
      </c>
      <c r="BB48" s="21">
        <v>1</v>
      </c>
      <c r="BC48" s="21"/>
      <c r="BD48" s="144">
        <f t="shared" si="6"/>
        <v>5</v>
      </c>
      <c r="BE48" s="94">
        <f t="shared" si="7"/>
        <v>0</v>
      </c>
      <c r="BF48" s="26"/>
      <c r="BH48" s="141" t="s">
        <v>2301</v>
      </c>
      <c r="BI48" s="141" t="s">
        <v>2398</v>
      </c>
      <c r="BJ48" s="141" t="s">
        <v>2386</v>
      </c>
      <c r="BK48" s="141" t="s">
        <v>2387</v>
      </c>
      <c r="BL48" s="141" t="s">
        <v>2399</v>
      </c>
      <c r="BM48" s="141" t="s">
        <v>2400</v>
      </c>
      <c r="BN48" s="141" t="s">
        <v>2401</v>
      </c>
      <c r="BO48" s="141" t="s">
        <v>2402</v>
      </c>
      <c r="BP48" s="141" t="s">
        <v>2403</v>
      </c>
      <c r="BQ48" s="141" t="s">
        <v>2404</v>
      </c>
      <c r="BR48" s="141" t="s">
        <v>2405</v>
      </c>
      <c r="BS48" s="141" t="s">
        <v>2406</v>
      </c>
      <c r="BT48" s="141" t="s">
        <v>2390</v>
      </c>
      <c r="BU48" s="141" t="s">
        <v>2391</v>
      </c>
      <c r="BV48" s="141" t="s">
        <v>2392</v>
      </c>
      <c r="BW48" s="141" t="s">
        <v>2393</v>
      </c>
      <c r="BX48" s="141" t="s">
        <v>2407</v>
      </c>
      <c r="BY48" s="141" t="s">
        <v>2408</v>
      </c>
      <c r="BZ48" s="141" t="s">
        <v>2409</v>
      </c>
      <c r="CA48" s="141" t="s">
        <v>2410</v>
      </c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</row>
    <row r="49" spans="1:93" s="7" customFormat="1" x14ac:dyDescent="0.25">
      <c r="A49" s="19" t="s">
        <v>2298</v>
      </c>
      <c r="B49" s="19" t="s">
        <v>2299</v>
      </c>
      <c r="C49" s="19">
        <v>96101566</v>
      </c>
      <c r="D49" s="20">
        <v>96101566</v>
      </c>
      <c r="E49" s="21" t="s">
        <v>1860</v>
      </c>
      <c r="F49" s="21" t="s">
        <v>2318</v>
      </c>
      <c r="G49" s="21" t="s">
        <v>332</v>
      </c>
      <c r="H49" s="21" t="s">
        <v>234</v>
      </c>
      <c r="I49" s="21" t="s">
        <v>254</v>
      </c>
      <c r="J49" s="21" t="s">
        <v>2070</v>
      </c>
      <c r="K49" s="21" t="s">
        <v>2325</v>
      </c>
      <c r="L49" s="21" t="s">
        <v>2068</v>
      </c>
      <c r="M49" s="19" t="s">
        <v>2346</v>
      </c>
      <c r="N49" s="19"/>
      <c r="O49" s="35">
        <v>5</v>
      </c>
      <c r="P49" s="35">
        <v>5</v>
      </c>
      <c r="Q49" s="32"/>
      <c r="R49" s="22">
        <v>5</v>
      </c>
      <c r="S49" s="22">
        <v>3</v>
      </c>
      <c r="T49" s="22">
        <v>5</v>
      </c>
      <c r="U49" s="22">
        <v>2</v>
      </c>
      <c r="V49" s="60">
        <f t="shared" si="5"/>
        <v>15</v>
      </c>
      <c r="W49" s="86"/>
      <c r="X49" s="86"/>
      <c r="Y49" s="86">
        <v>13</v>
      </c>
      <c r="Z49" s="86">
        <v>2</v>
      </c>
      <c r="AA49" s="86">
        <v>15</v>
      </c>
      <c r="AB49" s="21"/>
      <c r="AC49" s="77"/>
      <c r="AD49" s="21"/>
      <c r="AE49" s="77"/>
      <c r="AF49" s="21"/>
      <c r="AG49" s="21"/>
      <c r="AH49" s="21"/>
      <c r="AI49" s="21"/>
      <c r="AJ49" s="21"/>
      <c r="AK49" s="21"/>
      <c r="AL49" s="77"/>
      <c r="AM49" s="21"/>
      <c r="AN49" s="21"/>
      <c r="AO49" s="21"/>
      <c r="AP49" s="21"/>
      <c r="AQ49" s="21"/>
      <c r="AR49" s="21"/>
      <c r="AS49" s="77"/>
      <c r="AT49" s="21"/>
      <c r="AU49" s="21"/>
      <c r="AV49" s="21"/>
      <c r="AW49" s="21"/>
      <c r="AX49" s="21">
        <v>3</v>
      </c>
      <c r="AY49" s="21">
        <v>3</v>
      </c>
      <c r="AZ49" s="77"/>
      <c r="BA49" s="21">
        <v>3</v>
      </c>
      <c r="BB49" s="21">
        <v>4</v>
      </c>
      <c r="BC49" s="21"/>
      <c r="BD49" s="144">
        <f t="shared" si="6"/>
        <v>13</v>
      </c>
      <c r="BE49" s="94">
        <f t="shared" si="7"/>
        <v>2</v>
      </c>
      <c r="BF49" s="26"/>
      <c r="BH49" s="141">
        <v>96101566</v>
      </c>
      <c r="BI49" s="141" t="s">
        <v>2346</v>
      </c>
      <c r="BJ49" s="141" t="s">
        <v>2386</v>
      </c>
      <c r="BK49" s="141" t="s">
        <v>2387</v>
      </c>
      <c r="BL49" s="141" t="s">
        <v>2413</v>
      </c>
      <c r="BM49" s="141" t="s">
        <v>2414</v>
      </c>
      <c r="BN49" s="141" t="s">
        <v>2401</v>
      </c>
      <c r="BO49" s="141" t="s">
        <v>2402</v>
      </c>
      <c r="BP49" s="141" t="s">
        <v>2403</v>
      </c>
      <c r="BQ49" s="141" t="s">
        <v>2404</v>
      </c>
      <c r="BR49" s="141" t="s">
        <v>2415</v>
      </c>
      <c r="BS49" s="141" t="s">
        <v>2406</v>
      </c>
      <c r="BT49" s="141" t="s">
        <v>2390</v>
      </c>
      <c r="BU49" s="141" t="s">
        <v>2391</v>
      </c>
      <c r="BV49" s="141" t="s">
        <v>2392</v>
      </c>
      <c r="BW49" s="141" t="s">
        <v>2393</v>
      </c>
      <c r="BX49" s="141" t="s">
        <v>2416</v>
      </c>
      <c r="BY49" s="141" t="s">
        <v>2417</v>
      </c>
      <c r="BZ49" s="141" t="s">
        <v>2418</v>
      </c>
      <c r="CA49" s="141" t="s">
        <v>2411</v>
      </c>
      <c r="CB49" s="142"/>
      <c r="CC49" s="142"/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</row>
    <row r="50" spans="1:93" s="7" customFormat="1" x14ac:dyDescent="0.25">
      <c r="A50" s="19" t="s">
        <v>2298</v>
      </c>
      <c r="B50" s="19" t="s">
        <v>2299</v>
      </c>
      <c r="C50" s="19">
        <v>96101417</v>
      </c>
      <c r="D50" s="20">
        <v>96101417</v>
      </c>
      <c r="E50" s="21" t="s">
        <v>1860</v>
      </c>
      <c r="F50" s="21" t="s">
        <v>2318</v>
      </c>
      <c r="G50" s="21" t="s">
        <v>332</v>
      </c>
      <c r="H50" s="21" t="s">
        <v>2319</v>
      </c>
      <c r="I50" s="21" t="s">
        <v>254</v>
      </c>
      <c r="J50" s="21" t="s">
        <v>2070</v>
      </c>
      <c r="K50" s="21" t="s">
        <v>2325</v>
      </c>
      <c r="L50" s="21" t="s">
        <v>2068</v>
      </c>
      <c r="M50" s="19" t="s">
        <v>2347</v>
      </c>
      <c r="N50" s="19"/>
      <c r="O50" s="35">
        <v>10</v>
      </c>
      <c r="P50" s="35">
        <v>10</v>
      </c>
      <c r="Q50" s="32"/>
      <c r="R50" s="22">
        <v>5</v>
      </c>
      <c r="S50" s="22">
        <v>5</v>
      </c>
      <c r="T50" s="22">
        <v>5</v>
      </c>
      <c r="U50" s="22">
        <v>5</v>
      </c>
      <c r="V50" s="60">
        <f t="shared" si="5"/>
        <v>20</v>
      </c>
      <c r="W50" s="86"/>
      <c r="X50" s="86">
        <v>20</v>
      </c>
      <c r="Y50" s="86"/>
      <c r="Z50" s="86"/>
      <c r="AA50" s="86">
        <v>20</v>
      </c>
      <c r="AB50" s="21"/>
      <c r="AC50" s="77"/>
      <c r="AD50" s="21"/>
      <c r="AE50" s="77"/>
      <c r="AF50" s="21"/>
      <c r="AG50" s="21"/>
      <c r="AH50" s="21"/>
      <c r="AI50" s="21"/>
      <c r="AJ50" s="21"/>
      <c r="AK50" s="21"/>
      <c r="AL50" s="77"/>
      <c r="AM50" s="21">
        <v>4</v>
      </c>
      <c r="AN50" s="21">
        <v>4</v>
      </c>
      <c r="AO50" s="21">
        <v>4</v>
      </c>
      <c r="AP50" s="21">
        <v>4</v>
      </c>
      <c r="AQ50" s="21">
        <v>4</v>
      </c>
      <c r="AR50" s="21"/>
      <c r="AS50" s="77"/>
      <c r="AT50" s="21"/>
      <c r="AU50" s="21"/>
      <c r="AV50" s="21"/>
      <c r="AW50" s="21"/>
      <c r="AX50" s="21"/>
      <c r="AY50" s="21"/>
      <c r="AZ50" s="77"/>
      <c r="BA50" s="21"/>
      <c r="BB50" s="21"/>
      <c r="BC50" s="21"/>
      <c r="BD50" s="144">
        <f t="shared" si="6"/>
        <v>20</v>
      </c>
      <c r="BE50" s="94">
        <f t="shared" si="7"/>
        <v>0</v>
      </c>
      <c r="BF50" s="26"/>
      <c r="BH50" s="141">
        <v>96101417</v>
      </c>
      <c r="BI50" s="141" t="s">
        <v>2347</v>
      </c>
      <c r="BJ50" s="141" t="s">
        <v>2386</v>
      </c>
      <c r="BK50" s="141" t="s">
        <v>2387</v>
      </c>
      <c r="BL50" s="141" t="s">
        <v>2399</v>
      </c>
      <c r="BM50" s="141" t="s">
        <v>2400</v>
      </c>
      <c r="BN50" s="141" t="s">
        <v>2401</v>
      </c>
      <c r="BO50" s="141" t="s">
        <v>2402</v>
      </c>
      <c r="BP50" s="141" t="s">
        <v>2403</v>
      </c>
      <c r="BQ50" s="141" t="s">
        <v>2404</v>
      </c>
      <c r="BR50" s="141" t="s">
        <v>2405</v>
      </c>
      <c r="BS50" s="141" t="s">
        <v>2406</v>
      </c>
      <c r="BT50" s="141" t="s">
        <v>2390</v>
      </c>
      <c r="BU50" s="141" t="s">
        <v>2391</v>
      </c>
      <c r="BV50" s="141" t="s">
        <v>2392</v>
      </c>
      <c r="BW50" s="141" t="s">
        <v>2393</v>
      </c>
      <c r="BX50" s="141" t="s">
        <v>2407</v>
      </c>
      <c r="BY50" s="141" t="s">
        <v>2408</v>
      </c>
      <c r="BZ50" s="141" t="s">
        <v>2409</v>
      </c>
      <c r="CA50" s="141" t="s">
        <v>2411</v>
      </c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</row>
    <row r="51" spans="1:93" s="7" customFormat="1" x14ac:dyDescent="0.25">
      <c r="A51" s="19" t="s">
        <v>2298</v>
      </c>
      <c r="B51" s="19" t="s">
        <v>2299</v>
      </c>
      <c r="C51" s="19">
        <v>96201435</v>
      </c>
      <c r="D51" s="20">
        <v>96201435</v>
      </c>
      <c r="E51" s="21" t="s">
        <v>1860</v>
      </c>
      <c r="F51" s="21" t="s">
        <v>2320</v>
      </c>
      <c r="G51" s="21" t="s">
        <v>332</v>
      </c>
      <c r="H51" s="21" t="s">
        <v>2319</v>
      </c>
      <c r="I51" s="21" t="s">
        <v>254</v>
      </c>
      <c r="J51" s="21" t="s">
        <v>2070</v>
      </c>
      <c r="K51" s="21" t="s">
        <v>2325</v>
      </c>
      <c r="L51" s="21" t="s">
        <v>2068</v>
      </c>
      <c r="M51" s="19" t="s">
        <v>2348</v>
      </c>
      <c r="N51" s="19"/>
      <c r="O51" s="35">
        <v>20</v>
      </c>
      <c r="P51" s="35">
        <v>10</v>
      </c>
      <c r="Q51" s="32"/>
      <c r="R51" s="22">
        <v>10</v>
      </c>
      <c r="S51" s="22">
        <v>5</v>
      </c>
      <c r="T51" s="22">
        <v>5</v>
      </c>
      <c r="U51" s="22">
        <v>15</v>
      </c>
      <c r="V51" s="60">
        <f t="shared" si="5"/>
        <v>35</v>
      </c>
      <c r="W51" s="86"/>
      <c r="X51" s="86">
        <v>35</v>
      </c>
      <c r="Y51" s="86"/>
      <c r="Z51" s="86"/>
      <c r="AA51" s="86">
        <v>35</v>
      </c>
      <c r="AB51" s="21"/>
      <c r="AC51" s="77"/>
      <c r="AD51" s="21"/>
      <c r="AE51" s="77"/>
      <c r="AF51" s="21"/>
      <c r="AG51" s="21"/>
      <c r="AH51" s="21"/>
      <c r="AI51" s="21"/>
      <c r="AJ51" s="21"/>
      <c r="AK51" s="21"/>
      <c r="AL51" s="77"/>
      <c r="AM51" s="21">
        <v>5</v>
      </c>
      <c r="AN51" s="21">
        <v>5</v>
      </c>
      <c r="AO51" s="21">
        <v>5</v>
      </c>
      <c r="AP51" s="21">
        <v>5</v>
      </c>
      <c r="AQ51" s="21">
        <v>5</v>
      </c>
      <c r="AR51" s="21">
        <v>5</v>
      </c>
      <c r="AS51" s="77"/>
      <c r="AT51" s="21">
        <v>5</v>
      </c>
      <c r="AU51" s="21"/>
      <c r="AV51" s="21"/>
      <c r="AW51" s="21"/>
      <c r="AX51" s="21"/>
      <c r="AY51" s="21"/>
      <c r="AZ51" s="77"/>
      <c r="BA51" s="21"/>
      <c r="BB51" s="21"/>
      <c r="BC51" s="21"/>
      <c r="BD51" s="144">
        <f t="shared" si="6"/>
        <v>35</v>
      </c>
      <c r="BE51" s="94">
        <f t="shared" si="7"/>
        <v>0</v>
      </c>
      <c r="BF51" s="26"/>
      <c r="BH51" s="141">
        <v>96201435</v>
      </c>
      <c r="BI51" s="141" t="s">
        <v>2348</v>
      </c>
      <c r="BJ51" s="141" t="s">
        <v>2386</v>
      </c>
      <c r="BK51" s="141" t="s">
        <v>2387</v>
      </c>
      <c r="BL51" s="141" t="s">
        <v>2399</v>
      </c>
      <c r="BM51" s="141" t="s">
        <v>2400</v>
      </c>
      <c r="BN51" s="141" t="s">
        <v>2401</v>
      </c>
      <c r="BO51" s="141" t="s">
        <v>2402</v>
      </c>
      <c r="BP51" s="141" t="s">
        <v>2403</v>
      </c>
      <c r="BQ51" s="141" t="s">
        <v>2404</v>
      </c>
      <c r="BR51" s="141" t="s">
        <v>2405</v>
      </c>
      <c r="BS51" s="141" t="s">
        <v>2406</v>
      </c>
      <c r="BT51" s="141" t="s">
        <v>2390</v>
      </c>
      <c r="BU51" s="141" t="s">
        <v>2391</v>
      </c>
      <c r="BV51" s="141" t="s">
        <v>2392</v>
      </c>
      <c r="BW51" s="141" t="s">
        <v>2393</v>
      </c>
      <c r="BX51" s="141" t="s">
        <v>2407</v>
      </c>
      <c r="BY51" s="141" t="s">
        <v>2408</v>
      </c>
      <c r="BZ51" s="141" t="s">
        <v>2409</v>
      </c>
      <c r="CA51" s="141" t="s">
        <v>2411</v>
      </c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</row>
    <row r="52" spans="1:93" s="7" customFormat="1" x14ac:dyDescent="0.25">
      <c r="A52" s="19" t="s">
        <v>2298</v>
      </c>
      <c r="B52" s="19" t="s">
        <v>2299</v>
      </c>
      <c r="C52" s="19">
        <v>96101574</v>
      </c>
      <c r="D52" s="20">
        <v>96101574</v>
      </c>
      <c r="E52" s="21" t="s">
        <v>1860</v>
      </c>
      <c r="F52" s="21" t="s">
        <v>2320</v>
      </c>
      <c r="G52" s="21" t="s">
        <v>332</v>
      </c>
      <c r="H52" s="21" t="s">
        <v>234</v>
      </c>
      <c r="I52" s="21" t="s">
        <v>254</v>
      </c>
      <c r="J52" s="21" t="s">
        <v>2070</v>
      </c>
      <c r="K52" s="21" t="s">
        <v>2325</v>
      </c>
      <c r="L52" s="21" t="s">
        <v>2068</v>
      </c>
      <c r="M52" s="19" t="s">
        <v>2349</v>
      </c>
      <c r="N52" s="19"/>
      <c r="O52" s="35">
        <v>0</v>
      </c>
      <c r="P52" s="35">
        <v>0</v>
      </c>
      <c r="Q52" s="32"/>
      <c r="R52" s="22">
        <v>5</v>
      </c>
      <c r="S52" s="22">
        <v>2</v>
      </c>
      <c r="T52" s="22">
        <v>1</v>
      </c>
      <c r="U52" s="22">
        <v>0</v>
      </c>
      <c r="V52" s="60">
        <f t="shared" si="5"/>
        <v>8</v>
      </c>
      <c r="W52" s="86"/>
      <c r="X52" s="86"/>
      <c r="Y52" s="86"/>
      <c r="Z52" s="86">
        <v>8</v>
      </c>
      <c r="AA52" s="86">
        <v>8</v>
      </c>
      <c r="AB52" s="21"/>
      <c r="AC52" s="77"/>
      <c r="AD52" s="21"/>
      <c r="AE52" s="77"/>
      <c r="AF52" s="21"/>
      <c r="AG52" s="21"/>
      <c r="AH52" s="21"/>
      <c r="AI52" s="21"/>
      <c r="AJ52" s="21"/>
      <c r="AK52" s="21"/>
      <c r="AL52" s="77"/>
      <c r="AM52" s="21"/>
      <c r="AN52" s="21"/>
      <c r="AO52" s="21"/>
      <c r="AP52" s="21"/>
      <c r="AQ52" s="21"/>
      <c r="AR52" s="21"/>
      <c r="AS52" s="77"/>
      <c r="AT52" s="21"/>
      <c r="AU52" s="21"/>
      <c r="AV52" s="21"/>
      <c r="AW52" s="21"/>
      <c r="AX52" s="21">
        <v>2</v>
      </c>
      <c r="AY52" s="21">
        <v>2</v>
      </c>
      <c r="AZ52" s="77"/>
      <c r="BA52" s="21">
        <v>2</v>
      </c>
      <c r="BB52" s="21">
        <v>2</v>
      </c>
      <c r="BC52" s="21"/>
      <c r="BD52" s="144">
        <f t="shared" si="6"/>
        <v>8</v>
      </c>
      <c r="BE52" s="94">
        <f t="shared" si="7"/>
        <v>0</v>
      </c>
      <c r="BF52" s="26"/>
      <c r="BH52" s="141">
        <v>96101574</v>
      </c>
      <c r="BI52" s="141" t="s">
        <v>2349</v>
      </c>
      <c r="BJ52" s="141" t="s">
        <v>2386</v>
      </c>
      <c r="BK52" s="141" t="s">
        <v>2387</v>
      </c>
      <c r="BL52" s="141" t="s">
        <v>2413</v>
      </c>
      <c r="BM52" s="141" t="s">
        <v>2414</v>
      </c>
      <c r="BN52" s="141" t="s">
        <v>2401</v>
      </c>
      <c r="BO52" s="141" t="s">
        <v>2402</v>
      </c>
      <c r="BP52" s="141" t="s">
        <v>2403</v>
      </c>
      <c r="BQ52" s="141" t="s">
        <v>2404</v>
      </c>
      <c r="BR52" s="141" t="s">
        <v>2415</v>
      </c>
      <c r="BS52" s="141" t="s">
        <v>2406</v>
      </c>
      <c r="BT52" s="141" t="s">
        <v>2390</v>
      </c>
      <c r="BU52" s="141" t="s">
        <v>2391</v>
      </c>
      <c r="BV52" s="141" t="s">
        <v>2392</v>
      </c>
      <c r="BW52" s="141" t="s">
        <v>2393</v>
      </c>
      <c r="BX52" s="141" t="s">
        <v>2416</v>
      </c>
      <c r="BY52" s="141" t="s">
        <v>2417</v>
      </c>
      <c r="BZ52" s="141" t="s">
        <v>2418</v>
      </c>
      <c r="CA52" s="141" t="s">
        <v>2411</v>
      </c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</row>
    <row r="53" spans="1:93" s="7" customFormat="1" x14ac:dyDescent="0.25">
      <c r="A53" s="19" t="s">
        <v>2298</v>
      </c>
      <c r="B53" s="19" t="s">
        <v>2299</v>
      </c>
      <c r="C53" s="19">
        <v>96101576</v>
      </c>
      <c r="D53" s="20" t="s">
        <v>2311</v>
      </c>
      <c r="E53" s="21" t="s">
        <v>1860</v>
      </c>
      <c r="F53" s="21" t="s">
        <v>2320</v>
      </c>
      <c r="G53" s="21" t="s">
        <v>332</v>
      </c>
      <c r="H53" s="21" t="s">
        <v>234</v>
      </c>
      <c r="I53" s="21" t="s">
        <v>254</v>
      </c>
      <c r="J53" s="21" t="s">
        <v>2083</v>
      </c>
      <c r="K53" s="21" t="s">
        <v>2325</v>
      </c>
      <c r="L53" s="21" t="s">
        <v>2068</v>
      </c>
      <c r="M53" s="19" t="s">
        <v>2370</v>
      </c>
      <c r="N53" s="19"/>
      <c r="O53" s="35">
        <v>0</v>
      </c>
      <c r="P53" s="35">
        <v>0</v>
      </c>
      <c r="Q53" s="32"/>
      <c r="R53" s="22">
        <v>2</v>
      </c>
      <c r="S53" s="22">
        <v>1</v>
      </c>
      <c r="T53" s="22">
        <v>1</v>
      </c>
      <c r="U53" s="22">
        <v>1</v>
      </c>
      <c r="V53" s="60">
        <f t="shared" si="5"/>
        <v>5</v>
      </c>
      <c r="W53" s="86"/>
      <c r="X53" s="86"/>
      <c r="Y53" s="86">
        <v>5</v>
      </c>
      <c r="Z53" s="86"/>
      <c r="AA53" s="86">
        <v>5</v>
      </c>
      <c r="AB53" s="21"/>
      <c r="AC53" s="77"/>
      <c r="AD53" s="21"/>
      <c r="AE53" s="77"/>
      <c r="AF53" s="21"/>
      <c r="AG53" s="21"/>
      <c r="AH53" s="21"/>
      <c r="AI53" s="21"/>
      <c r="AJ53" s="21"/>
      <c r="AK53" s="21"/>
      <c r="AL53" s="77"/>
      <c r="AM53" s="21"/>
      <c r="AN53" s="21"/>
      <c r="AO53" s="21"/>
      <c r="AP53" s="21"/>
      <c r="AQ53" s="21"/>
      <c r="AR53" s="21"/>
      <c r="AS53" s="77"/>
      <c r="AT53" s="21"/>
      <c r="AU53" s="21"/>
      <c r="AV53" s="21"/>
      <c r="AW53" s="21"/>
      <c r="AX53" s="21"/>
      <c r="AY53" s="21">
        <v>1</v>
      </c>
      <c r="AZ53" s="77"/>
      <c r="BA53" s="21">
        <v>1</v>
      </c>
      <c r="BB53" s="21">
        <v>1</v>
      </c>
      <c r="BC53" s="21">
        <v>2</v>
      </c>
      <c r="BD53" s="144">
        <f t="shared" si="6"/>
        <v>5</v>
      </c>
      <c r="BE53" s="94">
        <f t="shared" si="7"/>
        <v>0</v>
      </c>
      <c r="BF53" s="26"/>
      <c r="BH53" s="141" t="s">
        <v>2311</v>
      </c>
      <c r="BI53" s="141" t="s">
        <v>2450</v>
      </c>
      <c r="BJ53" s="141" t="s">
        <v>2386</v>
      </c>
      <c r="BK53" s="141" t="s">
        <v>2387</v>
      </c>
      <c r="BL53" s="141" t="s">
        <v>2413</v>
      </c>
      <c r="BM53" s="141" t="s">
        <v>2414</v>
      </c>
      <c r="BN53" s="141" t="s">
        <v>2401</v>
      </c>
      <c r="BO53" s="141" t="s">
        <v>2402</v>
      </c>
      <c r="BP53" s="141" t="s">
        <v>2403</v>
      </c>
      <c r="BQ53" s="141" t="s">
        <v>2404</v>
      </c>
      <c r="BR53" s="141" t="s">
        <v>2415</v>
      </c>
      <c r="BS53" s="141" t="s">
        <v>2406</v>
      </c>
      <c r="BT53" s="141" t="s">
        <v>2390</v>
      </c>
      <c r="BU53" s="141" t="s">
        <v>2391</v>
      </c>
      <c r="BV53" s="141" t="s">
        <v>2392</v>
      </c>
      <c r="BW53" s="141" t="s">
        <v>2393</v>
      </c>
      <c r="BX53" s="141" t="s">
        <v>2416</v>
      </c>
      <c r="BY53" s="141" t="s">
        <v>2417</v>
      </c>
      <c r="BZ53" s="141" t="s">
        <v>2418</v>
      </c>
      <c r="CA53" s="141" t="s">
        <v>2410</v>
      </c>
      <c r="CB53" s="142" t="s">
        <v>2417</v>
      </c>
      <c r="CC53" s="142" t="s">
        <v>2418</v>
      </c>
      <c r="CD53" s="142" t="s">
        <v>2410</v>
      </c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</row>
    <row r="54" spans="1:93" s="7" customFormat="1" x14ac:dyDescent="0.25">
      <c r="A54" s="19" t="s">
        <v>2298</v>
      </c>
      <c r="B54" s="19" t="s">
        <v>2299</v>
      </c>
      <c r="C54" s="19">
        <v>96101577</v>
      </c>
      <c r="D54" s="20" t="s">
        <v>2311</v>
      </c>
      <c r="E54" s="21" t="s">
        <v>1860</v>
      </c>
      <c r="F54" s="21" t="s">
        <v>2320</v>
      </c>
      <c r="G54" s="21" t="s">
        <v>332</v>
      </c>
      <c r="H54" s="21" t="s">
        <v>2319</v>
      </c>
      <c r="I54" s="21" t="s">
        <v>254</v>
      </c>
      <c r="J54" s="21" t="s">
        <v>2083</v>
      </c>
      <c r="K54" s="21" t="s">
        <v>2325</v>
      </c>
      <c r="L54" s="21" t="s">
        <v>2068</v>
      </c>
      <c r="M54" s="19" t="s">
        <v>2378</v>
      </c>
      <c r="N54" s="19"/>
      <c r="O54" s="35">
        <v>0</v>
      </c>
      <c r="P54" s="35">
        <v>0</v>
      </c>
      <c r="Q54" s="32"/>
      <c r="R54" s="22">
        <v>1</v>
      </c>
      <c r="S54" s="22">
        <v>0</v>
      </c>
      <c r="T54" s="22">
        <v>0</v>
      </c>
      <c r="U54" s="22">
        <v>0</v>
      </c>
      <c r="V54" s="60">
        <f t="shared" si="5"/>
        <v>1</v>
      </c>
      <c r="W54" s="86"/>
      <c r="X54" s="86"/>
      <c r="Y54" s="86">
        <v>1</v>
      </c>
      <c r="Z54" s="86"/>
      <c r="AA54" s="86">
        <v>1</v>
      </c>
      <c r="AB54" s="21"/>
      <c r="AC54" s="77"/>
      <c r="AD54" s="21"/>
      <c r="AE54" s="77"/>
      <c r="AF54" s="21"/>
      <c r="AG54" s="21"/>
      <c r="AH54" s="21"/>
      <c r="AI54" s="21"/>
      <c r="AJ54" s="21"/>
      <c r="AK54" s="21"/>
      <c r="AL54" s="77"/>
      <c r="AM54" s="21"/>
      <c r="AN54" s="21"/>
      <c r="AO54" s="21"/>
      <c r="AP54" s="21"/>
      <c r="AQ54" s="21"/>
      <c r="AR54" s="21"/>
      <c r="AS54" s="77"/>
      <c r="AT54" s="21"/>
      <c r="AU54" s="21"/>
      <c r="AV54" s="21"/>
      <c r="AW54" s="21"/>
      <c r="AX54" s="21"/>
      <c r="AY54" s="21">
        <v>1</v>
      </c>
      <c r="AZ54" s="77"/>
      <c r="BA54" s="21"/>
      <c r="BB54" s="21"/>
      <c r="BC54" s="21"/>
      <c r="BD54" s="144">
        <f t="shared" si="6"/>
        <v>1</v>
      </c>
      <c r="BE54" s="94">
        <f t="shared" si="7"/>
        <v>0</v>
      </c>
      <c r="BF54" s="26"/>
      <c r="BH54" s="141" t="s">
        <v>2311</v>
      </c>
      <c r="BI54" s="141" t="s">
        <v>2450</v>
      </c>
      <c r="BJ54" s="141" t="s">
        <v>2386</v>
      </c>
      <c r="BK54" s="141" t="s">
        <v>2387</v>
      </c>
      <c r="BL54" s="141" t="s">
        <v>2413</v>
      </c>
      <c r="BM54" s="141" t="s">
        <v>2414</v>
      </c>
      <c r="BN54" s="141" t="s">
        <v>2401</v>
      </c>
      <c r="BO54" s="141" t="s">
        <v>2402</v>
      </c>
      <c r="BP54" s="141" t="s">
        <v>2403</v>
      </c>
      <c r="BQ54" s="141" t="s">
        <v>2404</v>
      </c>
      <c r="BR54" s="141" t="s">
        <v>2415</v>
      </c>
      <c r="BS54" s="141" t="s">
        <v>2406</v>
      </c>
      <c r="BT54" s="141" t="s">
        <v>2390</v>
      </c>
      <c r="BU54" s="141" t="s">
        <v>2391</v>
      </c>
      <c r="BV54" s="141" t="s">
        <v>2392</v>
      </c>
      <c r="BW54" s="141" t="s">
        <v>2393</v>
      </c>
      <c r="BX54" s="141" t="s">
        <v>2416</v>
      </c>
      <c r="BY54" s="141" t="s">
        <v>2417</v>
      </c>
      <c r="BZ54" s="141" t="s">
        <v>2418</v>
      </c>
      <c r="CA54" s="141" t="s">
        <v>2410</v>
      </c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</row>
    <row r="55" spans="1:93" s="7" customFormat="1" x14ac:dyDescent="0.25">
      <c r="A55" s="19" t="s">
        <v>2298</v>
      </c>
      <c r="B55" s="19" t="s">
        <v>2299</v>
      </c>
      <c r="C55" s="19">
        <v>96101571</v>
      </c>
      <c r="D55" s="20" t="s">
        <v>2303</v>
      </c>
      <c r="E55" s="21" t="s">
        <v>1860</v>
      </c>
      <c r="F55" s="21" t="s">
        <v>2318</v>
      </c>
      <c r="G55" s="21" t="s">
        <v>332</v>
      </c>
      <c r="H55" s="21" t="s">
        <v>234</v>
      </c>
      <c r="I55" s="21" t="s">
        <v>254</v>
      </c>
      <c r="J55" s="21" t="s">
        <v>2083</v>
      </c>
      <c r="K55" s="21" t="s">
        <v>2325</v>
      </c>
      <c r="L55" s="21" t="s">
        <v>2068</v>
      </c>
      <c r="M55" s="19" t="s">
        <v>2379</v>
      </c>
      <c r="N55" s="19"/>
      <c r="O55" s="35">
        <v>0</v>
      </c>
      <c r="P55" s="35">
        <v>0</v>
      </c>
      <c r="Q55" s="32"/>
      <c r="R55" s="22">
        <v>0</v>
      </c>
      <c r="S55" s="22">
        <v>0</v>
      </c>
      <c r="T55" s="22">
        <v>0</v>
      </c>
      <c r="U55" s="22">
        <v>2</v>
      </c>
      <c r="V55" s="60">
        <f t="shared" si="5"/>
        <v>2</v>
      </c>
      <c r="W55" s="86"/>
      <c r="X55" s="86"/>
      <c r="Y55" s="86">
        <v>2</v>
      </c>
      <c r="Z55" s="86"/>
      <c r="AA55" s="86">
        <v>2</v>
      </c>
      <c r="AB55" s="21"/>
      <c r="AC55" s="77"/>
      <c r="AD55" s="21"/>
      <c r="AE55" s="77"/>
      <c r="AF55" s="21"/>
      <c r="AG55" s="21"/>
      <c r="AH55" s="21"/>
      <c r="AI55" s="21"/>
      <c r="AJ55" s="21"/>
      <c r="AK55" s="21"/>
      <c r="AL55" s="77"/>
      <c r="AM55" s="21"/>
      <c r="AN55" s="21"/>
      <c r="AO55" s="21"/>
      <c r="AP55" s="21"/>
      <c r="AQ55" s="21"/>
      <c r="AR55" s="21"/>
      <c r="AS55" s="77"/>
      <c r="AT55" s="21"/>
      <c r="AU55" s="21"/>
      <c r="AV55" s="21"/>
      <c r="AW55" s="21"/>
      <c r="AX55" s="21"/>
      <c r="AY55" s="21">
        <v>1</v>
      </c>
      <c r="AZ55" s="77"/>
      <c r="BA55" s="21">
        <v>1</v>
      </c>
      <c r="BB55" s="21"/>
      <c r="BC55" s="21"/>
      <c r="BD55" s="144">
        <f t="shared" si="6"/>
        <v>2</v>
      </c>
      <c r="BE55" s="94">
        <f t="shared" si="7"/>
        <v>0</v>
      </c>
      <c r="BF55" s="26"/>
      <c r="BH55" s="141" t="s">
        <v>2303</v>
      </c>
      <c r="BI55" s="141" t="s">
        <v>2419</v>
      </c>
      <c r="BJ55" s="141" t="s">
        <v>2386</v>
      </c>
      <c r="BK55" s="141" t="s">
        <v>2387</v>
      </c>
      <c r="BL55" s="141" t="s">
        <v>2413</v>
      </c>
      <c r="BM55" s="141" t="s">
        <v>2414</v>
      </c>
      <c r="BN55" s="141" t="s">
        <v>2401</v>
      </c>
      <c r="BO55" s="141" t="s">
        <v>2402</v>
      </c>
      <c r="BP55" s="141" t="s">
        <v>2403</v>
      </c>
      <c r="BQ55" s="141" t="s">
        <v>2404</v>
      </c>
      <c r="BR55" s="141" t="s">
        <v>2415</v>
      </c>
      <c r="BS55" s="141" t="s">
        <v>2406</v>
      </c>
      <c r="BT55" s="141" t="s">
        <v>2390</v>
      </c>
      <c r="BU55" s="141" t="s">
        <v>2391</v>
      </c>
      <c r="BV55" s="141" t="s">
        <v>2392</v>
      </c>
      <c r="BW55" s="141" t="s">
        <v>2393</v>
      </c>
      <c r="BX55" s="141" t="s">
        <v>2416</v>
      </c>
      <c r="BY55" s="141" t="s">
        <v>2417</v>
      </c>
      <c r="BZ55" s="141" t="s">
        <v>2418</v>
      </c>
      <c r="CA55" s="141" t="s">
        <v>2410</v>
      </c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</row>
    <row r="56" spans="1:93" s="7" customFormat="1" x14ac:dyDescent="0.25">
      <c r="A56" s="19" t="s">
        <v>2298</v>
      </c>
      <c r="B56" s="19" t="s">
        <v>2299</v>
      </c>
      <c r="C56" s="19">
        <v>96201536</v>
      </c>
      <c r="D56" s="20" t="s">
        <v>2316</v>
      </c>
      <c r="E56" s="21" t="s">
        <v>1860</v>
      </c>
      <c r="F56" s="21" t="s">
        <v>2320</v>
      </c>
      <c r="G56" s="21" t="s">
        <v>332</v>
      </c>
      <c r="H56" s="21" t="s">
        <v>2319</v>
      </c>
      <c r="I56" s="21" t="s">
        <v>254</v>
      </c>
      <c r="J56" s="21" t="s">
        <v>2069</v>
      </c>
      <c r="K56" s="21" t="s">
        <v>2325</v>
      </c>
      <c r="L56" s="21" t="s">
        <v>2068</v>
      </c>
      <c r="M56" s="19" t="s">
        <v>2380</v>
      </c>
      <c r="N56" s="19"/>
      <c r="O56" s="35">
        <v>0</v>
      </c>
      <c r="P56" s="35">
        <v>0</v>
      </c>
      <c r="Q56" s="32"/>
      <c r="R56" s="22">
        <v>0</v>
      </c>
      <c r="S56" s="22">
        <v>0</v>
      </c>
      <c r="T56" s="22">
        <v>0</v>
      </c>
      <c r="U56" s="22">
        <v>2</v>
      </c>
      <c r="V56" s="60">
        <f t="shared" si="5"/>
        <v>2</v>
      </c>
      <c r="W56" s="86"/>
      <c r="X56" s="86">
        <v>2</v>
      </c>
      <c r="Y56" s="86"/>
      <c r="Z56" s="86"/>
      <c r="AA56" s="86">
        <v>2</v>
      </c>
      <c r="AB56" s="21"/>
      <c r="AC56" s="77"/>
      <c r="AD56" s="21"/>
      <c r="AE56" s="77"/>
      <c r="AF56" s="21"/>
      <c r="AG56" s="21"/>
      <c r="AH56" s="21"/>
      <c r="AI56" s="21"/>
      <c r="AJ56" s="21"/>
      <c r="AK56" s="21"/>
      <c r="AL56" s="77"/>
      <c r="AM56" s="21"/>
      <c r="AN56" s="21"/>
      <c r="AO56" s="21"/>
      <c r="AP56" s="21">
        <v>1</v>
      </c>
      <c r="AQ56" s="21">
        <v>1</v>
      </c>
      <c r="AR56" s="21"/>
      <c r="AS56" s="77"/>
      <c r="AT56" s="21"/>
      <c r="AU56" s="21"/>
      <c r="AV56" s="21"/>
      <c r="AW56" s="21"/>
      <c r="AX56" s="21"/>
      <c r="AY56" s="21"/>
      <c r="AZ56" s="77"/>
      <c r="BA56" s="21"/>
      <c r="BB56" s="21"/>
      <c r="BC56" s="21"/>
      <c r="BD56" s="144">
        <f t="shared" si="6"/>
        <v>2</v>
      </c>
      <c r="BE56" s="94">
        <f t="shared" si="7"/>
        <v>0</v>
      </c>
      <c r="BF56" s="26"/>
      <c r="BH56" s="141" t="s">
        <v>2316</v>
      </c>
      <c r="BI56" s="141" t="s">
        <v>2412</v>
      </c>
      <c r="BJ56" s="141" t="s">
        <v>2386</v>
      </c>
      <c r="BK56" s="141" t="s">
        <v>2387</v>
      </c>
      <c r="BL56" s="141" t="s">
        <v>2399</v>
      </c>
      <c r="BM56" s="141" t="s">
        <v>2400</v>
      </c>
      <c r="BN56" s="141" t="s">
        <v>2401</v>
      </c>
      <c r="BO56" s="141" t="s">
        <v>2402</v>
      </c>
      <c r="BP56" s="141" t="s">
        <v>2403</v>
      </c>
      <c r="BQ56" s="141" t="s">
        <v>2404</v>
      </c>
      <c r="BR56" s="141" t="s">
        <v>2405</v>
      </c>
      <c r="BS56" s="141" t="s">
        <v>2406</v>
      </c>
      <c r="BT56" s="141" t="s">
        <v>2390</v>
      </c>
      <c r="BU56" s="141" t="s">
        <v>2391</v>
      </c>
      <c r="BV56" s="141" t="s">
        <v>2392</v>
      </c>
      <c r="BW56" s="141" t="s">
        <v>2393</v>
      </c>
      <c r="BX56" s="141" t="s">
        <v>2407</v>
      </c>
      <c r="BY56" s="141" t="s">
        <v>2408</v>
      </c>
      <c r="BZ56" s="141" t="s">
        <v>2409</v>
      </c>
      <c r="CA56" s="141" t="s">
        <v>2410</v>
      </c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</row>
    <row r="57" spans="1:93" s="7" customFormat="1" x14ac:dyDescent="0.25">
      <c r="A57" s="19" t="s">
        <v>2298</v>
      </c>
      <c r="B57" s="19" t="s">
        <v>2299</v>
      </c>
      <c r="C57" s="19">
        <v>96101366</v>
      </c>
      <c r="D57" s="20" t="s">
        <v>2301</v>
      </c>
      <c r="E57" s="21" t="s">
        <v>1860</v>
      </c>
      <c r="F57" s="21" t="s">
        <v>2318</v>
      </c>
      <c r="G57" s="21" t="s">
        <v>332</v>
      </c>
      <c r="H57" s="21" t="s">
        <v>2319</v>
      </c>
      <c r="I57" s="21" t="s">
        <v>254</v>
      </c>
      <c r="J57" s="21" t="s">
        <v>2083</v>
      </c>
      <c r="K57" s="21" t="s">
        <v>2325</v>
      </c>
      <c r="L57" s="21" t="s">
        <v>2068</v>
      </c>
      <c r="M57" s="19" t="s">
        <v>2382</v>
      </c>
      <c r="N57" s="19"/>
      <c r="O57" s="35">
        <v>0</v>
      </c>
      <c r="P57" s="35">
        <v>0</v>
      </c>
      <c r="Q57" s="32"/>
      <c r="R57" s="22">
        <v>0</v>
      </c>
      <c r="S57" s="22">
        <v>0</v>
      </c>
      <c r="T57" s="22">
        <v>0</v>
      </c>
      <c r="U57" s="22">
        <v>1</v>
      </c>
      <c r="V57" s="60">
        <f t="shared" si="5"/>
        <v>1</v>
      </c>
      <c r="W57" s="86"/>
      <c r="X57" s="86">
        <v>1</v>
      </c>
      <c r="Y57" s="86"/>
      <c r="Z57" s="86"/>
      <c r="AA57" s="86">
        <v>1</v>
      </c>
      <c r="AB57" s="21"/>
      <c r="AC57" s="77"/>
      <c r="AD57" s="21"/>
      <c r="AE57" s="77"/>
      <c r="AF57" s="21"/>
      <c r="AG57" s="21"/>
      <c r="AH57" s="21"/>
      <c r="AI57" s="21"/>
      <c r="AJ57" s="21"/>
      <c r="AK57" s="21"/>
      <c r="AL57" s="77"/>
      <c r="AM57" s="21"/>
      <c r="AN57" s="21"/>
      <c r="AO57" s="21"/>
      <c r="AP57" s="21">
        <v>1</v>
      </c>
      <c r="AQ57" s="21"/>
      <c r="AR57" s="21"/>
      <c r="AS57" s="77"/>
      <c r="AT57" s="21"/>
      <c r="AU57" s="21"/>
      <c r="AV57" s="21"/>
      <c r="AW57" s="21"/>
      <c r="AX57" s="21"/>
      <c r="AY57" s="21"/>
      <c r="AZ57" s="77"/>
      <c r="BA57" s="21"/>
      <c r="BB57" s="21"/>
      <c r="BC57" s="21"/>
      <c r="BD57" s="144">
        <f t="shared" si="6"/>
        <v>1</v>
      </c>
      <c r="BE57" s="94">
        <f t="shared" si="7"/>
        <v>0</v>
      </c>
      <c r="BF57" s="26"/>
      <c r="BH57" s="141" t="s">
        <v>2301</v>
      </c>
      <c r="BI57" s="141" t="s">
        <v>2398</v>
      </c>
      <c r="BJ57" s="141" t="s">
        <v>2386</v>
      </c>
      <c r="BK57" s="141" t="s">
        <v>2387</v>
      </c>
      <c r="BL57" s="141" t="s">
        <v>2399</v>
      </c>
      <c r="BM57" s="141" t="s">
        <v>2400</v>
      </c>
      <c r="BN57" s="141" t="s">
        <v>2401</v>
      </c>
      <c r="BO57" s="141" t="s">
        <v>2402</v>
      </c>
      <c r="BP57" s="141" t="s">
        <v>2403</v>
      </c>
      <c r="BQ57" s="141" t="s">
        <v>2404</v>
      </c>
      <c r="BR57" s="141" t="s">
        <v>2405</v>
      </c>
      <c r="BS57" s="141" t="s">
        <v>2406</v>
      </c>
      <c r="BT57" s="141" t="s">
        <v>2390</v>
      </c>
      <c r="BU57" s="141" t="s">
        <v>2391</v>
      </c>
      <c r="BV57" s="141" t="s">
        <v>2392</v>
      </c>
      <c r="BW57" s="141" t="s">
        <v>2393</v>
      </c>
      <c r="BX57" s="141" t="s">
        <v>2407</v>
      </c>
      <c r="BY57" s="141" t="s">
        <v>2408</v>
      </c>
      <c r="BZ57" s="141" t="s">
        <v>2409</v>
      </c>
      <c r="CA57" s="141" t="s">
        <v>2410</v>
      </c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</row>
    <row r="58" spans="1:93" s="7" customFormat="1" x14ac:dyDescent="0.25">
      <c r="A58" s="19" t="s">
        <v>2298</v>
      </c>
      <c r="B58" s="19" t="s">
        <v>2299</v>
      </c>
      <c r="C58" s="19">
        <v>96101532</v>
      </c>
      <c r="D58" s="20" t="s">
        <v>2301</v>
      </c>
      <c r="E58" s="21" t="s">
        <v>1860</v>
      </c>
      <c r="F58" s="21" t="s">
        <v>2318</v>
      </c>
      <c r="G58" s="21" t="s">
        <v>332</v>
      </c>
      <c r="H58" s="21" t="s">
        <v>2319</v>
      </c>
      <c r="I58" s="21" t="s">
        <v>254</v>
      </c>
      <c r="J58" s="21" t="s">
        <v>2069</v>
      </c>
      <c r="K58" s="21" t="s">
        <v>2325</v>
      </c>
      <c r="L58" s="21" t="s">
        <v>2068</v>
      </c>
      <c r="M58" s="19" t="s">
        <v>2383</v>
      </c>
      <c r="N58" s="19"/>
      <c r="O58" s="35">
        <v>0</v>
      </c>
      <c r="P58" s="35">
        <v>0</v>
      </c>
      <c r="Q58" s="32"/>
      <c r="R58" s="22">
        <v>0</v>
      </c>
      <c r="S58" s="22">
        <v>0</v>
      </c>
      <c r="T58" s="22">
        <v>0</v>
      </c>
      <c r="U58" s="22">
        <v>1</v>
      </c>
      <c r="V58" s="60">
        <f t="shared" si="5"/>
        <v>1</v>
      </c>
      <c r="W58" s="86"/>
      <c r="X58" s="86">
        <v>1</v>
      </c>
      <c r="Y58" s="86"/>
      <c r="Z58" s="86"/>
      <c r="AA58" s="86">
        <v>1</v>
      </c>
      <c r="AB58" s="21"/>
      <c r="AC58" s="77"/>
      <c r="AD58" s="21"/>
      <c r="AE58" s="77"/>
      <c r="AF58" s="21"/>
      <c r="AG58" s="21"/>
      <c r="AH58" s="21"/>
      <c r="AI58" s="21"/>
      <c r="AJ58" s="21"/>
      <c r="AK58" s="21"/>
      <c r="AL58" s="77"/>
      <c r="AM58" s="21"/>
      <c r="AN58" s="21"/>
      <c r="AO58" s="21"/>
      <c r="AP58" s="21">
        <v>1</v>
      </c>
      <c r="AQ58" s="21"/>
      <c r="AR58" s="21"/>
      <c r="AS58" s="77"/>
      <c r="AT58" s="21"/>
      <c r="AU58" s="21"/>
      <c r="AV58" s="21"/>
      <c r="AW58" s="21"/>
      <c r="AX58" s="21"/>
      <c r="AY58" s="21"/>
      <c r="AZ58" s="77"/>
      <c r="BA58" s="21"/>
      <c r="BB58" s="21"/>
      <c r="BC58" s="21"/>
      <c r="BD58" s="144">
        <f t="shared" si="6"/>
        <v>1</v>
      </c>
      <c r="BE58" s="94">
        <f t="shared" si="7"/>
        <v>0</v>
      </c>
      <c r="BF58" s="26"/>
      <c r="BH58" s="141" t="s">
        <v>2301</v>
      </c>
      <c r="BI58" s="141" t="s">
        <v>2398</v>
      </c>
      <c r="BJ58" s="141" t="s">
        <v>2386</v>
      </c>
      <c r="BK58" s="141" t="s">
        <v>2387</v>
      </c>
      <c r="BL58" s="141" t="s">
        <v>2399</v>
      </c>
      <c r="BM58" s="141" t="s">
        <v>2400</v>
      </c>
      <c r="BN58" s="141" t="s">
        <v>2401</v>
      </c>
      <c r="BO58" s="141" t="s">
        <v>2402</v>
      </c>
      <c r="BP58" s="141" t="s">
        <v>2403</v>
      </c>
      <c r="BQ58" s="141" t="s">
        <v>2404</v>
      </c>
      <c r="BR58" s="141" t="s">
        <v>2405</v>
      </c>
      <c r="BS58" s="141" t="s">
        <v>2406</v>
      </c>
      <c r="BT58" s="141" t="s">
        <v>2390</v>
      </c>
      <c r="BU58" s="141" t="s">
        <v>2391</v>
      </c>
      <c r="BV58" s="141" t="s">
        <v>2392</v>
      </c>
      <c r="BW58" s="141" t="s">
        <v>2393</v>
      </c>
      <c r="BX58" s="141" t="s">
        <v>2407</v>
      </c>
      <c r="BY58" s="141" t="s">
        <v>2408</v>
      </c>
      <c r="BZ58" s="141" t="s">
        <v>2409</v>
      </c>
      <c r="CA58" s="141" t="s">
        <v>2410</v>
      </c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</row>
  </sheetData>
  <mergeCells count="1">
    <mergeCell ref="O1:P1"/>
  </mergeCells>
  <conditionalFormatting sqref="C1:C1048576">
    <cfRule type="duplicateValues" dxfId="6" priority="1"/>
  </conditionalFormatting>
  <pageMargins left="0.7" right="0.7" top="0.75" bottom="0.75" header="0.3" footer="0.3"/>
  <pageSetup scale="23" orientation="portrait" horizontalDpi="300" verticalDpi="0" r:id="rId1"/>
  <colBreaks count="2" manualBreakCount="2">
    <brk id="12" max="591" man="1"/>
    <brk id="6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A268E-59E9-4B39-8C8F-D7971FE03217}">
  <dimension ref="A1:CO32"/>
  <sheetViews>
    <sheetView showGridLines="0" zoomScale="90" zoomScaleNormal="90" workbookViewId="0">
      <pane xSplit="4" ySplit="3" topLeftCell="M4" activePane="bottomRight" state="frozen"/>
      <selection pane="topRight" activeCell="K1" sqref="K1"/>
      <selection pane="bottomLeft" activeCell="A4" sqref="A4"/>
      <selection pane="bottomRight" activeCell="M11" sqref="M11"/>
    </sheetView>
  </sheetViews>
  <sheetFormatPr defaultColWidth="9.140625" defaultRowHeight="12.75" x14ac:dyDescent="0.25"/>
  <cols>
    <col min="1" max="1" width="7.5703125" style="6" customWidth="1"/>
    <col min="2" max="2" width="11.7109375" style="6" customWidth="1"/>
    <col min="3" max="3" width="9" style="6" bestFit="1" customWidth="1"/>
    <col min="4" max="4" width="11.42578125" style="6" customWidth="1"/>
    <col min="5" max="5" width="13.28515625" style="8" bestFit="1" customWidth="1"/>
    <col min="6" max="6" width="9" style="8" bestFit="1" customWidth="1"/>
    <col min="7" max="7" width="4.7109375" style="8" customWidth="1"/>
    <col min="8" max="8" width="15.5703125" style="8" bestFit="1" customWidth="1"/>
    <col min="9" max="9" width="4.5703125" style="8" bestFit="1" customWidth="1"/>
    <col min="10" max="10" width="10.28515625" style="8" bestFit="1" customWidth="1"/>
    <col min="11" max="11" width="11.140625" style="8" bestFit="1" customWidth="1"/>
    <col min="12" max="12" width="12.140625" style="8" bestFit="1" customWidth="1"/>
    <col min="13" max="13" width="26.85546875" style="6" customWidth="1"/>
    <col min="14" max="14" width="8.85546875" style="6" hidden="1" customWidth="1"/>
    <col min="15" max="15" width="6.28515625" style="8" hidden="1" customWidth="1"/>
    <col min="16" max="16" width="6.140625" style="8" hidden="1" customWidth="1"/>
    <col min="17" max="17" width="7" style="8" hidden="1" customWidth="1"/>
    <col min="18" max="18" width="6.28515625" style="8" hidden="1" customWidth="1"/>
    <col min="19" max="21" width="4.85546875" style="8" hidden="1" customWidth="1"/>
    <col min="22" max="22" width="6" style="8" hidden="1" customWidth="1"/>
    <col min="23" max="23" width="6.28515625" style="8" hidden="1" customWidth="1"/>
    <col min="24" max="26" width="4.85546875" style="8" hidden="1" customWidth="1"/>
    <col min="27" max="27" width="5.42578125" style="8" hidden="1" customWidth="1"/>
    <col min="28" max="28" width="4" style="8" customWidth="1"/>
    <col min="29" max="29" width="2" style="8" customWidth="1"/>
    <col min="30" max="30" width="3" style="8" customWidth="1"/>
    <col min="31" max="31" width="2" style="8" customWidth="1"/>
    <col min="32" max="34" width="3" style="8" customWidth="1"/>
    <col min="35" max="35" width="3.85546875" style="8" customWidth="1"/>
    <col min="36" max="41" width="3" style="8" customWidth="1"/>
    <col min="42" max="42" width="3.85546875" style="8" customWidth="1"/>
    <col min="43" max="48" width="3" style="8" customWidth="1"/>
    <col min="49" max="49" width="3.85546875" style="8" customWidth="1"/>
    <col min="50" max="55" width="3" style="8" bestFit="1" customWidth="1"/>
    <col min="56" max="56" width="5" style="8" customWidth="1"/>
    <col min="57" max="57" width="6.140625" style="8" hidden="1" customWidth="1"/>
    <col min="58" max="58" width="23" style="6" customWidth="1"/>
    <col min="59" max="59" width="1.28515625" style="8" customWidth="1"/>
    <col min="60" max="60" width="10" style="6" customWidth="1"/>
    <col min="61" max="61" width="40.28515625" style="6" customWidth="1"/>
    <col min="62" max="62" width="43" style="6" customWidth="1"/>
    <col min="63" max="63" width="12.85546875" style="6" customWidth="1"/>
    <col min="64" max="64" width="10.5703125" style="6" bestFit="1" customWidth="1"/>
    <col min="65" max="65" width="37.85546875" style="6" bestFit="1" customWidth="1"/>
    <col min="66" max="66" width="15.85546875" style="6" bestFit="1" customWidth="1"/>
    <col min="67" max="67" width="40" style="6" bestFit="1" customWidth="1"/>
    <col min="68" max="68" width="13" style="6" bestFit="1" customWidth="1"/>
    <col min="69" max="69" width="39" style="6" bestFit="1" customWidth="1"/>
    <col min="70" max="70" width="10.140625" style="6" bestFit="1" customWidth="1"/>
    <col min="71" max="71" width="40.42578125" style="6" bestFit="1" customWidth="1"/>
    <col min="72" max="72" width="12.7109375" style="6" bestFit="1" customWidth="1"/>
    <col min="73" max="73" width="42.7109375" style="6" bestFit="1" customWidth="1"/>
    <col min="74" max="74" width="13.85546875" style="6" bestFit="1" customWidth="1"/>
    <col min="75" max="75" width="40.42578125" style="6" bestFit="1" customWidth="1"/>
    <col min="76" max="76" width="13.7109375" style="6" bestFit="1" customWidth="1"/>
    <col min="77" max="77" width="37.28515625" style="6" bestFit="1" customWidth="1"/>
    <col min="78" max="78" width="9.28515625" style="6" bestFit="1" customWidth="1"/>
    <col min="79" max="79" width="41.5703125" style="6" bestFit="1" customWidth="1"/>
    <col min="80" max="80" width="14" style="6" bestFit="1" customWidth="1"/>
    <col min="81" max="81" width="14.5703125" style="6" bestFit="1" customWidth="1"/>
    <col min="82" max="82" width="7.85546875" style="6" bestFit="1" customWidth="1"/>
    <col min="83" max="83" width="12.140625" style="6" bestFit="1" customWidth="1"/>
    <col min="84" max="84" width="15.140625" style="6" bestFit="1" customWidth="1"/>
    <col min="85" max="85" width="15.5703125" style="6" bestFit="1" customWidth="1"/>
    <col min="86" max="86" width="15.140625" style="6" bestFit="1" customWidth="1"/>
    <col min="87" max="87" width="15.5703125" style="6" bestFit="1" customWidth="1"/>
    <col min="88" max="88" width="12.140625" style="6" bestFit="1" customWidth="1"/>
    <col min="89" max="89" width="12.7109375" style="6" bestFit="1" customWidth="1"/>
    <col min="90" max="90" width="9.7109375" style="6" bestFit="1" customWidth="1"/>
    <col min="91" max="91" width="10.140625" style="6" bestFit="1" customWidth="1"/>
    <col min="92" max="16384" width="9.140625" style="6"/>
  </cols>
  <sheetData>
    <row r="1" spans="1:93" s="1" customFormat="1" ht="15.75" x14ac:dyDescent="0.25">
      <c r="E1" s="3"/>
      <c r="F1" s="3"/>
      <c r="G1" s="3"/>
      <c r="H1" s="3"/>
      <c r="I1" s="3"/>
      <c r="J1" s="3"/>
      <c r="K1" s="3"/>
      <c r="L1" s="3"/>
      <c r="M1" s="46"/>
      <c r="O1" s="148" t="s">
        <v>0</v>
      </c>
      <c r="P1" s="148"/>
      <c r="Q1" s="29"/>
      <c r="R1" s="36" t="s">
        <v>2385</v>
      </c>
      <c r="S1" s="37"/>
      <c r="T1" s="37"/>
      <c r="U1" s="37"/>
      <c r="V1" s="37"/>
      <c r="W1" s="49" t="s">
        <v>72</v>
      </c>
      <c r="X1" s="4"/>
      <c r="Y1" s="4"/>
      <c r="Z1" s="4"/>
      <c r="AA1" s="4"/>
      <c r="AB1" s="44">
        <f>SUBTOTAL(9,AB4:AB32)</f>
        <v>20</v>
      </c>
      <c r="AC1" s="87">
        <f>SUBTOTAL(9,AC9:AC32)</f>
        <v>0</v>
      </c>
      <c r="AD1" s="44">
        <f>SUBTOTAL(9,AD4:AD32)</f>
        <v>25</v>
      </c>
      <c r="AE1" s="87">
        <f>SUBTOTAL(9,AE9:AE32)</f>
        <v>0</v>
      </c>
      <c r="AF1" s="44">
        <f t="shared" ref="AF1:AK1" si="0">SUBTOTAL(9,AF4:AF32)</f>
        <v>30</v>
      </c>
      <c r="AG1" s="44">
        <f t="shared" si="0"/>
        <v>35</v>
      </c>
      <c r="AH1" s="44">
        <f t="shared" si="0"/>
        <v>30</v>
      </c>
      <c r="AI1" s="44">
        <f t="shared" si="0"/>
        <v>33</v>
      </c>
      <c r="AJ1" s="44">
        <f t="shared" si="0"/>
        <v>27</v>
      </c>
      <c r="AK1" s="44">
        <f t="shared" si="0"/>
        <v>17</v>
      </c>
      <c r="AL1" s="87">
        <f>SUBTOTAL(9,AL9:AL32)</f>
        <v>0</v>
      </c>
      <c r="AM1" s="44">
        <f t="shared" ref="AM1:AR1" si="1">SUBTOTAL(9,AM4:AM32)</f>
        <v>5</v>
      </c>
      <c r="AN1" s="44">
        <f t="shared" si="1"/>
        <v>18</v>
      </c>
      <c r="AO1" s="44">
        <f t="shared" si="1"/>
        <v>19</v>
      </c>
      <c r="AP1" s="44">
        <f t="shared" si="1"/>
        <v>33</v>
      </c>
      <c r="AQ1" s="44">
        <f t="shared" si="1"/>
        <v>33</v>
      </c>
      <c r="AR1" s="44">
        <f t="shared" si="1"/>
        <v>43</v>
      </c>
      <c r="AS1" s="87">
        <f>SUBTOTAL(9,AS9:AS32)</f>
        <v>0</v>
      </c>
      <c r="AT1" s="44">
        <f t="shared" ref="AT1:AY1" si="2">SUBTOTAL(9,AT4:AT32)</f>
        <v>35</v>
      </c>
      <c r="AU1" s="44">
        <f t="shared" si="2"/>
        <v>43</v>
      </c>
      <c r="AV1" s="44">
        <f t="shared" si="2"/>
        <v>40</v>
      </c>
      <c r="AW1" s="44">
        <f t="shared" si="2"/>
        <v>29</v>
      </c>
      <c r="AX1" s="44">
        <f t="shared" si="2"/>
        <v>9</v>
      </c>
      <c r="AY1" s="44">
        <f t="shared" si="2"/>
        <v>3</v>
      </c>
      <c r="AZ1" s="87">
        <f>SUBTOTAL(9,AZ9:AZ32)</f>
        <v>0</v>
      </c>
      <c r="BA1" s="44">
        <f>SUBTOTAL(9,BA4:BA32)</f>
        <v>2</v>
      </c>
      <c r="BB1" s="44">
        <f>SUBTOTAL(9,BB4:BB32)</f>
        <v>3</v>
      </c>
      <c r="BC1" s="44">
        <f>SUBTOTAL(9,BC4:BC32)</f>
        <v>3</v>
      </c>
      <c r="BD1" s="95">
        <f>SUBTOTAL(9,BD4:BD32)</f>
        <v>535</v>
      </c>
      <c r="BE1" s="33">
        <f>SUBTOTAL(9,BE4:BE32)</f>
        <v>6</v>
      </c>
      <c r="BG1" s="3"/>
    </row>
    <row r="2" spans="1:93" ht="21" x14ac:dyDescent="0.25">
      <c r="A2" s="88" t="s">
        <v>2297</v>
      </c>
      <c r="M2" s="47"/>
      <c r="O2" s="33">
        <f>SUBTOTAL(9,O4:O32)</f>
        <v>347</v>
      </c>
      <c r="P2" s="33">
        <f>SUBTOTAL(9,P4:P32)</f>
        <v>213</v>
      </c>
      <c r="Q2" s="30">
        <f>SUBTOTAL(9,Q9:Q32)</f>
        <v>0</v>
      </c>
      <c r="R2" s="39">
        <f t="shared" ref="R2:AA2" si="3">SUBTOTAL(9,R4:R32)</f>
        <v>212</v>
      </c>
      <c r="S2" s="39">
        <f t="shared" si="3"/>
        <v>132</v>
      </c>
      <c r="T2" s="39">
        <f t="shared" si="3"/>
        <v>137</v>
      </c>
      <c r="U2" s="39">
        <f t="shared" si="3"/>
        <v>102</v>
      </c>
      <c r="V2" s="60">
        <f t="shared" si="3"/>
        <v>583</v>
      </c>
      <c r="W2" s="30">
        <f t="shared" si="3"/>
        <v>232</v>
      </c>
      <c r="X2" s="30">
        <f t="shared" si="3"/>
        <v>128</v>
      </c>
      <c r="Y2" s="30">
        <f t="shared" si="3"/>
        <v>150</v>
      </c>
      <c r="Z2" s="30">
        <f t="shared" si="3"/>
        <v>31</v>
      </c>
      <c r="AA2" s="30">
        <f t="shared" si="3"/>
        <v>541</v>
      </c>
      <c r="AB2" s="146">
        <v>3</v>
      </c>
      <c r="AC2" s="13"/>
      <c r="AD2" s="146">
        <v>5</v>
      </c>
      <c r="AE2" s="13"/>
      <c r="AF2" s="146">
        <v>7</v>
      </c>
      <c r="AG2" s="146">
        <v>8</v>
      </c>
      <c r="AH2" s="146">
        <v>9</v>
      </c>
      <c r="AI2" s="146">
        <f t="shared" ref="AI2:BB2" si="4">AH2+1</f>
        <v>10</v>
      </c>
      <c r="AJ2" s="146">
        <f t="shared" si="4"/>
        <v>11</v>
      </c>
      <c r="AK2" s="146">
        <f t="shared" si="4"/>
        <v>12</v>
      </c>
      <c r="AL2" s="13"/>
      <c r="AM2" s="146">
        <v>14</v>
      </c>
      <c r="AN2" s="146">
        <f t="shared" si="4"/>
        <v>15</v>
      </c>
      <c r="AO2" s="146">
        <v>16</v>
      </c>
      <c r="AP2" s="146">
        <f t="shared" si="4"/>
        <v>17</v>
      </c>
      <c r="AQ2" s="146">
        <f t="shared" si="4"/>
        <v>18</v>
      </c>
      <c r="AR2" s="146">
        <f t="shared" si="4"/>
        <v>19</v>
      </c>
      <c r="AS2" s="13"/>
      <c r="AT2" s="146">
        <v>21</v>
      </c>
      <c r="AU2" s="146">
        <f t="shared" si="4"/>
        <v>22</v>
      </c>
      <c r="AV2" s="146">
        <v>23</v>
      </c>
      <c r="AW2" s="146">
        <f t="shared" si="4"/>
        <v>24</v>
      </c>
      <c r="AX2" s="146">
        <f t="shared" si="4"/>
        <v>25</v>
      </c>
      <c r="AY2" s="146">
        <f t="shared" si="4"/>
        <v>26</v>
      </c>
      <c r="AZ2" s="13"/>
      <c r="BA2" s="146">
        <v>28</v>
      </c>
      <c r="BB2" s="146">
        <f t="shared" si="4"/>
        <v>29</v>
      </c>
      <c r="BC2" s="146">
        <v>30</v>
      </c>
      <c r="BF2" s="1"/>
    </row>
    <row r="3" spans="1:93" s="1" customFormat="1" ht="30" customHeight="1" x14ac:dyDescent="0.25">
      <c r="A3" s="9" t="s">
        <v>4</v>
      </c>
      <c r="B3" s="10" t="s">
        <v>5</v>
      </c>
      <c r="C3" s="10" t="s">
        <v>6</v>
      </c>
      <c r="D3" s="11" t="s">
        <v>9</v>
      </c>
      <c r="E3" s="99" t="s">
        <v>12</v>
      </c>
      <c r="F3" s="99" t="s">
        <v>13</v>
      </c>
      <c r="G3" s="99" t="s">
        <v>14</v>
      </c>
      <c r="H3" s="99" t="s">
        <v>15</v>
      </c>
      <c r="I3" s="99" t="s">
        <v>16</v>
      </c>
      <c r="J3" s="99" t="s">
        <v>17</v>
      </c>
      <c r="K3" s="99" t="s">
        <v>19</v>
      </c>
      <c r="L3" s="99" t="s">
        <v>21</v>
      </c>
      <c r="M3" s="48" t="s">
        <v>24</v>
      </c>
      <c r="N3" s="9" t="s">
        <v>25</v>
      </c>
      <c r="O3" s="34" t="s">
        <v>2168</v>
      </c>
      <c r="P3" s="34" t="s">
        <v>2384</v>
      </c>
      <c r="Q3" s="31" t="s">
        <v>26</v>
      </c>
      <c r="R3" s="40" t="s">
        <v>27</v>
      </c>
      <c r="S3" s="40" t="s">
        <v>28</v>
      </c>
      <c r="T3" s="40" t="s">
        <v>29</v>
      </c>
      <c r="U3" s="40" t="s">
        <v>30</v>
      </c>
      <c r="V3" s="60" t="s">
        <v>32</v>
      </c>
      <c r="W3" s="143" t="s">
        <v>27</v>
      </c>
      <c r="X3" s="143" t="s">
        <v>36</v>
      </c>
      <c r="Y3" s="143" t="s">
        <v>37</v>
      </c>
      <c r="Z3" s="143" t="s">
        <v>38</v>
      </c>
      <c r="AA3" s="143" t="s">
        <v>32</v>
      </c>
      <c r="AB3" s="147">
        <v>1</v>
      </c>
      <c r="AC3" s="13">
        <v>4</v>
      </c>
      <c r="AD3" s="147">
        <v>2</v>
      </c>
      <c r="AE3" s="13">
        <v>6</v>
      </c>
      <c r="AF3" s="147">
        <v>3</v>
      </c>
      <c r="AG3" s="147">
        <v>5</v>
      </c>
      <c r="AH3" s="147">
        <v>7</v>
      </c>
      <c r="AI3" s="147">
        <v>8</v>
      </c>
      <c r="AJ3" s="147">
        <v>9</v>
      </c>
      <c r="AK3" s="147">
        <v>10</v>
      </c>
      <c r="AL3" s="13">
        <v>13</v>
      </c>
      <c r="AM3" s="147">
        <v>11</v>
      </c>
      <c r="AN3" s="147">
        <v>12</v>
      </c>
      <c r="AO3" s="147">
        <v>14</v>
      </c>
      <c r="AP3" s="147">
        <v>15</v>
      </c>
      <c r="AQ3" s="147">
        <v>16</v>
      </c>
      <c r="AR3" s="147">
        <v>17</v>
      </c>
      <c r="AS3" s="13">
        <v>20</v>
      </c>
      <c r="AT3" s="147">
        <v>18</v>
      </c>
      <c r="AU3" s="147">
        <v>19</v>
      </c>
      <c r="AV3" s="147">
        <v>21</v>
      </c>
      <c r="AW3" s="147">
        <v>22</v>
      </c>
      <c r="AX3" s="147">
        <v>23</v>
      </c>
      <c r="AY3" s="147">
        <v>24</v>
      </c>
      <c r="AZ3" s="13">
        <v>27</v>
      </c>
      <c r="BA3" s="147">
        <v>25</v>
      </c>
      <c r="BB3" s="147">
        <v>26</v>
      </c>
      <c r="BC3" s="147">
        <v>28</v>
      </c>
      <c r="BD3" s="96" t="s">
        <v>32</v>
      </c>
      <c r="BE3" s="93" t="s">
        <v>1722</v>
      </c>
      <c r="BF3" s="10" t="s">
        <v>39</v>
      </c>
      <c r="BG3" s="3"/>
      <c r="BH3" s="26" t="s">
        <v>40</v>
      </c>
      <c r="BI3" s="26" t="s">
        <v>41</v>
      </c>
      <c r="BJ3" s="18" t="s">
        <v>42</v>
      </c>
      <c r="BK3" s="18" t="s">
        <v>43</v>
      </c>
      <c r="BL3" s="18" t="s">
        <v>44</v>
      </c>
      <c r="BM3" s="18" t="s">
        <v>45</v>
      </c>
      <c r="BN3" s="18" t="s">
        <v>46</v>
      </c>
      <c r="BO3" s="18" t="s">
        <v>47</v>
      </c>
      <c r="BP3" s="18" t="s">
        <v>48</v>
      </c>
      <c r="BQ3" s="18" t="s">
        <v>49</v>
      </c>
      <c r="BR3" s="18" t="s">
        <v>50</v>
      </c>
      <c r="BS3" s="18" t="s">
        <v>51</v>
      </c>
      <c r="BT3" s="18" t="s">
        <v>52</v>
      </c>
      <c r="BU3" s="18" t="s">
        <v>53</v>
      </c>
      <c r="BV3" s="18" t="s">
        <v>54</v>
      </c>
      <c r="BW3" s="18" t="s">
        <v>55</v>
      </c>
      <c r="BX3" s="18" t="s">
        <v>56</v>
      </c>
      <c r="BY3" s="18" t="s">
        <v>57</v>
      </c>
      <c r="BZ3" s="18" t="s">
        <v>58</v>
      </c>
      <c r="CA3" s="18" t="s">
        <v>59</v>
      </c>
      <c r="CB3" s="18" t="s">
        <v>60</v>
      </c>
      <c r="CC3" s="18" t="s">
        <v>61</v>
      </c>
      <c r="CD3" s="18" t="s">
        <v>62</v>
      </c>
      <c r="CE3" s="18" t="s">
        <v>63</v>
      </c>
      <c r="CF3" s="18" t="s">
        <v>64</v>
      </c>
      <c r="CG3" s="18" t="s">
        <v>65</v>
      </c>
      <c r="CH3" s="18" t="s">
        <v>66</v>
      </c>
      <c r="CI3" s="18" t="s">
        <v>67</v>
      </c>
      <c r="CJ3" s="18" t="s">
        <v>69</v>
      </c>
      <c r="CK3" s="18" t="s">
        <v>70</v>
      </c>
    </row>
    <row r="4" spans="1:93" s="7" customFormat="1" x14ac:dyDescent="0.25">
      <c r="A4" s="19" t="s">
        <v>2298</v>
      </c>
      <c r="B4" s="19" t="s">
        <v>2299</v>
      </c>
      <c r="C4" s="19">
        <v>96100619</v>
      </c>
      <c r="D4" s="19" t="s">
        <v>2300</v>
      </c>
      <c r="E4" s="21" t="s">
        <v>2317</v>
      </c>
      <c r="F4" s="21" t="s">
        <v>2318</v>
      </c>
      <c r="G4" s="21" t="s">
        <v>332</v>
      </c>
      <c r="H4" s="21" t="s">
        <v>234</v>
      </c>
      <c r="I4" s="21" t="s">
        <v>254</v>
      </c>
      <c r="J4" s="21" t="s">
        <v>255</v>
      </c>
      <c r="K4" s="21" t="s">
        <v>2324</v>
      </c>
      <c r="L4" s="21" t="s">
        <v>239</v>
      </c>
      <c r="M4" s="19" t="s">
        <v>2330</v>
      </c>
      <c r="N4" s="19"/>
      <c r="O4" s="35">
        <v>51</v>
      </c>
      <c r="P4" s="35">
        <v>12</v>
      </c>
      <c r="Q4" s="32"/>
      <c r="R4" s="22">
        <v>20</v>
      </c>
      <c r="S4" s="22">
        <v>10</v>
      </c>
      <c r="T4" s="22">
        <v>10</v>
      </c>
      <c r="U4" s="22">
        <v>5</v>
      </c>
      <c r="V4" s="60">
        <f t="shared" ref="V4:V32" si="5">SUM(R4:U4)</f>
        <v>45</v>
      </c>
      <c r="W4" s="86"/>
      <c r="X4" s="86"/>
      <c r="Y4" s="86">
        <v>37</v>
      </c>
      <c r="Z4" s="86"/>
      <c r="AA4" s="86">
        <v>37</v>
      </c>
      <c r="AB4" s="21"/>
      <c r="AC4" s="77"/>
      <c r="AD4" s="21"/>
      <c r="AE4" s="77"/>
      <c r="AF4" s="21"/>
      <c r="AG4" s="21"/>
      <c r="AH4" s="21"/>
      <c r="AI4" s="21"/>
      <c r="AJ4" s="21"/>
      <c r="AK4" s="21"/>
      <c r="AL4" s="77"/>
      <c r="AM4" s="21"/>
      <c r="AN4" s="21"/>
      <c r="AO4" s="21"/>
      <c r="AP4" s="21"/>
      <c r="AQ4" s="145">
        <v>12</v>
      </c>
      <c r="AR4" s="145">
        <v>13</v>
      </c>
      <c r="AS4" s="77"/>
      <c r="AT4" s="145">
        <v>12</v>
      </c>
      <c r="AU4" s="21"/>
      <c r="AV4" s="21"/>
      <c r="AW4" s="21"/>
      <c r="AX4" s="21"/>
      <c r="AY4" s="21"/>
      <c r="AZ4" s="77"/>
      <c r="BA4" s="21"/>
      <c r="BB4" s="21"/>
      <c r="BC4" s="21"/>
      <c r="BD4" s="144">
        <f t="shared" ref="BD4:BD32" si="6">SUM(AB4:BC4)</f>
        <v>37</v>
      </c>
      <c r="BE4" s="94">
        <f t="shared" ref="BE4:BE32" si="7">AA4-BD4</f>
        <v>0</v>
      </c>
      <c r="BF4" s="26"/>
      <c r="BH4" s="141" t="s">
        <v>2300</v>
      </c>
      <c r="BI4" s="141" t="s">
        <v>2396</v>
      </c>
      <c r="BJ4" s="141" t="s">
        <v>2386</v>
      </c>
      <c r="BK4" s="141" t="s">
        <v>2387</v>
      </c>
      <c r="BL4" s="141"/>
      <c r="BM4" s="141"/>
      <c r="BN4" s="141"/>
      <c r="BO4" s="141"/>
      <c r="BP4" s="141" t="s">
        <v>2388</v>
      </c>
      <c r="BQ4" s="141" t="s">
        <v>2389</v>
      </c>
      <c r="BR4" s="141"/>
      <c r="BS4" s="141"/>
      <c r="BT4" s="141" t="s">
        <v>2390</v>
      </c>
      <c r="BU4" s="141" t="s">
        <v>2391</v>
      </c>
      <c r="BV4" s="141" t="s">
        <v>2392</v>
      </c>
      <c r="BW4" s="141" t="s">
        <v>2393</v>
      </c>
      <c r="BX4" s="141"/>
      <c r="BY4" s="141"/>
      <c r="BZ4" s="141" t="s">
        <v>2394</v>
      </c>
      <c r="CA4" s="141" t="s">
        <v>2397</v>
      </c>
      <c r="CB4" s="142"/>
      <c r="CC4" s="142"/>
      <c r="CD4" s="142"/>
      <c r="CE4" s="142"/>
      <c r="CF4" s="142"/>
      <c r="CG4" s="142"/>
      <c r="CH4" s="142"/>
      <c r="CI4" s="142"/>
      <c r="CJ4" s="142"/>
      <c r="CK4" s="142"/>
      <c r="CL4" s="142"/>
      <c r="CM4" s="142"/>
      <c r="CN4" s="142"/>
      <c r="CO4" s="142"/>
    </row>
    <row r="5" spans="1:93" s="7" customFormat="1" x14ac:dyDescent="0.25">
      <c r="A5" s="19" t="s">
        <v>2298</v>
      </c>
      <c r="B5" s="19" t="s">
        <v>2299</v>
      </c>
      <c r="C5" s="19">
        <v>96100618</v>
      </c>
      <c r="D5" s="19" t="s">
        <v>2304</v>
      </c>
      <c r="E5" s="21" t="s">
        <v>2317</v>
      </c>
      <c r="F5" s="21" t="s">
        <v>2318</v>
      </c>
      <c r="G5" s="21" t="s">
        <v>332</v>
      </c>
      <c r="H5" s="21" t="s">
        <v>234</v>
      </c>
      <c r="I5" s="21" t="s">
        <v>254</v>
      </c>
      <c r="J5" s="21" t="s">
        <v>2083</v>
      </c>
      <c r="K5" s="21" t="s">
        <v>2324</v>
      </c>
      <c r="L5" s="21" t="s">
        <v>2068</v>
      </c>
      <c r="M5" s="19" t="s">
        <v>2341</v>
      </c>
      <c r="N5" s="19"/>
      <c r="O5" s="35">
        <v>40</v>
      </c>
      <c r="P5" s="35">
        <v>15</v>
      </c>
      <c r="Q5" s="32"/>
      <c r="R5" s="22">
        <v>20</v>
      </c>
      <c r="S5" s="22">
        <v>10</v>
      </c>
      <c r="T5" s="22">
        <v>5</v>
      </c>
      <c r="U5" s="22">
        <v>5</v>
      </c>
      <c r="V5" s="60">
        <f t="shared" si="5"/>
        <v>40</v>
      </c>
      <c r="W5" s="86"/>
      <c r="X5" s="86"/>
      <c r="Y5" s="86">
        <v>25</v>
      </c>
      <c r="Z5" s="86">
        <v>11</v>
      </c>
      <c r="AA5" s="86">
        <v>36</v>
      </c>
      <c r="AB5" s="21"/>
      <c r="AC5" s="77"/>
      <c r="AD5" s="21"/>
      <c r="AE5" s="77"/>
      <c r="AF5" s="21"/>
      <c r="AG5" s="21"/>
      <c r="AH5" s="21"/>
      <c r="AI5" s="21"/>
      <c r="AJ5" s="21"/>
      <c r="AK5" s="21"/>
      <c r="AL5" s="77"/>
      <c r="AM5" s="21"/>
      <c r="AN5" s="21"/>
      <c r="AO5" s="21"/>
      <c r="AP5" s="21">
        <v>10</v>
      </c>
      <c r="AQ5" s="21"/>
      <c r="AR5" s="21"/>
      <c r="AS5" s="77"/>
      <c r="AT5" s="21">
        <v>2</v>
      </c>
      <c r="AU5" s="21">
        <v>13</v>
      </c>
      <c r="AV5" s="21"/>
      <c r="AW5" s="21">
        <v>5</v>
      </c>
      <c r="AX5" s="21">
        <v>6</v>
      </c>
      <c r="AY5" s="21"/>
      <c r="AZ5" s="77"/>
      <c r="BA5" s="21"/>
      <c r="BB5" s="21"/>
      <c r="BC5" s="21"/>
      <c r="BD5" s="144">
        <f t="shared" si="6"/>
        <v>36</v>
      </c>
      <c r="BE5" s="94">
        <f t="shared" si="7"/>
        <v>0</v>
      </c>
      <c r="BF5" s="26"/>
      <c r="BH5" s="141" t="s">
        <v>2304</v>
      </c>
      <c r="BI5" s="141" t="s">
        <v>2396</v>
      </c>
      <c r="BJ5" s="141" t="s">
        <v>2386</v>
      </c>
      <c r="BK5" s="141" t="s">
        <v>2387</v>
      </c>
      <c r="BL5" s="141"/>
      <c r="BM5" s="141"/>
      <c r="BN5" s="141"/>
      <c r="BO5" s="141"/>
      <c r="BP5" s="141" t="s">
        <v>2388</v>
      </c>
      <c r="BQ5" s="141" t="s">
        <v>2389</v>
      </c>
      <c r="BR5" s="141"/>
      <c r="BS5" s="141"/>
      <c r="BT5" s="141" t="s">
        <v>2390</v>
      </c>
      <c r="BU5" s="141" t="s">
        <v>2391</v>
      </c>
      <c r="BV5" s="141" t="s">
        <v>2392</v>
      </c>
      <c r="BW5" s="141" t="s">
        <v>2393</v>
      </c>
      <c r="BX5" s="141"/>
      <c r="BY5" s="141"/>
      <c r="BZ5" s="141" t="s">
        <v>2394</v>
      </c>
      <c r="CA5" s="141" t="s">
        <v>2420</v>
      </c>
      <c r="CB5" s="142"/>
      <c r="CC5" s="142"/>
      <c r="CD5" s="142"/>
      <c r="CE5" s="142"/>
      <c r="CF5" s="142"/>
      <c r="CG5" s="142"/>
      <c r="CH5" s="142"/>
      <c r="CI5" s="142"/>
      <c r="CJ5" s="142"/>
      <c r="CK5" s="142"/>
      <c r="CL5" s="142"/>
      <c r="CM5" s="142"/>
      <c r="CN5" s="142"/>
      <c r="CO5" s="142"/>
    </row>
    <row r="6" spans="1:93" s="7" customFormat="1" x14ac:dyDescent="0.25">
      <c r="A6" s="19" t="s">
        <v>2298</v>
      </c>
      <c r="B6" s="19" t="s">
        <v>2299</v>
      </c>
      <c r="C6" s="19">
        <v>96200761</v>
      </c>
      <c r="D6" s="19" t="s">
        <v>2305</v>
      </c>
      <c r="E6" s="21" t="s">
        <v>2321</v>
      </c>
      <c r="F6" s="21" t="s">
        <v>2320</v>
      </c>
      <c r="G6" s="21" t="s">
        <v>260</v>
      </c>
      <c r="H6" s="21" t="s">
        <v>2322</v>
      </c>
      <c r="I6" s="21" t="s">
        <v>254</v>
      </c>
      <c r="J6" s="21" t="s">
        <v>255</v>
      </c>
      <c r="K6" s="21" t="s">
        <v>2324</v>
      </c>
      <c r="L6" s="21" t="s">
        <v>239</v>
      </c>
      <c r="M6" s="19" t="s">
        <v>2343</v>
      </c>
      <c r="N6" s="19"/>
      <c r="O6" s="35">
        <v>2</v>
      </c>
      <c r="P6" s="35">
        <v>0</v>
      </c>
      <c r="Q6" s="32"/>
      <c r="R6" s="22">
        <v>1</v>
      </c>
      <c r="S6" s="22">
        <v>1</v>
      </c>
      <c r="T6" s="22">
        <v>0</v>
      </c>
      <c r="U6" s="22">
        <v>0</v>
      </c>
      <c r="V6" s="60">
        <f t="shared" si="5"/>
        <v>2</v>
      </c>
      <c r="W6" s="86"/>
      <c r="X6" s="86"/>
      <c r="Y6" s="86">
        <v>2</v>
      </c>
      <c r="Z6" s="86"/>
      <c r="AA6" s="86">
        <v>2</v>
      </c>
      <c r="AB6" s="21"/>
      <c r="AC6" s="77"/>
      <c r="AD6" s="21"/>
      <c r="AE6" s="77"/>
      <c r="AF6" s="21"/>
      <c r="AG6" s="21"/>
      <c r="AH6" s="21"/>
      <c r="AI6" s="21"/>
      <c r="AJ6" s="21"/>
      <c r="AK6" s="21"/>
      <c r="AL6" s="77"/>
      <c r="AM6" s="21"/>
      <c r="AN6" s="21"/>
      <c r="AO6" s="21"/>
      <c r="AP6" s="21"/>
      <c r="AQ6" s="145">
        <v>2</v>
      </c>
      <c r="AR6" s="145"/>
      <c r="AS6" s="77"/>
      <c r="AT6" s="21"/>
      <c r="AU6" s="21"/>
      <c r="AV6" s="21"/>
      <c r="AW6" s="21"/>
      <c r="AX6" s="21"/>
      <c r="AY6" s="21"/>
      <c r="AZ6" s="77"/>
      <c r="BA6" s="21"/>
      <c r="BB6" s="21"/>
      <c r="BC6" s="21"/>
      <c r="BD6" s="144">
        <f t="shared" si="6"/>
        <v>2</v>
      </c>
      <c r="BE6" s="94">
        <f t="shared" si="7"/>
        <v>0</v>
      </c>
      <c r="BF6" s="26"/>
      <c r="BH6" s="141" t="s">
        <v>2305</v>
      </c>
      <c r="BI6" s="141" t="s">
        <v>2421</v>
      </c>
      <c r="BJ6" s="141" t="s">
        <v>2386</v>
      </c>
      <c r="BK6" s="141" t="s">
        <v>2387</v>
      </c>
      <c r="BL6" s="141"/>
      <c r="BM6" s="141"/>
      <c r="BN6" s="141"/>
      <c r="BO6" s="141"/>
      <c r="BP6" s="141" t="s">
        <v>2388</v>
      </c>
      <c r="BQ6" s="141" t="s">
        <v>2389</v>
      </c>
      <c r="BR6" s="141"/>
      <c r="BS6" s="141"/>
      <c r="BT6" s="141" t="s">
        <v>2390</v>
      </c>
      <c r="BU6" s="141" t="s">
        <v>2391</v>
      </c>
      <c r="BV6" s="141" t="s">
        <v>2422</v>
      </c>
      <c r="BW6" s="141" t="s">
        <v>2423</v>
      </c>
      <c r="BX6" s="141"/>
      <c r="BY6" s="141"/>
      <c r="BZ6" s="141" t="s">
        <v>2394</v>
      </c>
      <c r="CA6" s="141" t="s">
        <v>2397</v>
      </c>
      <c r="CB6" s="142"/>
      <c r="CC6" s="142"/>
      <c r="CD6" s="142"/>
      <c r="CE6" s="142"/>
      <c r="CF6" s="142"/>
      <c r="CG6" s="142"/>
      <c r="CH6" s="142"/>
      <c r="CI6" s="142"/>
      <c r="CJ6" s="142"/>
      <c r="CK6" s="142"/>
      <c r="CL6" s="142"/>
      <c r="CM6" s="142"/>
      <c r="CN6" s="142"/>
      <c r="CO6" s="142"/>
    </row>
    <row r="7" spans="1:93" s="7" customFormat="1" x14ac:dyDescent="0.25">
      <c r="A7" s="19" t="s">
        <v>2298</v>
      </c>
      <c r="B7" s="19" t="s">
        <v>2299</v>
      </c>
      <c r="C7" s="19">
        <v>96259887</v>
      </c>
      <c r="D7" s="19" t="s">
        <v>2305</v>
      </c>
      <c r="E7" s="21" t="s">
        <v>2321</v>
      </c>
      <c r="F7" s="21" t="s">
        <v>2320</v>
      </c>
      <c r="G7" s="21" t="s">
        <v>260</v>
      </c>
      <c r="H7" s="21" t="s">
        <v>234</v>
      </c>
      <c r="I7" s="21" t="s">
        <v>254</v>
      </c>
      <c r="J7" s="21" t="s">
        <v>255</v>
      </c>
      <c r="K7" s="21" t="s">
        <v>2324</v>
      </c>
      <c r="L7" s="21" t="s">
        <v>239</v>
      </c>
      <c r="M7" s="19" t="s">
        <v>2375</v>
      </c>
      <c r="N7" s="19"/>
      <c r="O7" s="35">
        <v>2</v>
      </c>
      <c r="P7" s="35">
        <v>1</v>
      </c>
      <c r="Q7" s="32"/>
      <c r="R7" s="22">
        <v>2</v>
      </c>
      <c r="S7" s="22">
        <v>1</v>
      </c>
      <c r="T7" s="22">
        <v>1</v>
      </c>
      <c r="U7" s="22">
        <v>1</v>
      </c>
      <c r="V7" s="60">
        <f t="shared" si="5"/>
        <v>5</v>
      </c>
      <c r="W7" s="86"/>
      <c r="X7" s="86"/>
      <c r="Y7" s="86">
        <v>5</v>
      </c>
      <c r="Z7" s="86"/>
      <c r="AA7" s="86">
        <v>5</v>
      </c>
      <c r="AB7" s="21"/>
      <c r="AC7" s="77"/>
      <c r="AD7" s="21"/>
      <c r="AE7" s="77"/>
      <c r="AF7" s="21"/>
      <c r="AG7" s="21"/>
      <c r="AH7" s="21"/>
      <c r="AI7" s="21"/>
      <c r="AJ7" s="21"/>
      <c r="AK7" s="21"/>
      <c r="AL7" s="77"/>
      <c r="AM7" s="21"/>
      <c r="AN7" s="21"/>
      <c r="AO7" s="21"/>
      <c r="AP7" s="21"/>
      <c r="AQ7" s="145">
        <v>2</v>
      </c>
      <c r="AR7" s="145">
        <v>3</v>
      </c>
      <c r="AS7" s="77"/>
      <c r="AT7" s="21"/>
      <c r="AU7" s="21"/>
      <c r="AV7" s="21"/>
      <c r="AW7" s="21"/>
      <c r="AX7" s="21"/>
      <c r="AY7" s="21"/>
      <c r="AZ7" s="77"/>
      <c r="BA7" s="21"/>
      <c r="BB7" s="21"/>
      <c r="BC7" s="21"/>
      <c r="BD7" s="144">
        <f t="shared" si="6"/>
        <v>5</v>
      </c>
      <c r="BE7" s="94">
        <f t="shared" si="7"/>
        <v>0</v>
      </c>
      <c r="BF7" s="26"/>
      <c r="BH7" s="141" t="s">
        <v>2305</v>
      </c>
      <c r="BI7" s="141" t="s">
        <v>2421</v>
      </c>
      <c r="BJ7" s="141" t="s">
        <v>2386</v>
      </c>
      <c r="BK7" s="141" t="s">
        <v>2387</v>
      </c>
      <c r="BL7" s="141"/>
      <c r="BM7" s="141"/>
      <c r="BN7" s="141"/>
      <c r="BO7" s="141"/>
      <c r="BP7" s="141" t="s">
        <v>2388</v>
      </c>
      <c r="BQ7" s="141" t="s">
        <v>2389</v>
      </c>
      <c r="BR7" s="141"/>
      <c r="BS7" s="141"/>
      <c r="BT7" s="141" t="s">
        <v>2390</v>
      </c>
      <c r="BU7" s="141" t="s">
        <v>2391</v>
      </c>
      <c r="BV7" s="141" t="s">
        <v>2422</v>
      </c>
      <c r="BW7" s="141" t="s">
        <v>2423</v>
      </c>
      <c r="BX7" s="141"/>
      <c r="BY7" s="141"/>
      <c r="BZ7" s="141" t="s">
        <v>2394</v>
      </c>
      <c r="CA7" s="141" t="s">
        <v>2397</v>
      </c>
      <c r="CB7" s="142"/>
      <c r="CC7" s="142"/>
      <c r="CD7" s="142"/>
      <c r="CE7" s="142"/>
      <c r="CF7" s="142"/>
      <c r="CG7" s="142"/>
      <c r="CH7" s="142"/>
      <c r="CI7" s="142"/>
      <c r="CJ7" s="142"/>
      <c r="CK7" s="142"/>
      <c r="CL7" s="142"/>
      <c r="CM7" s="142"/>
      <c r="CN7" s="142"/>
      <c r="CO7" s="142"/>
    </row>
    <row r="8" spans="1:93" s="7" customFormat="1" x14ac:dyDescent="0.25">
      <c r="A8" s="19" t="s">
        <v>2298</v>
      </c>
      <c r="B8" s="19" t="s">
        <v>2299</v>
      </c>
      <c r="C8" s="19">
        <v>96109877</v>
      </c>
      <c r="D8" s="19" t="s">
        <v>2314</v>
      </c>
      <c r="E8" s="21" t="s">
        <v>2321</v>
      </c>
      <c r="F8" s="21" t="s">
        <v>2318</v>
      </c>
      <c r="G8" s="21" t="s">
        <v>332</v>
      </c>
      <c r="H8" s="21" t="s">
        <v>234</v>
      </c>
      <c r="I8" s="21" t="s">
        <v>254</v>
      </c>
      <c r="J8" s="21" t="s">
        <v>255</v>
      </c>
      <c r="K8" s="21" t="s">
        <v>2324</v>
      </c>
      <c r="L8" s="21" t="s">
        <v>239</v>
      </c>
      <c r="M8" s="19" t="s">
        <v>2376</v>
      </c>
      <c r="N8" s="19"/>
      <c r="O8" s="35">
        <v>2</v>
      </c>
      <c r="P8" s="35">
        <v>0</v>
      </c>
      <c r="Q8" s="32"/>
      <c r="R8" s="22">
        <v>1</v>
      </c>
      <c r="S8" s="22">
        <v>1</v>
      </c>
      <c r="T8" s="22">
        <v>1</v>
      </c>
      <c r="U8" s="22">
        <v>0</v>
      </c>
      <c r="V8" s="60">
        <f t="shared" si="5"/>
        <v>3</v>
      </c>
      <c r="W8" s="86"/>
      <c r="X8" s="86"/>
      <c r="Y8" s="86">
        <v>3</v>
      </c>
      <c r="Z8" s="86"/>
      <c r="AA8" s="86">
        <v>3</v>
      </c>
      <c r="AB8" s="21"/>
      <c r="AC8" s="77"/>
      <c r="AD8" s="21"/>
      <c r="AE8" s="77"/>
      <c r="AF8" s="21"/>
      <c r="AG8" s="21"/>
      <c r="AH8" s="21"/>
      <c r="AI8" s="21"/>
      <c r="AJ8" s="21"/>
      <c r="AK8" s="21"/>
      <c r="AL8" s="77"/>
      <c r="AM8" s="21"/>
      <c r="AN8" s="21"/>
      <c r="AO8" s="21"/>
      <c r="AP8" s="21"/>
      <c r="AQ8" s="145">
        <v>1</v>
      </c>
      <c r="AR8" s="145">
        <v>2</v>
      </c>
      <c r="AS8" s="77"/>
      <c r="AT8" s="21"/>
      <c r="AU8" s="21"/>
      <c r="AV8" s="21"/>
      <c r="AW8" s="21"/>
      <c r="AX8" s="21"/>
      <c r="AY8" s="21"/>
      <c r="AZ8" s="77"/>
      <c r="BA8" s="21"/>
      <c r="BB8" s="21"/>
      <c r="BC8" s="21"/>
      <c r="BD8" s="144">
        <f t="shared" si="6"/>
        <v>3</v>
      </c>
      <c r="BE8" s="94">
        <f t="shared" si="7"/>
        <v>0</v>
      </c>
      <c r="BF8" s="26"/>
      <c r="BH8" s="141" t="s">
        <v>2314</v>
      </c>
      <c r="BI8" s="141" t="s">
        <v>2454</v>
      </c>
      <c r="BJ8" s="141" t="s">
        <v>2386</v>
      </c>
      <c r="BK8" s="141" t="s">
        <v>2387</v>
      </c>
      <c r="BL8" s="141"/>
      <c r="BM8" s="141"/>
      <c r="BN8" s="141"/>
      <c r="BO8" s="141"/>
      <c r="BP8" s="141" t="s">
        <v>2388</v>
      </c>
      <c r="BQ8" s="141" t="s">
        <v>2389</v>
      </c>
      <c r="BR8" s="141"/>
      <c r="BS8" s="141"/>
      <c r="BT8" s="141" t="s">
        <v>2390</v>
      </c>
      <c r="BU8" s="141" t="s">
        <v>2391</v>
      </c>
      <c r="BV8" s="141" t="s">
        <v>2392</v>
      </c>
      <c r="BW8" s="141" t="s">
        <v>2393</v>
      </c>
      <c r="BX8" s="141"/>
      <c r="BY8" s="141"/>
      <c r="BZ8" s="141" t="s">
        <v>2455</v>
      </c>
      <c r="CA8" s="141" t="s">
        <v>2397</v>
      </c>
      <c r="CB8" s="142"/>
      <c r="CC8" s="142"/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  <c r="CO8" s="142"/>
    </row>
    <row r="9" spans="1:93" s="7" customFormat="1" x14ac:dyDescent="0.25">
      <c r="A9" s="19" t="s">
        <v>2298</v>
      </c>
      <c r="B9" s="19" t="s">
        <v>2299</v>
      </c>
      <c r="C9" s="19">
        <v>96101847</v>
      </c>
      <c r="D9" s="19" t="s">
        <v>2306</v>
      </c>
      <c r="E9" s="21" t="s">
        <v>2323</v>
      </c>
      <c r="F9" s="21" t="s">
        <v>2318</v>
      </c>
      <c r="G9" s="21" t="s">
        <v>332</v>
      </c>
      <c r="H9" s="21" t="s">
        <v>234</v>
      </c>
      <c r="I9" s="21" t="s">
        <v>254</v>
      </c>
      <c r="J9" s="21" t="s">
        <v>2083</v>
      </c>
      <c r="K9" s="21" t="s">
        <v>2326</v>
      </c>
      <c r="L9" s="21" t="s">
        <v>2068</v>
      </c>
      <c r="M9" s="19" t="s">
        <v>2352</v>
      </c>
      <c r="N9" s="19"/>
      <c r="O9" s="35">
        <v>0</v>
      </c>
      <c r="P9" s="35">
        <v>0</v>
      </c>
      <c r="Q9" s="32"/>
      <c r="R9" s="22">
        <v>0</v>
      </c>
      <c r="S9" s="22">
        <v>5</v>
      </c>
      <c r="T9" s="22">
        <v>0</v>
      </c>
      <c r="U9" s="22">
        <v>0</v>
      </c>
      <c r="V9" s="60">
        <f t="shared" si="5"/>
        <v>5</v>
      </c>
      <c r="W9" s="86"/>
      <c r="X9" s="86"/>
      <c r="Y9" s="86">
        <v>5</v>
      </c>
      <c r="Z9" s="86"/>
      <c r="AA9" s="86">
        <v>5</v>
      </c>
      <c r="AB9" s="21"/>
      <c r="AC9" s="77"/>
      <c r="AD9" s="21"/>
      <c r="AE9" s="77"/>
      <c r="AF9" s="21"/>
      <c r="AG9" s="21"/>
      <c r="AH9" s="21"/>
      <c r="AI9" s="21"/>
      <c r="AJ9" s="21"/>
      <c r="AK9" s="21"/>
      <c r="AL9" s="77"/>
      <c r="AM9" s="21"/>
      <c r="AN9" s="21"/>
      <c r="AO9" s="21"/>
      <c r="AP9" s="21"/>
      <c r="AQ9" s="21"/>
      <c r="AR9" s="21"/>
      <c r="AS9" s="77"/>
      <c r="AT9" s="21"/>
      <c r="AU9" s="21"/>
      <c r="AV9" s="21">
        <v>5</v>
      </c>
      <c r="AW9" s="21"/>
      <c r="AX9" s="21"/>
      <c r="AY9" s="21"/>
      <c r="AZ9" s="77"/>
      <c r="BA9" s="21"/>
      <c r="BB9" s="21"/>
      <c r="BC9" s="21"/>
      <c r="BD9" s="144">
        <f t="shared" si="6"/>
        <v>5</v>
      </c>
      <c r="BE9" s="94">
        <f t="shared" si="7"/>
        <v>0</v>
      </c>
      <c r="BF9" s="26"/>
      <c r="BH9" s="141" t="s">
        <v>2306</v>
      </c>
      <c r="BI9" s="141" t="s">
        <v>2435</v>
      </c>
      <c r="BJ9" s="141" t="s">
        <v>2386</v>
      </c>
      <c r="BK9" s="141" t="s">
        <v>2387</v>
      </c>
      <c r="BL9" s="141" t="s">
        <v>2426</v>
      </c>
      <c r="BM9" s="141" t="s">
        <v>2427</v>
      </c>
      <c r="BN9" s="141" t="s">
        <v>2401</v>
      </c>
      <c r="BO9" s="141" t="s">
        <v>2402</v>
      </c>
      <c r="BP9" s="141" t="s">
        <v>2428</v>
      </c>
      <c r="BQ9" s="141" t="s">
        <v>2429</v>
      </c>
      <c r="BR9" s="141" t="s">
        <v>2430</v>
      </c>
      <c r="BS9" s="141" t="s">
        <v>2406</v>
      </c>
      <c r="BT9" s="141" t="s">
        <v>2390</v>
      </c>
      <c r="BU9" s="141" t="s">
        <v>2391</v>
      </c>
      <c r="BV9" s="141" t="s">
        <v>2392</v>
      </c>
      <c r="BW9" s="141" t="s">
        <v>2393</v>
      </c>
      <c r="BX9" s="141" t="s">
        <v>2431</v>
      </c>
      <c r="BY9" s="141" t="s">
        <v>2432</v>
      </c>
      <c r="BZ9" s="141" t="s">
        <v>2433</v>
      </c>
      <c r="CA9" s="141" t="s">
        <v>2436</v>
      </c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142"/>
    </row>
    <row r="10" spans="1:93" s="7" customFormat="1" x14ac:dyDescent="0.25">
      <c r="A10" s="19" t="s">
        <v>2298</v>
      </c>
      <c r="B10" s="19" t="s">
        <v>2299</v>
      </c>
      <c r="C10" s="19">
        <v>96101368</v>
      </c>
      <c r="D10" s="19" t="s">
        <v>2307</v>
      </c>
      <c r="E10" s="21" t="s">
        <v>1860</v>
      </c>
      <c r="F10" s="21" t="s">
        <v>2318</v>
      </c>
      <c r="G10" s="21" t="s">
        <v>332</v>
      </c>
      <c r="H10" s="21" t="s">
        <v>234</v>
      </c>
      <c r="I10" s="21" t="s">
        <v>254</v>
      </c>
      <c r="J10" s="21" t="s">
        <v>2083</v>
      </c>
      <c r="K10" s="21" t="s">
        <v>2328</v>
      </c>
      <c r="L10" s="21" t="s">
        <v>2068</v>
      </c>
      <c r="M10" s="19" t="s">
        <v>2356</v>
      </c>
      <c r="N10" s="19"/>
      <c r="O10" s="35">
        <v>70</v>
      </c>
      <c r="P10" s="35">
        <v>50</v>
      </c>
      <c r="Q10" s="32"/>
      <c r="R10" s="22">
        <v>50</v>
      </c>
      <c r="S10" s="22">
        <v>35</v>
      </c>
      <c r="T10" s="22">
        <v>40</v>
      </c>
      <c r="U10" s="22">
        <v>21</v>
      </c>
      <c r="V10" s="60">
        <f t="shared" si="5"/>
        <v>146</v>
      </c>
      <c r="W10" s="86">
        <v>126</v>
      </c>
      <c r="X10" s="86"/>
      <c r="Y10" s="86"/>
      <c r="Z10" s="86"/>
      <c r="AA10" s="86">
        <v>126</v>
      </c>
      <c r="AB10" s="21">
        <v>10</v>
      </c>
      <c r="AC10" s="77"/>
      <c r="AD10" s="21">
        <v>15</v>
      </c>
      <c r="AE10" s="77"/>
      <c r="AF10" s="21">
        <v>20</v>
      </c>
      <c r="AG10" s="21">
        <v>20</v>
      </c>
      <c r="AH10" s="21">
        <v>20</v>
      </c>
      <c r="AI10" s="21">
        <v>13</v>
      </c>
      <c r="AJ10" s="21">
        <v>13</v>
      </c>
      <c r="AK10" s="21"/>
      <c r="AL10" s="77"/>
      <c r="AM10" s="21">
        <v>1</v>
      </c>
      <c r="AN10" s="21">
        <v>1</v>
      </c>
      <c r="AO10" s="21">
        <v>1</v>
      </c>
      <c r="AP10" s="21">
        <v>1</v>
      </c>
      <c r="AQ10" s="21">
        <v>1</v>
      </c>
      <c r="AR10" s="21"/>
      <c r="AS10" s="77"/>
      <c r="AT10" s="21">
        <v>3</v>
      </c>
      <c r="AU10" s="21">
        <v>3</v>
      </c>
      <c r="AV10" s="21">
        <v>4</v>
      </c>
      <c r="AW10" s="21"/>
      <c r="AX10" s="21"/>
      <c r="AY10" s="21"/>
      <c r="AZ10" s="77"/>
      <c r="BA10" s="21"/>
      <c r="BB10" s="21"/>
      <c r="BC10" s="21"/>
      <c r="BD10" s="144">
        <f t="shared" si="6"/>
        <v>126</v>
      </c>
      <c r="BE10" s="94">
        <f t="shared" si="7"/>
        <v>0</v>
      </c>
      <c r="BF10" s="26"/>
      <c r="BH10" s="141" t="s">
        <v>2307</v>
      </c>
      <c r="BI10" s="141" t="s">
        <v>2445</v>
      </c>
      <c r="BJ10" s="141" t="s">
        <v>2386</v>
      </c>
      <c r="BK10" s="141" t="s">
        <v>2387</v>
      </c>
      <c r="BL10" s="141" t="s">
        <v>2399</v>
      </c>
      <c r="BM10" s="141" t="s">
        <v>2400</v>
      </c>
      <c r="BN10" s="141" t="s">
        <v>2401</v>
      </c>
      <c r="BO10" s="141" t="s">
        <v>2402</v>
      </c>
      <c r="BP10" s="141" t="s">
        <v>2403</v>
      </c>
      <c r="BQ10" s="141" t="s">
        <v>2404</v>
      </c>
      <c r="BR10" s="141" t="s">
        <v>2446</v>
      </c>
      <c r="BS10" s="141" t="s">
        <v>2406</v>
      </c>
      <c r="BT10" s="141" t="s">
        <v>2390</v>
      </c>
      <c r="BU10" s="141" t="s">
        <v>2391</v>
      </c>
      <c r="BV10" s="141" t="s">
        <v>2392</v>
      </c>
      <c r="BW10" s="141" t="s">
        <v>2393</v>
      </c>
      <c r="BX10" s="141" t="s">
        <v>2407</v>
      </c>
      <c r="BY10" s="141" t="s">
        <v>2408</v>
      </c>
      <c r="BZ10" s="141" t="s">
        <v>2409</v>
      </c>
      <c r="CA10" s="141" t="s">
        <v>2410</v>
      </c>
      <c r="CB10" s="142"/>
      <c r="CC10" s="142"/>
      <c r="CD10" s="142"/>
      <c r="CE10" s="142"/>
      <c r="CF10" s="142"/>
      <c r="CG10" s="142"/>
      <c r="CH10" s="142"/>
      <c r="CI10" s="142"/>
      <c r="CJ10" s="142"/>
      <c r="CK10" s="142"/>
      <c r="CL10" s="142"/>
      <c r="CM10" s="142"/>
      <c r="CN10" s="142"/>
      <c r="CO10" s="142"/>
    </row>
    <row r="11" spans="1:93" s="7" customFormat="1" x14ac:dyDescent="0.25">
      <c r="A11" s="19" t="s">
        <v>2298</v>
      </c>
      <c r="B11" s="19" t="s">
        <v>2299</v>
      </c>
      <c r="C11" s="19">
        <v>96201441</v>
      </c>
      <c r="D11" s="19" t="s">
        <v>2308</v>
      </c>
      <c r="E11" s="21" t="s">
        <v>1860</v>
      </c>
      <c r="F11" s="21" t="s">
        <v>2320</v>
      </c>
      <c r="G11" s="21" t="s">
        <v>332</v>
      </c>
      <c r="H11" s="21" t="s">
        <v>234</v>
      </c>
      <c r="I11" s="21" t="s">
        <v>254</v>
      </c>
      <c r="J11" s="21" t="s">
        <v>2083</v>
      </c>
      <c r="K11" s="21" t="s">
        <v>2328</v>
      </c>
      <c r="L11" s="21" t="s">
        <v>2068</v>
      </c>
      <c r="M11" s="19" t="s">
        <v>2358</v>
      </c>
      <c r="N11" s="19"/>
      <c r="O11" s="35">
        <v>10</v>
      </c>
      <c r="P11" s="35">
        <v>10</v>
      </c>
      <c r="Q11" s="32"/>
      <c r="R11" s="22">
        <v>10</v>
      </c>
      <c r="S11" s="22">
        <v>5</v>
      </c>
      <c r="T11" s="22">
        <v>10</v>
      </c>
      <c r="U11" s="22">
        <v>5</v>
      </c>
      <c r="V11" s="60">
        <f t="shared" si="5"/>
        <v>30</v>
      </c>
      <c r="W11" s="86">
        <v>30</v>
      </c>
      <c r="X11" s="86"/>
      <c r="Y11" s="86"/>
      <c r="Z11" s="86"/>
      <c r="AA11" s="86">
        <v>30</v>
      </c>
      <c r="AB11" s="21">
        <v>5</v>
      </c>
      <c r="AC11" s="77"/>
      <c r="AD11" s="21">
        <v>5</v>
      </c>
      <c r="AE11" s="77"/>
      <c r="AF11" s="21">
        <v>5</v>
      </c>
      <c r="AG11" s="21">
        <v>5</v>
      </c>
      <c r="AH11" s="21">
        <v>5</v>
      </c>
      <c r="AI11" s="21">
        <v>5</v>
      </c>
      <c r="AJ11" s="21"/>
      <c r="AK11" s="21"/>
      <c r="AL11" s="77"/>
      <c r="AM11" s="21"/>
      <c r="AN11" s="21"/>
      <c r="AO11" s="21"/>
      <c r="AP11" s="21"/>
      <c r="AQ11" s="21"/>
      <c r="AR11" s="21"/>
      <c r="AS11" s="77"/>
      <c r="AT11" s="21"/>
      <c r="AU11" s="21"/>
      <c r="AV11" s="21"/>
      <c r="AW11" s="21"/>
      <c r="AX11" s="21"/>
      <c r="AY11" s="21"/>
      <c r="AZ11" s="77"/>
      <c r="BA11" s="21"/>
      <c r="BB11" s="21"/>
      <c r="BC11" s="21"/>
      <c r="BD11" s="144">
        <f t="shared" si="6"/>
        <v>30</v>
      </c>
      <c r="BE11" s="94">
        <f t="shared" si="7"/>
        <v>0</v>
      </c>
      <c r="BF11" s="26"/>
      <c r="BH11" s="141" t="s">
        <v>2308</v>
      </c>
      <c r="BI11" s="141" t="s">
        <v>2447</v>
      </c>
      <c r="BJ11" s="141" t="s">
        <v>2386</v>
      </c>
      <c r="BK11" s="141" t="s">
        <v>2387</v>
      </c>
      <c r="BL11" s="141" t="s">
        <v>2399</v>
      </c>
      <c r="BM11" s="141" t="s">
        <v>2400</v>
      </c>
      <c r="BN11" s="141" t="s">
        <v>2401</v>
      </c>
      <c r="BO11" s="141" t="s">
        <v>2402</v>
      </c>
      <c r="BP11" s="141" t="s">
        <v>2403</v>
      </c>
      <c r="BQ11" s="141" t="s">
        <v>2404</v>
      </c>
      <c r="BR11" s="141" t="s">
        <v>2446</v>
      </c>
      <c r="BS11" s="141" t="s">
        <v>2406</v>
      </c>
      <c r="BT11" s="141" t="s">
        <v>2390</v>
      </c>
      <c r="BU11" s="141" t="s">
        <v>2391</v>
      </c>
      <c r="BV11" s="141" t="s">
        <v>2392</v>
      </c>
      <c r="BW11" s="141" t="s">
        <v>2393</v>
      </c>
      <c r="BX11" s="141" t="s">
        <v>2407</v>
      </c>
      <c r="BY11" s="141" t="s">
        <v>2408</v>
      </c>
      <c r="BZ11" s="141" t="s">
        <v>2409</v>
      </c>
      <c r="CA11" s="141" t="s">
        <v>2410</v>
      </c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</row>
    <row r="12" spans="1:93" s="7" customFormat="1" x14ac:dyDescent="0.25">
      <c r="A12" s="19" t="s">
        <v>2298</v>
      </c>
      <c r="B12" s="19" t="s">
        <v>2299</v>
      </c>
      <c r="C12" s="19">
        <v>96201442</v>
      </c>
      <c r="D12" s="19" t="s">
        <v>2308</v>
      </c>
      <c r="E12" s="21" t="s">
        <v>1860</v>
      </c>
      <c r="F12" s="21" t="s">
        <v>2320</v>
      </c>
      <c r="G12" s="21" t="s">
        <v>332</v>
      </c>
      <c r="H12" s="21" t="s">
        <v>2319</v>
      </c>
      <c r="I12" s="21" t="s">
        <v>254</v>
      </c>
      <c r="J12" s="21" t="s">
        <v>2083</v>
      </c>
      <c r="K12" s="21" t="s">
        <v>2328</v>
      </c>
      <c r="L12" s="21" t="s">
        <v>2068</v>
      </c>
      <c r="M12" s="19" t="s">
        <v>2361</v>
      </c>
      <c r="N12" s="19"/>
      <c r="O12" s="35">
        <v>10</v>
      </c>
      <c r="P12" s="35">
        <v>10</v>
      </c>
      <c r="Q12" s="32"/>
      <c r="R12" s="22">
        <v>5</v>
      </c>
      <c r="S12" s="22">
        <v>10</v>
      </c>
      <c r="T12" s="22">
        <v>5</v>
      </c>
      <c r="U12" s="22">
        <v>5</v>
      </c>
      <c r="V12" s="60">
        <f t="shared" si="5"/>
        <v>25</v>
      </c>
      <c r="W12" s="86">
        <v>25</v>
      </c>
      <c r="X12" s="86"/>
      <c r="Y12" s="86"/>
      <c r="Z12" s="86"/>
      <c r="AA12" s="86">
        <v>25</v>
      </c>
      <c r="AB12" s="21"/>
      <c r="AC12" s="77"/>
      <c r="AD12" s="21"/>
      <c r="AE12" s="77"/>
      <c r="AF12" s="21"/>
      <c r="AG12" s="21"/>
      <c r="AH12" s="21"/>
      <c r="AI12" s="21">
        <v>10</v>
      </c>
      <c r="AJ12" s="21">
        <v>10</v>
      </c>
      <c r="AK12" s="21">
        <v>5</v>
      </c>
      <c r="AL12" s="77"/>
      <c r="AM12" s="21"/>
      <c r="AN12" s="21"/>
      <c r="AO12" s="21"/>
      <c r="AP12" s="21"/>
      <c r="AQ12" s="21"/>
      <c r="AR12" s="21"/>
      <c r="AS12" s="77"/>
      <c r="AT12" s="21"/>
      <c r="AU12" s="21"/>
      <c r="AV12" s="21"/>
      <c r="AW12" s="21"/>
      <c r="AX12" s="21"/>
      <c r="AY12" s="21"/>
      <c r="AZ12" s="77"/>
      <c r="BA12" s="21"/>
      <c r="BB12" s="21"/>
      <c r="BC12" s="21"/>
      <c r="BD12" s="144">
        <f t="shared" si="6"/>
        <v>25</v>
      </c>
      <c r="BE12" s="94">
        <f t="shared" si="7"/>
        <v>0</v>
      </c>
      <c r="BF12" s="26"/>
      <c r="BH12" s="141" t="s">
        <v>2308</v>
      </c>
      <c r="BI12" s="141" t="s">
        <v>2447</v>
      </c>
      <c r="BJ12" s="141" t="s">
        <v>2386</v>
      </c>
      <c r="BK12" s="141" t="s">
        <v>2387</v>
      </c>
      <c r="BL12" s="141" t="s">
        <v>2399</v>
      </c>
      <c r="BM12" s="141" t="s">
        <v>2400</v>
      </c>
      <c r="BN12" s="141" t="s">
        <v>2401</v>
      </c>
      <c r="BO12" s="141" t="s">
        <v>2402</v>
      </c>
      <c r="BP12" s="141" t="s">
        <v>2403</v>
      </c>
      <c r="BQ12" s="141" t="s">
        <v>2404</v>
      </c>
      <c r="BR12" s="141" t="s">
        <v>2446</v>
      </c>
      <c r="BS12" s="141" t="s">
        <v>2406</v>
      </c>
      <c r="BT12" s="141" t="s">
        <v>2390</v>
      </c>
      <c r="BU12" s="141" t="s">
        <v>2391</v>
      </c>
      <c r="BV12" s="141" t="s">
        <v>2392</v>
      </c>
      <c r="BW12" s="141" t="s">
        <v>2393</v>
      </c>
      <c r="BX12" s="141" t="s">
        <v>2407</v>
      </c>
      <c r="BY12" s="141" t="s">
        <v>2408</v>
      </c>
      <c r="BZ12" s="141" t="s">
        <v>2409</v>
      </c>
      <c r="CA12" s="141" t="s">
        <v>2410</v>
      </c>
      <c r="CB12" s="142"/>
      <c r="CC12" s="142"/>
      <c r="CD12" s="142"/>
      <c r="CE12" s="142"/>
      <c r="CF12" s="142"/>
      <c r="CG12" s="142"/>
      <c r="CH12" s="142"/>
      <c r="CI12" s="142"/>
      <c r="CJ12" s="142"/>
      <c r="CK12" s="142"/>
      <c r="CL12" s="142"/>
      <c r="CM12" s="142"/>
      <c r="CN12" s="142"/>
      <c r="CO12" s="142"/>
    </row>
    <row r="13" spans="1:93" s="7" customFormat="1" x14ac:dyDescent="0.25">
      <c r="A13" s="19" t="s">
        <v>2298</v>
      </c>
      <c r="B13" s="19" t="s">
        <v>2299</v>
      </c>
      <c r="C13" s="19">
        <v>96101550</v>
      </c>
      <c r="D13" s="19" t="s">
        <v>2309</v>
      </c>
      <c r="E13" s="21" t="s">
        <v>1860</v>
      </c>
      <c r="F13" s="21" t="s">
        <v>2318</v>
      </c>
      <c r="G13" s="21" t="s">
        <v>332</v>
      </c>
      <c r="H13" s="21" t="s">
        <v>234</v>
      </c>
      <c r="I13" s="21" t="s">
        <v>254</v>
      </c>
      <c r="J13" s="21" t="s">
        <v>2083</v>
      </c>
      <c r="K13" s="21" t="s">
        <v>2328</v>
      </c>
      <c r="L13" s="21" t="s">
        <v>2068</v>
      </c>
      <c r="M13" s="19" t="s">
        <v>2362</v>
      </c>
      <c r="N13" s="19"/>
      <c r="O13" s="35">
        <v>15</v>
      </c>
      <c r="P13" s="35">
        <v>20</v>
      </c>
      <c r="Q13" s="32"/>
      <c r="R13" s="22">
        <v>10</v>
      </c>
      <c r="S13" s="22">
        <v>5</v>
      </c>
      <c r="T13" s="22">
        <v>5</v>
      </c>
      <c r="U13" s="22">
        <v>0</v>
      </c>
      <c r="V13" s="60">
        <f t="shared" si="5"/>
        <v>20</v>
      </c>
      <c r="W13" s="86"/>
      <c r="X13" s="86"/>
      <c r="Y13" s="86">
        <v>20</v>
      </c>
      <c r="Z13" s="86"/>
      <c r="AA13" s="86">
        <v>20</v>
      </c>
      <c r="AB13" s="21"/>
      <c r="AC13" s="77"/>
      <c r="AD13" s="21"/>
      <c r="AE13" s="77"/>
      <c r="AF13" s="21"/>
      <c r="AG13" s="21"/>
      <c r="AH13" s="21"/>
      <c r="AI13" s="21"/>
      <c r="AJ13" s="21"/>
      <c r="AK13" s="21"/>
      <c r="AL13" s="77"/>
      <c r="AM13" s="21"/>
      <c r="AN13" s="21"/>
      <c r="AO13" s="21"/>
      <c r="AP13" s="21"/>
      <c r="AQ13" s="21"/>
      <c r="AR13" s="21"/>
      <c r="AS13" s="77"/>
      <c r="AT13" s="21">
        <v>5</v>
      </c>
      <c r="AU13" s="21">
        <v>5</v>
      </c>
      <c r="AV13" s="21">
        <v>5</v>
      </c>
      <c r="AW13" s="21">
        <v>5</v>
      </c>
      <c r="AX13" s="21"/>
      <c r="AY13" s="21"/>
      <c r="AZ13" s="77"/>
      <c r="BA13" s="21"/>
      <c r="BB13" s="21"/>
      <c r="BC13" s="21"/>
      <c r="BD13" s="144">
        <f t="shared" si="6"/>
        <v>20</v>
      </c>
      <c r="BE13" s="94">
        <f t="shared" si="7"/>
        <v>0</v>
      </c>
      <c r="BF13" s="26"/>
      <c r="BH13" s="141" t="s">
        <v>2309</v>
      </c>
      <c r="BI13" s="141" t="s">
        <v>2449</v>
      </c>
      <c r="BJ13" s="141" t="s">
        <v>2386</v>
      </c>
      <c r="BK13" s="141" t="s">
        <v>2387</v>
      </c>
      <c r="BL13" s="141" t="s">
        <v>2413</v>
      </c>
      <c r="BM13" s="141" t="s">
        <v>2414</v>
      </c>
      <c r="BN13" s="141" t="s">
        <v>2401</v>
      </c>
      <c r="BO13" s="141" t="s">
        <v>2402</v>
      </c>
      <c r="BP13" s="141" t="s">
        <v>2403</v>
      </c>
      <c r="BQ13" s="141" t="s">
        <v>2404</v>
      </c>
      <c r="BR13" s="141" t="s">
        <v>2448</v>
      </c>
      <c r="BS13" s="141" t="s">
        <v>2406</v>
      </c>
      <c r="BT13" s="141" t="s">
        <v>2390</v>
      </c>
      <c r="BU13" s="141" t="s">
        <v>2391</v>
      </c>
      <c r="BV13" s="141" t="s">
        <v>2392</v>
      </c>
      <c r="BW13" s="141" t="s">
        <v>2393</v>
      </c>
      <c r="BX13" s="141" t="s">
        <v>2416</v>
      </c>
      <c r="BY13" s="141" t="s">
        <v>2417</v>
      </c>
      <c r="BZ13" s="141" t="s">
        <v>2418</v>
      </c>
      <c r="CA13" s="141" t="s">
        <v>2410</v>
      </c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</row>
    <row r="14" spans="1:93" s="7" customFormat="1" x14ac:dyDescent="0.25">
      <c r="A14" s="19" t="s">
        <v>2298</v>
      </c>
      <c r="B14" s="19" t="s">
        <v>2299</v>
      </c>
      <c r="C14" s="19">
        <v>96101551</v>
      </c>
      <c r="D14" s="19" t="s">
        <v>2309</v>
      </c>
      <c r="E14" s="21" t="s">
        <v>1860</v>
      </c>
      <c r="F14" s="21" t="s">
        <v>2318</v>
      </c>
      <c r="G14" s="21" t="s">
        <v>332</v>
      </c>
      <c r="H14" s="21" t="s">
        <v>2319</v>
      </c>
      <c r="I14" s="21" t="s">
        <v>254</v>
      </c>
      <c r="J14" s="21" t="s">
        <v>2083</v>
      </c>
      <c r="K14" s="21" t="s">
        <v>2328</v>
      </c>
      <c r="L14" s="21" t="s">
        <v>2068</v>
      </c>
      <c r="M14" s="19" t="s">
        <v>2363</v>
      </c>
      <c r="N14" s="19"/>
      <c r="O14" s="35">
        <v>15</v>
      </c>
      <c r="P14" s="35">
        <v>20</v>
      </c>
      <c r="Q14" s="32"/>
      <c r="R14" s="22">
        <v>10</v>
      </c>
      <c r="S14" s="22">
        <v>5</v>
      </c>
      <c r="T14" s="22">
        <v>5</v>
      </c>
      <c r="U14" s="22">
        <v>0</v>
      </c>
      <c r="V14" s="60">
        <f t="shared" si="5"/>
        <v>20</v>
      </c>
      <c r="W14" s="86"/>
      <c r="X14" s="86"/>
      <c r="Y14" s="86">
        <v>20</v>
      </c>
      <c r="Z14" s="86"/>
      <c r="AA14" s="86">
        <v>20</v>
      </c>
      <c r="AB14" s="21"/>
      <c r="AC14" s="77"/>
      <c r="AD14" s="21"/>
      <c r="AE14" s="77"/>
      <c r="AF14" s="21"/>
      <c r="AG14" s="21"/>
      <c r="AH14" s="21"/>
      <c r="AI14" s="21"/>
      <c r="AJ14" s="21"/>
      <c r="AK14" s="21"/>
      <c r="AL14" s="77"/>
      <c r="AM14" s="21"/>
      <c r="AN14" s="21"/>
      <c r="AO14" s="21"/>
      <c r="AP14" s="21"/>
      <c r="AQ14" s="21"/>
      <c r="AR14" s="21"/>
      <c r="AS14" s="77"/>
      <c r="AT14" s="21"/>
      <c r="AU14" s="21">
        <v>7</v>
      </c>
      <c r="AV14" s="21">
        <v>7</v>
      </c>
      <c r="AW14" s="21">
        <v>6</v>
      </c>
      <c r="AX14" s="21"/>
      <c r="AY14" s="21"/>
      <c r="AZ14" s="77"/>
      <c r="BA14" s="21"/>
      <c r="BB14" s="21"/>
      <c r="BC14" s="21"/>
      <c r="BD14" s="144">
        <f t="shared" si="6"/>
        <v>20</v>
      </c>
      <c r="BE14" s="94">
        <f t="shared" si="7"/>
        <v>0</v>
      </c>
      <c r="BF14" s="26"/>
      <c r="BH14" s="141" t="s">
        <v>2309</v>
      </c>
      <c r="BI14" s="141" t="s">
        <v>2449</v>
      </c>
      <c r="BJ14" s="141" t="s">
        <v>2386</v>
      </c>
      <c r="BK14" s="141" t="s">
        <v>2387</v>
      </c>
      <c r="BL14" s="141" t="s">
        <v>2413</v>
      </c>
      <c r="BM14" s="141" t="s">
        <v>2414</v>
      </c>
      <c r="BN14" s="141" t="s">
        <v>2401</v>
      </c>
      <c r="BO14" s="141" t="s">
        <v>2402</v>
      </c>
      <c r="BP14" s="141" t="s">
        <v>2403</v>
      </c>
      <c r="BQ14" s="141" t="s">
        <v>2404</v>
      </c>
      <c r="BR14" s="141" t="s">
        <v>2448</v>
      </c>
      <c r="BS14" s="141" t="s">
        <v>2406</v>
      </c>
      <c r="BT14" s="141" t="s">
        <v>2390</v>
      </c>
      <c r="BU14" s="141" t="s">
        <v>2391</v>
      </c>
      <c r="BV14" s="141" t="s">
        <v>2392</v>
      </c>
      <c r="BW14" s="141" t="s">
        <v>2393</v>
      </c>
      <c r="BX14" s="141" t="s">
        <v>2416</v>
      </c>
      <c r="BY14" s="141" t="s">
        <v>2417</v>
      </c>
      <c r="BZ14" s="141" t="s">
        <v>2418</v>
      </c>
      <c r="CA14" s="141" t="s">
        <v>2410</v>
      </c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</row>
    <row r="15" spans="1:93" s="7" customFormat="1" x14ac:dyDescent="0.25">
      <c r="A15" s="19" t="s">
        <v>2298</v>
      </c>
      <c r="B15" s="19" t="s">
        <v>2299</v>
      </c>
      <c r="C15" s="19">
        <v>96101367</v>
      </c>
      <c r="D15" s="19" t="s">
        <v>2310</v>
      </c>
      <c r="E15" s="21" t="s">
        <v>1860</v>
      </c>
      <c r="F15" s="21" t="s">
        <v>2318</v>
      </c>
      <c r="G15" s="21" t="s">
        <v>332</v>
      </c>
      <c r="H15" s="21" t="s">
        <v>2319</v>
      </c>
      <c r="I15" s="21" t="s">
        <v>254</v>
      </c>
      <c r="J15" s="21" t="s">
        <v>2083</v>
      </c>
      <c r="K15" s="21" t="s">
        <v>2328</v>
      </c>
      <c r="L15" s="21" t="s">
        <v>2068</v>
      </c>
      <c r="M15" s="19" t="s">
        <v>2364</v>
      </c>
      <c r="N15" s="19"/>
      <c r="O15" s="35">
        <v>40</v>
      </c>
      <c r="P15" s="35">
        <v>20</v>
      </c>
      <c r="Q15" s="32"/>
      <c r="R15" s="22">
        <v>20</v>
      </c>
      <c r="S15" s="22">
        <v>10</v>
      </c>
      <c r="T15" s="22">
        <v>15</v>
      </c>
      <c r="U15" s="22">
        <v>10</v>
      </c>
      <c r="V15" s="60">
        <f t="shared" si="5"/>
        <v>55</v>
      </c>
      <c r="W15" s="86">
        <v>45</v>
      </c>
      <c r="X15" s="86"/>
      <c r="Y15" s="86"/>
      <c r="Z15" s="86"/>
      <c r="AA15" s="86">
        <v>45</v>
      </c>
      <c r="AB15" s="21">
        <v>5</v>
      </c>
      <c r="AC15" s="77"/>
      <c r="AD15" s="21">
        <v>5</v>
      </c>
      <c r="AE15" s="77"/>
      <c r="AF15" s="21">
        <v>5</v>
      </c>
      <c r="AG15" s="21">
        <v>4</v>
      </c>
      <c r="AH15" s="21">
        <v>5</v>
      </c>
      <c r="AI15" s="21">
        <v>5</v>
      </c>
      <c r="AJ15" s="21">
        <v>4</v>
      </c>
      <c r="AK15" s="21">
        <v>12</v>
      </c>
      <c r="AL15" s="77"/>
      <c r="AM15" s="21"/>
      <c r="AN15" s="21"/>
      <c r="AO15" s="21"/>
      <c r="AP15" s="21"/>
      <c r="AQ15" s="21"/>
      <c r="AR15" s="21"/>
      <c r="AS15" s="77"/>
      <c r="AT15" s="21"/>
      <c r="AU15" s="21"/>
      <c r="AV15" s="21"/>
      <c r="AW15" s="21"/>
      <c r="AX15" s="21"/>
      <c r="AY15" s="21"/>
      <c r="AZ15" s="77"/>
      <c r="BA15" s="21"/>
      <c r="BB15" s="21"/>
      <c r="BC15" s="21"/>
      <c r="BD15" s="144">
        <f t="shared" si="6"/>
        <v>45</v>
      </c>
      <c r="BE15" s="94">
        <f t="shared" si="7"/>
        <v>0</v>
      </c>
      <c r="BF15" s="26"/>
      <c r="BH15" s="141" t="s">
        <v>2310</v>
      </c>
      <c r="BI15" s="141" t="s">
        <v>2445</v>
      </c>
      <c r="BJ15" s="141" t="s">
        <v>2386</v>
      </c>
      <c r="BK15" s="141" t="s">
        <v>2387</v>
      </c>
      <c r="BL15" s="141" t="s">
        <v>2399</v>
      </c>
      <c r="BM15" s="141" t="s">
        <v>2400</v>
      </c>
      <c r="BN15" s="141" t="s">
        <v>2401</v>
      </c>
      <c r="BO15" s="141" t="s">
        <v>2402</v>
      </c>
      <c r="BP15" s="141" t="s">
        <v>2403</v>
      </c>
      <c r="BQ15" s="141" t="s">
        <v>2404</v>
      </c>
      <c r="BR15" s="141" t="s">
        <v>2446</v>
      </c>
      <c r="BS15" s="141" t="s">
        <v>2406</v>
      </c>
      <c r="BT15" s="141" t="s">
        <v>2390</v>
      </c>
      <c r="BU15" s="141" t="s">
        <v>2391</v>
      </c>
      <c r="BV15" s="141" t="s">
        <v>2392</v>
      </c>
      <c r="BW15" s="141" t="s">
        <v>2393</v>
      </c>
      <c r="BX15" s="141" t="s">
        <v>2407</v>
      </c>
      <c r="BY15" s="141" t="s">
        <v>2408</v>
      </c>
      <c r="BZ15" s="141" t="s">
        <v>2409</v>
      </c>
      <c r="CA15" s="141" t="s">
        <v>2410</v>
      </c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</row>
    <row r="16" spans="1:93" s="7" customFormat="1" x14ac:dyDescent="0.25">
      <c r="A16" s="19" t="s">
        <v>2298</v>
      </c>
      <c r="B16" s="19" t="s">
        <v>2299</v>
      </c>
      <c r="C16" s="19">
        <v>96202939</v>
      </c>
      <c r="D16" s="19" t="s">
        <v>2312</v>
      </c>
      <c r="E16" s="21" t="s">
        <v>1860</v>
      </c>
      <c r="F16" s="21" t="s">
        <v>2320</v>
      </c>
      <c r="G16" s="21" t="s">
        <v>332</v>
      </c>
      <c r="H16" s="21" t="s">
        <v>2077</v>
      </c>
      <c r="I16" s="21" t="s">
        <v>254</v>
      </c>
      <c r="J16" s="21" t="s">
        <v>255</v>
      </c>
      <c r="K16" s="21" t="s">
        <v>2328</v>
      </c>
      <c r="L16" s="21" t="s">
        <v>239</v>
      </c>
      <c r="M16" s="19" t="s">
        <v>2371</v>
      </c>
      <c r="N16" s="19"/>
      <c r="O16" s="35">
        <v>0</v>
      </c>
      <c r="P16" s="35">
        <v>0</v>
      </c>
      <c r="Q16" s="32"/>
      <c r="R16" s="22">
        <v>0</v>
      </c>
      <c r="S16" s="22">
        <v>0</v>
      </c>
      <c r="T16" s="22">
        <v>5</v>
      </c>
      <c r="U16" s="22">
        <v>0</v>
      </c>
      <c r="V16" s="60">
        <f t="shared" si="5"/>
        <v>5</v>
      </c>
      <c r="W16" s="86">
        <v>5</v>
      </c>
      <c r="X16" s="86"/>
      <c r="Y16" s="86"/>
      <c r="Z16" s="86"/>
      <c r="AA16" s="86">
        <v>5</v>
      </c>
      <c r="AB16" s="21"/>
      <c r="AC16" s="77"/>
      <c r="AD16" s="21"/>
      <c r="AE16" s="77"/>
      <c r="AF16" s="21"/>
      <c r="AG16" s="21">
        <v>5</v>
      </c>
      <c r="AH16" s="21"/>
      <c r="AI16" s="21"/>
      <c r="AJ16" s="21"/>
      <c r="AK16" s="21"/>
      <c r="AL16" s="77"/>
      <c r="AM16" s="21"/>
      <c r="AN16" s="21"/>
      <c r="AO16" s="21"/>
      <c r="AP16" s="21"/>
      <c r="AQ16" s="21"/>
      <c r="AR16" s="21"/>
      <c r="AS16" s="77"/>
      <c r="AT16" s="21"/>
      <c r="AU16" s="21"/>
      <c r="AV16" s="21"/>
      <c r="AW16" s="21"/>
      <c r="AX16" s="21"/>
      <c r="AY16" s="21"/>
      <c r="AZ16" s="77"/>
      <c r="BA16" s="21"/>
      <c r="BB16" s="21"/>
      <c r="BC16" s="21"/>
      <c r="BD16" s="144">
        <f t="shared" si="6"/>
        <v>5</v>
      </c>
      <c r="BE16" s="94">
        <f t="shared" si="7"/>
        <v>0</v>
      </c>
      <c r="BF16" s="26"/>
      <c r="BH16" s="141" t="s">
        <v>2312</v>
      </c>
      <c r="BI16" s="141" t="s">
        <v>2451</v>
      </c>
      <c r="BJ16" s="141" t="s">
        <v>2386</v>
      </c>
      <c r="BK16" s="141" t="s">
        <v>2387</v>
      </c>
      <c r="BL16" s="141" t="s">
        <v>2399</v>
      </c>
      <c r="BM16" s="141" t="s">
        <v>2400</v>
      </c>
      <c r="BN16" s="141" t="s">
        <v>2401</v>
      </c>
      <c r="BO16" s="141" t="s">
        <v>2402</v>
      </c>
      <c r="BP16" s="141" t="s">
        <v>2403</v>
      </c>
      <c r="BQ16" s="141" t="s">
        <v>2404</v>
      </c>
      <c r="BR16" s="141" t="s">
        <v>2446</v>
      </c>
      <c r="BS16" s="141" t="s">
        <v>2406</v>
      </c>
      <c r="BT16" s="141" t="s">
        <v>2390</v>
      </c>
      <c r="BU16" s="141" t="s">
        <v>2391</v>
      </c>
      <c r="BV16" s="141" t="s">
        <v>2392</v>
      </c>
      <c r="BW16" s="141" t="s">
        <v>2393</v>
      </c>
      <c r="BX16" s="141" t="s">
        <v>2407</v>
      </c>
      <c r="BY16" s="141" t="s">
        <v>2408</v>
      </c>
      <c r="BZ16" s="141" t="s">
        <v>2409</v>
      </c>
      <c r="CA16" s="141" t="s">
        <v>2452</v>
      </c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</row>
    <row r="17" spans="1:93" s="7" customFormat="1" x14ac:dyDescent="0.25">
      <c r="A17" s="19" t="s">
        <v>2298</v>
      </c>
      <c r="B17" s="19" t="s">
        <v>2299</v>
      </c>
      <c r="C17" s="19">
        <v>96201564</v>
      </c>
      <c r="D17" s="19" t="s">
        <v>2313</v>
      </c>
      <c r="E17" s="21" t="s">
        <v>1860</v>
      </c>
      <c r="F17" s="21" t="s">
        <v>2320</v>
      </c>
      <c r="G17" s="21" t="s">
        <v>332</v>
      </c>
      <c r="H17" s="21" t="s">
        <v>234</v>
      </c>
      <c r="I17" s="21" t="s">
        <v>254</v>
      </c>
      <c r="J17" s="21" t="s">
        <v>2083</v>
      </c>
      <c r="K17" s="21" t="s">
        <v>2328</v>
      </c>
      <c r="L17" s="21" t="s">
        <v>2068</v>
      </c>
      <c r="M17" s="19" t="s">
        <v>2373</v>
      </c>
      <c r="N17" s="19"/>
      <c r="O17" s="35">
        <v>0</v>
      </c>
      <c r="P17" s="35">
        <v>0</v>
      </c>
      <c r="Q17" s="32"/>
      <c r="R17" s="22">
        <v>2</v>
      </c>
      <c r="S17" s="22">
        <v>1</v>
      </c>
      <c r="T17" s="22">
        <v>1</v>
      </c>
      <c r="U17" s="22">
        <v>1</v>
      </c>
      <c r="V17" s="60">
        <f t="shared" si="5"/>
        <v>5</v>
      </c>
      <c r="W17" s="86"/>
      <c r="X17" s="86"/>
      <c r="Y17" s="86">
        <v>5</v>
      </c>
      <c r="Z17" s="86"/>
      <c r="AA17" s="86">
        <v>5</v>
      </c>
      <c r="AB17" s="21"/>
      <c r="AC17" s="77"/>
      <c r="AD17" s="21"/>
      <c r="AE17" s="77"/>
      <c r="AF17" s="21"/>
      <c r="AG17" s="21"/>
      <c r="AH17" s="21"/>
      <c r="AI17" s="21"/>
      <c r="AJ17" s="21"/>
      <c r="AK17" s="21"/>
      <c r="AL17" s="77"/>
      <c r="AM17" s="21"/>
      <c r="AN17" s="21"/>
      <c r="AO17" s="21"/>
      <c r="AP17" s="21"/>
      <c r="AQ17" s="21"/>
      <c r="AR17" s="21"/>
      <c r="AS17" s="77"/>
      <c r="AT17" s="21">
        <v>1</v>
      </c>
      <c r="AU17" s="21"/>
      <c r="AV17" s="21"/>
      <c r="AW17" s="21">
        <v>4</v>
      </c>
      <c r="AX17" s="21"/>
      <c r="AY17" s="21"/>
      <c r="AZ17" s="77"/>
      <c r="BA17" s="21"/>
      <c r="BB17" s="21"/>
      <c r="BC17" s="21"/>
      <c r="BD17" s="144">
        <f t="shared" si="6"/>
        <v>5</v>
      </c>
      <c r="BE17" s="94">
        <f t="shared" si="7"/>
        <v>0</v>
      </c>
      <c r="BF17" s="26"/>
      <c r="BH17" s="141" t="s">
        <v>2313</v>
      </c>
      <c r="BI17" s="141" t="s">
        <v>2453</v>
      </c>
      <c r="BJ17" s="141" t="s">
        <v>2386</v>
      </c>
      <c r="BK17" s="141" t="s">
        <v>2387</v>
      </c>
      <c r="BL17" s="141" t="s">
        <v>2413</v>
      </c>
      <c r="BM17" s="141" t="s">
        <v>2414</v>
      </c>
      <c r="BN17" s="141" t="s">
        <v>2401</v>
      </c>
      <c r="BO17" s="141" t="s">
        <v>2402</v>
      </c>
      <c r="BP17" s="141" t="s">
        <v>2403</v>
      </c>
      <c r="BQ17" s="141" t="s">
        <v>2404</v>
      </c>
      <c r="BR17" s="141" t="s">
        <v>2448</v>
      </c>
      <c r="BS17" s="141" t="s">
        <v>2406</v>
      </c>
      <c r="BT17" s="141" t="s">
        <v>2390</v>
      </c>
      <c r="BU17" s="141" t="s">
        <v>2391</v>
      </c>
      <c r="BV17" s="141" t="s">
        <v>2392</v>
      </c>
      <c r="BW17" s="141" t="s">
        <v>2393</v>
      </c>
      <c r="BX17" s="141" t="s">
        <v>2416</v>
      </c>
      <c r="BY17" s="141" t="s">
        <v>2417</v>
      </c>
      <c r="BZ17" s="141" t="s">
        <v>2418</v>
      </c>
      <c r="CA17" s="141" t="s">
        <v>2410</v>
      </c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</row>
    <row r="18" spans="1:93" s="7" customFormat="1" x14ac:dyDescent="0.25">
      <c r="A18" s="19" t="s">
        <v>2298</v>
      </c>
      <c r="B18" s="19" t="s">
        <v>2299</v>
      </c>
      <c r="C18" s="19">
        <v>96101423</v>
      </c>
      <c r="D18" s="19" t="s">
        <v>2315</v>
      </c>
      <c r="E18" s="21" t="s">
        <v>1860</v>
      </c>
      <c r="F18" s="21" t="s">
        <v>2318</v>
      </c>
      <c r="G18" s="21" t="s">
        <v>332</v>
      </c>
      <c r="H18" s="21" t="s">
        <v>2077</v>
      </c>
      <c r="I18" s="21" t="s">
        <v>254</v>
      </c>
      <c r="J18" s="21" t="s">
        <v>255</v>
      </c>
      <c r="K18" s="21" t="s">
        <v>2328</v>
      </c>
      <c r="L18" s="21" t="s">
        <v>239</v>
      </c>
      <c r="M18" s="19" t="s">
        <v>2377</v>
      </c>
      <c r="N18" s="19"/>
      <c r="O18" s="35">
        <v>0</v>
      </c>
      <c r="P18" s="35">
        <v>0</v>
      </c>
      <c r="Q18" s="32"/>
      <c r="R18" s="22">
        <v>0</v>
      </c>
      <c r="S18" s="22">
        <v>0</v>
      </c>
      <c r="T18" s="22">
        <v>0</v>
      </c>
      <c r="U18" s="22">
        <v>1</v>
      </c>
      <c r="V18" s="60">
        <f t="shared" si="5"/>
        <v>1</v>
      </c>
      <c r="W18" s="86">
        <v>1</v>
      </c>
      <c r="X18" s="86"/>
      <c r="Y18" s="86"/>
      <c r="Z18" s="86"/>
      <c r="AA18" s="86">
        <v>1</v>
      </c>
      <c r="AB18" s="21"/>
      <c r="AC18" s="77"/>
      <c r="AD18" s="21"/>
      <c r="AE18" s="77"/>
      <c r="AF18" s="21"/>
      <c r="AG18" s="21">
        <v>1</v>
      </c>
      <c r="AH18" s="21"/>
      <c r="AI18" s="21"/>
      <c r="AJ18" s="21"/>
      <c r="AK18" s="21"/>
      <c r="AL18" s="77"/>
      <c r="AM18" s="21"/>
      <c r="AN18" s="21"/>
      <c r="AO18" s="21"/>
      <c r="AP18" s="21"/>
      <c r="AQ18" s="21"/>
      <c r="AR18" s="21"/>
      <c r="AS18" s="77"/>
      <c r="AT18" s="21"/>
      <c r="AU18" s="21"/>
      <c r="AV18" s="21"/>
      <c r="AW18" s="21"/>
      <c r="AX18" s="21"/>
      <c r="AY18" s="21"/>
      <c r="AZ18" s="77"/>
      <c r="BA18" s="21"/>
      <c r="BB18" s="21"/>
      <c r="BC18" s="21"/>
      <c r="BD18" s="144">
        <f t="shared" si="6"/>
        <v>1</v>
      </c>
      <c r="BE18" s="94">
        <f t="shared" si="7"/>
        <v>0</v>
      </c>
      <c r="BF18" s="26"/>
      <c r="BH18" s="141" t="s">
        <v>2315</v>
      </c>
      <c r="BI18" s="141" t="s">
        <v>2445</v>
      </c>
      <c r="BJ18" s="141" t="s">
        <v>2386</v>
      </c>
      <c r="BK18" s="141" t="s">
        <v>2387</v>
      </c>
      <c r="BL18" s="141" t="s">
        <v>2399</v>
      </c>
      <c r="BM18" s="141" t="s">
        <v>2400</v>
      </c>
      <c r="BN18" s="141" t="s">
        <v>2401</v>
      </c>
      <c r="BO18" s="141" t="s">
        <v>2402</v>
      </c>
      <c r="BP18" s="141" t="s">
        <v>2403</v>
      </c>
      <c r="BQ18" s="141" t="s">
        <v>2404</v>
      </c>
      <c r="BR18" s="141" t="s">
        <v>2446</v>
      </c>
      <c r="BS18" s="141" t="s">
        <v>2406</v>
      </c>
      <c r="BT18" s="141" t="s">
        <v>2390</v>
      </c>
      <c r="BU18" s="141" t="s">
        <v>2391</v>
      </c>
      <c r="BV18" s="141" t="s">
        <v>2392</v>
      </c>
      <c r="BW18" s="141" t="s">
        <v>2393</v>
      </c>
      <c r="BX18" s="141" t="s">
        <v>2407</v>
      </c>
      <c r="BY18" s="141" t="s">
        <v>2408</v>
      </c>
      <c r="BZ18" s="141" t="s">
        <v>2409</v>
      </c>
      <c r="CA18" s="141" t="s">
        <v>2452</v>
      </c>
      <c r="CB18" s="142"/>
      <c r="CC18" s="142"/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</row>
    <row r="19" spans="1:93" s="7" customFormat="1" x14ac:dyDescent="0.25">
      <c r="A19" s="19" t="s">
        <v>2298</v>
      </c>
      <c r="B19" s="19" t="s">
        <v>2299</v>
      </c>
      <c r="C19" s="19">
        <v>96101418</v>
      </c>
      <c r="D19" s="19" t="s">
        <v>2301</v>
      </c>
      <c r="E19" s="21" t="s">
        <v>1860</v>
      </c>
      <c r="F19" s="21" t="s">
        <v>2318</v>
      </c>
      <c r="G19" s="21" t="s">
        <v>332</v>
      </c>
      <c r="H19" s="21" t="s">
        <v>234</v>
      </c>
      <c r="I19" s="21" t="s">
        <v>254</v>
      </c>
      <c r="J19" s="21" t="s">
        <v>2083</v>
      </c>
      <c r="K19" s="21" t="s">
        <v>2325</v>
      </c>
      <c r="L19" s="21" t="s">
        <v>2068</v>
      </c>
      <c r="M19" s="19" t="s">
        <v>2331</v>
      </c>
      <c r="N19" s="19"/>
      <c r="O19" s="35">
        <v>40</v>
      </c>
      <c r="P19" s="35">
        <v>20</v>
      </c>
      <c r="Q19" s="32"/>
      <c r="R19" s="22">
        <v>20</v>
      </c>
      <c r="S19" s="22">
        <v>10</v>
      </c>
      <c r="T19" s="22">
        <v>10</v>
      </c>
      <c r="U19" s="22">
        <v>10</v>
      </c>
      <c r="V19" s="60">
        <f t="shared" si="5"/>
        <v>50</v>
      </c>
      <c r="W19" s="86"/>
      <c r="X19" s="86">
        <v>50</v>
      </c>
      <c r="Y19" s="86"/>
      <c r="Z19" s="86"/>
      <c r="AA19" s="86">
        <v>50</v>
      </c>
      <c r="AB19" s="21"/>
      <c r="AC19" s="77"/>
      <c r="AD19" s="21"/>
      <c r="AE19" s="77"/>
      <c r="AF19" s="21"/>
      <c r="AG19" s="21"/>
      <c r="AH19" s="21"/>
      <c r="AI19" s="21"/>
      <c r="AJ19" s="21"/>
      <c r="AK19" s="21"/>
      <c r="AL19" s="77"/>
      <c r="AM19" s="21"/>
      <c r="AN19" s="21">
        <v>8</v>
      </c>
      <c r="AO19" s="21">
        <v>9</v>
      </c>
      <c r="AP19" s="21">
        <v>10</v>
      </c>
      <c r="AQ19" s="21">
        <v>3</v>
      </c>
      <c r="AR19" s="21">
        <v>5</v>
      </c>
      <c r="AS19" s="77"/>
      <c r="AT19" s="21">
        <v>7</v>
      </c>
      <c r="AU19" s="21">
        <v>8</v>
      </c>
      <c r="AV19" s="21"/>
      <c r="AW19" s="21"/>
      <c r="AX19" s="21"/>
      <c r="AY19" s="21"/>
      <c r="AZ19" s="77"/>
      <c r="BA19" s="21"/>
      <c r="BB19" s="21"/>
      <c r="BC19" s="21"/>
      <c r="BD19" s="144">
        <f t="shared" si="6"/>
        <v>50</v>
      </c>
      <c r="BE19" s="94">
        <f t="shared" si="7"/>
        <v>0</v>
      </c>
      <c r="BF19" s="26"/>
      <c r="BH19" s="141" t="s">
        <v>2301</v>
      </c>
      <c r="BI19" s="141" t="s">
        <v>2398</v>
      </c>
      <c r="BJ19" s="141" t="s">
        <v>2386</v>
      </c>
      <c r="BK19" s="141" t="s">
        <v>2387</v>
      </c>
      <c r="BL19" s="141" t="s">
        <v>2399</v>
      </c>
      <c r="BM19" s="141" t="s">
        <v>2400</v>
      </c>
      <c r="BN19" s="141" t="s">
        <v>2401</v>
      </c>
      <c r="BO19" s="141" t="s">
        <v>2402</v>
      </c>
      <c r="BP19" s="141" t="s">
        <v>2403</v>
      </c>
      <c r="BQ19" s="141" t="s">
        <v>2404</v>
      </c>
      <c r="BR19" s="141" t="s">
        <v>2405</v>
      </c>
      <c r="BS19" s="141" t="s">
        <v>2406</v>
      </c>
      <c r="BT19" s="141" t="s">
        <v>2390</v>
      </c>
      <c r="BU19" s="141" t="s">
        <v>2391</v>
      </c>
      <c r="BV19" s="141" t="s">
        <v>2392</v>
      </c>
      <c r="BW19" s="141" t="s">
        <v>2393</v>
      </c>
      <c r="BX19" s="141" t="s">
        <v>2407</v>
      </c>
      <c r="BY19" s="141" t="s">
        <v>2408</v>
      </c>
      <c r="BZ19" s="141" t="s">
        <v>2409</v>
      </c>
      <c r="CA19" s="141" t="s">
        <v>2410</v>
      </c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</row>
    <row r="20" spans="1:93" s="7" customFormat="1" x14ac:dyDescent="0.25">
      <c r="A20" s="19" t="s">
        <v>2298</v>
      </c>
      <c r="B20" s="19" t="s">
        <v>2299</v>
      </c>
      <c r="C20" s="19">
        <v>96101419</v>
      </c>
      <c r="D20" s="19" t="s">
        <v>2301</v>
      </c>
      <c r="E20" s="21" t="s">
        <v>1860</v>
      </c>
      <c r="F20" s="21" t="s">
        <v>2318</v>
      </c>
      <c r="G20" s="21" t="s">
        <v>332</v>
      </c>
      <c r="H20" s="21" t="s">
        <v>2319</v>
      </c>
      <c r="I20" s="21" t="s">
        <v>254</v>
      </c>
      <c r="J20" s="21" t="s">
        <v>2083</v>
      </c>
      <c r="K20" s="21" t="s">
        <v>2325</v>
      </c>
      <c r="L20" s="21" t="s">
        <v>2068</v>
      </c>
      <c r="M20" s="19" t="s">
        <v>2332</v>
      </c>
      <c r="N20" s="19"/>
      <c r="O20" s="35">
        <v>20</v>
      </c>
      <c r="P20" s="35">
        <v>10</v>
      </c>
      <c r="Q20" s="32"/>
      <c r="R20" s="22">
        <v>10</v>
      </c>
      <c r="S20" s="22">
        <v>5</v>
      </c>
      <c r="T20" s="22">
        <v>5</v>
      </c>
      <c r="U20" s="22">
        <v>5</v>
      </c>
      <c r="V20" s="60">
        <f t="shared" si="5"/>
        <v>25</v>
      </c>
      <c r="W20" s="86"/>
      <c r="X20" s="86">
        <v>25</v>
      </c>
      <c r="Y20" s="86"/>
      <c r="Z20" s="86"/>
      <c r="AA20" s="86">
        <v>25</v>
      </c>
      <c r="AB20" s="21"/>
      <c r="AC20" s="77"/>
      <c r="AD20" s="21"/>
      <c r="AE20" s="77"/>
      <c r="AF20" s="21"/>
      <c r="AG20" s="21"/>
      <c r="AH20" s="21"/>
      <c r="AI20" s="21"/>
      <c r="AJ20" s="21"/>
      <c r="AK20" s="21"/>
      <c r="AL20" s="77"/>
      <c r="AM20" s="21"/>
      <c r="AN20" s="21">
        <v>5</v>
      </c>
      <c r="AO20" s="21">
        <v>5</v>
      </c>
      <c r="AP20" s="21">
        <v>5</v>
      </c>
      <c r="AQ20" s="21">
        <v>5</v>
      </c>
      <c r="AR20" s="21">
        <v>5</v>
      </c>
      <c r="AS20" s="77"/>
      <c r="AT20" s="21"/>
      <c r="AU20" s="21"/>
      <c r="AV20" s="21"/>
      <c r="AW20" s="21"/>
      <c r="AX20" s="21"/>
      <c r="AY20" s="21"/>
      <c r="AZ20" s="77"/>
      <c r="BA20" s="21"/>
      <c r="BB20" s="21"/>
      <c r="BC20" s="21"/>
      <c r="BD20" s="144">
        <f t="shared" si="6"/>
        <v>25</v>
      </c>
      <c r="BE20" s="94">
        <f t="shared" si="7"/>
        <v>0</v>
      </c>
      <c r="BF20" s="26"/>
      <c r="BH20" s="141" t="s">
        <v>2301</v>
      </c>
      <c r="BI20" s="141" t="s">
        <v>2398</v>
      </c>
      <c r="BJ20" s="141" t="s">
        <v>2386</v>
      </c>
      <c r="BK20" s="141" t="s">
        <v>2387</v>
      </c>
      <c r="BL20" s="141" t="s">
        <v>2399</v>
      </c>
      <c r="BM20" s="141" t="s">
        <v>2400</v>
      </c>
      <c r="BN20" s="141" t="s">
        <v>2401</v>
      </c>
      <c r="BO20" s="141" t="s">
        <v>2402</v>
      </c>
      <c r="BP20" s="141" t="s">
        <v>2403</v>
      </c>
      <c r="BQ20" s="141" t="s">
        <v>2404</v>
      </c>
      <c r="BR20" s="141" t="s">
        <v>2405</v>
      </c>
      <c r="BS20" s="141" t="s">
        <v>2406</v>
      </c>
      <c r="BT20" s="141" t="s">
        <v>2390</v>
      </c>
      <c r="BU20" s="141" t="s">
        <v>2391</v>
      </c>
      <c r="BV20" s="141" t="s">
        <v>2392</v>
      </c>
      <c r="BW20" s="141" t="s">
        <v>2393</v>
      </c>
      <c r="BX20" s="141" t="s">
        <v>2407</v>
      </c>
      <c r="BY20" s="141" t="s">
        <v>2408</v>
      </c>
      <c r="BZ20" s="141" t="s">
        <v>2409</v>
      </c>
      <c r="CA20" s="141" t="s">
        <v>2410</v>
      </c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</row>
    <row r="21" spans="1:93" s="7" customFormat="1" x14ac:dyDescent="0.25">
      <c r="A21" s="19" t="s">
        <v>2298</v>
      </c>
      <c r="B21" s="19" t="s">
        <v>2299</v>
      </c>
      <c r="C21" s="19">
        <v>96101365</v>
      </c>
      <c r="D21" s="19" t="s">
        <v>2301</v>
      </c>
      <c r="E21" s="21" t="s">
        <v>1860</v>
      </c>
      <c r="F21" s="21" t="s">
        <v>2318</v>
      </c>
      <c r="G21" s="21" t="s">
        <v>332</v>
      </c>
      <c r="H21" s="21" t="s">
        <v>234</v>
      </c>
      <c r="I21" s="21" t="s">
        <v>254</v>
      </c>
      <c r="J21" s="21" t="s">
        <v>2083</v>
      </c>
      <c r="K21" s="21" t="s">
        <v>2325</v>
      </c>
      <c r="L21" s="21" t="s">
        <v>2068</v>
      </c>
      <c r="M21" s="19" t="s">
        <v>2333</v>
      </c>
      <c r="N21" s="19"/>
      <c r="O21" s="35">
        <v>0</v>
      </c>
      <c r="P21" s="35">
        <v>0</v>
      </c>
      <c r="Q21" s="32"/>
      <c r="R21" s="22">
        <v>0</v>
      </c>
      <c r="S21" s="22">
        <v>0</v>
      </c>
      <c r="T21" s="22">
        <v>0</v>
      </c>
      <c r="U21" s="22">
        <v>5</v>
      </c>
      <c r="V21" s="60">
        <f t="shared" si="5"/>
        <v>5</v>
      </c>
      <c r="W21" s="86"/>
      <c r="X21" s="86">
        <v>5</v>
      </c>
      <c r="Y21" s="86"/>
      <c r="Z21" s="86"/>
      <c r="AA21" s="86">
        <v>5</v>
      </c>
      <c r="AB21" s="21"/>
      <c r="AC21" s="77"/>
      <c r="AD21" s="21"/>
      <c r="AE21" s="77"/>
      <c r="AF21" s="21"/>
      <c r="AG21" s="21"/>
      <c r="AH21" s="21"/>
      <c r="AI21" s="21"/>
      <c r="AJ21" s="21"/>
      <c r="AK21" s="21"/>
      <c r="AL21" s="77"/>
      <c r="AM21" s="21"/>
      <c r="AN21" s="21"/>
      <c r="AO21" s="21"/>
      <c r="AP21" s="21"/>
      <c r="AQ21" s="21"/>
      <c r="AR21" s="21">
        <v>5</v>
      </c>
      <c r="AS21" s="77"/>
      <c r="AT21" s="21"/>
      <c r="AU21" s="21"/>
      <c r="AV21" s="21"/>
      <c r="AW21" s="21"/>
      <c r="AX21" s="21"/>
      <c r="AY21" s="21"/>
      <c r="AZ21" s="77"/>
      <c r="BA21" s="21"/>
      <c r="BB21" s="21"/>
      <c r="BC21" s="21"/>
      <c r="BD21" s="144">
        <f t="shared" si="6"/>
        <v>5</v>
      </c>
      <c r="BE21" s="94">
        <f t="shared" si="7"/>
        <v>0</v>
      </c>
      <c r="BF21" s="26"/>
      <c r="BH21" s="141" t="s">
        <v>2301</v>
      </c>
      <c r="BI21" s="141" t="s">
        <v>2398</v>
      </c>
      <c r="BJ21" s="141" t="s">
        <v>2386</v>
      </c>
      <c r="BK21" s="141" t="s">
        <v>2387</v>
      </c>
      <c r="BL21" s="141" t="s">
        <v>2399</v>
      </c>
      <c r="BM21" s="141" t="s">
        <v>2400</v>
      </c>
      <c r="BN21" s="141" t="s">
        <v>2401</v>
      </c>
      <c r="BO21" s="141" t="s">
        <v>2402</v>
      </c>
      <c r="BP21" s="141" t="s">
        <v>2403</v>
      </c>
      <c r="BQ21" s="141" t="s">
        <v>2404</v>
      </c>
      <c r="BR21" s="141" t="s">
        <v>2405</v>
      </c>
      <c r="BS21" s="141" t="s">
        <v>2406</v>
      </c>
      <c r="BT21" s="141" t="s">
        <v>2390</v>
      </c>
      <c r="BU21" s="141" t="s">
        <v>2391</v>
      </c>
      <c r="BV21" s="141" t="s">
        <v>2392</v>
      </c>
      <c r="BW21" s="141" t="s">
        <v>2393</v>
      </c>
      <c r="BX21" s="141" t="s">
        <v>2407</v>
      </c>
      <c r="BY21" s="141" t="s">
        <v>2408</v>
      </c>
      <c r="BZ21" s="141" t="s">
        <v>2409</v>
      </c>
      <c r="CA21" s="141" t="s">
        <v>2410</v>
      </c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</row>
    <row r="22" spans="1:93" s="7" customFormat="1" x14ac:dyDescent="0.25">
      <c r="A22" s="19" t="s">
        <v>2298</v>
      </c>
      <c r="B22" s="19" t="s">
        <v>2299</v>
      </c>
      <c r="C22" s="19">
        <v>96201436</v>
      </c>
      <c r="D22" s="19" t="s">
        <v>2302</v>
      </c>
      <c r="E22" s="21" t="s">
        <v>1860</v>
      </c>
      <c r="F22" s="21" t="s">
        <v>2320</v>
      </c>
      <c r="G22" s="21" t="s">
        <v>332</v>
      </c>
      <c r="H22" s="21" t="s">
        <v>234</v>
      </c>
      <c r="I22" s="21" t="s">
        <v>254</v>
      </c>
      <c r="J22" s="21" t="s">
        <v>2083</v>
      </c>
      <c r="K22" s="21" t="s">
        <v>2325</v>
      </c>
      <c r="L22" s="21" t="s">
        <v>2068</v>
      </c>
      <c r="M22" s="19" t="s">
        <v>2335</v>
      </c>
      <c r="N22" s="19"/>
      <c r="O22" s="35">
        <v>10</v>
      </c>
      <c r="P22" s="35">
        <v>10</v>
      </c>
      <c r="Q22" s="32"/>
      <c r="R22" s="22">
        <v>5</v>
      </c>
      <c r="S22" s="22">
        <v>5</v>
      </c>
      <c r="T22" s="22">
        <v>5</v>
      </c>
      <c r="U22" s="22">
        <v>5</v>
      </c>
      <c r="V22" s="60">
        <f t="shared" si="5"/>
        <v>20</v>
      </c>
      <c r="W22" s="86"/>
      <c r="X22" s="86">
        <v>20</v>
      </c>
      <c r="Y22" s="86"/>
      <c r="Z22" s="86"/>
      <c r="AA22" s="86">
        <v>20</v>
      </c>
      <c r="AB22" s="21"/>
      <c r="AC22" s="77"/>
      <c r="AD22" s="21"/>
      <c r="AE22" s="77"/>
      <c r="AF22" s="21"/>
      <c r="AG22" s="21"/>
      <c r="AH22" s="21"/>
      <c r="AI22" s="21"/>
      <c r="AJ22" s="21"/>
      <c r="AK22" s="21"/>
      <c r="AL22" s="77"/>
      <c r="AM22" s="21"/>
      <c r="AN22" s="21">
        <v>4</v>
      </c>
      <c r="AO22" s="21">
        <v>4</v>
      </c>
      <c r="AP22" s="21">
        <v>4</v>
      </c>
      <c r="AQ22" s="21">
        <v>4</v>
      </c>
      <c r="AR22" s="21">
        <v>4</v>
      </c>
      <c r="AS22" s="77"/>
      <c r="AT22" s="21"/>
      <c r="AU22" s="21"/>
      <c r="AV22" s="21"/>
      <c r="AW22" s="21"/>
      <c r="AX22" s="21"/>
      <c r="AY22" s="21"/>
      <c r="AZ22" s="77"/>
      <c r="BA22" s="21"/>
      <c r="BB22" s="21"/>
      <c r="BC22" s="21"/>
      <c r="BD22" s="144">
        <f t="shared" si="6"/>
        <v>20</v>
      </c>
      <c r="BE22" s="94">
        <f t="shared" si="7"/>
        <v>0</v>
      </c>
      <c r="BF22" s="26"/>
      <c r="BH22" s="141" t="s">
        <v>2302</v>
      </c>
      <c r="BI22" s="141" t="s">
        <v>2412</v>
      </c>
      <c r="BJ22" s="141" t="s">
        <v>2386</v>
      </c>
      <c r="BK22" s="141" t="s">
        <v>2387</v>
      </c>
      <c r="BL22" s="141" t="s">
        <v>2399</v>
      </c>
      <c r="BM22" s="141" t="s">
        <v>2400</v>
      </c>
      <c r="BN22" s="141" t="s">
        <v>2401</v>
      </c>
      <c r="BO22" s="141" t="s">
        <v>2402</v>
      </c>
      <c r="BP22" s="141" t="s">
        <v>2403</v>
      </c>
      <c r="BQ22" s="141" t="s">
        <v>2404</v>
      </c>
      <c r="BR22" s="141" t="s">
        <v>2405</v>
      </c>
      <c r="BS22" s="141" t="s">
        <v>2406</v>
      </c>
      <c r="BT22" s="141" t="s">
        <v>2390</v>
      </c>
      <c r="BU22" s="141" t="s">
        <v>2391</v>
      </c>
      <c r="BV22" s="141" t="s">
        <v>2392</v>
      </c>
      <c r="BW22" s="141" t="s">
        <v>2393</v>
      </c>
      <c r="BX22" s="141" t="s">
        <v>2407</v>
      </c>
      <c r="BY22" s="141" t="s">
        <v>2408</v>
      </c>
      <c r="BZ22" s="141" t="s">
        <v>2409</v>
      </c>
      <c r="CA22" s="141" t="s">
        <v>2410</v>
      </c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</row>
    <row r="23" spans="1:93" s="7" customFormat="1" x14ac:dyDescent="0.25">
      <c r="A23" s="19" t="s">
        <v>2298</v>
      </c>
      <c r="B23" s="19" t="s">
        <v>2299</v>
      </c>
      <c r="C23" s="19">
        <v>96201437</v>
      </c>
      <c r="D23" s="19" t="s">
        <v>2302</v>
      </c>
      <c r="E23" s="21" t="s">
        <v>1860</v>
      </c>
      <c r="F23" s="21" t="s">
        <v>2320</v>
      </c>
      <c r="G23" s="21" t="s">
        <v>332</v>
      </c>
      <c r="H23" s="21" t="s">
        <v>2319</v>
      </c>
      <c r="I23" s="21" t="s">
        <v>254</v>
      </c>
      <c r="J23" s="21" t="s">
        <v>2083</v>
      </c>
      <c r="K23" s="21" t="s">
        <v>2325</v>
      </c>
      <c r="L23" s="21" t="s">
        <v>2068</v>
      </c>
      <c r="M23" s="19" t="s">
        <v>2336</v>
      </c>
      <c r="N23" s="19"/>
      <c r="O23" s="35">
        <v>5</v>
      </c>
      <c r="P23" s="35">
        <v>5</v>
      </c>
      <c r="Q23" s="32"/>
      <c r="R23" s="22">
        <v>5</v>
      </c>
      <c r="S23" s="22">
        <v>5</v>
      </c>
      <c r="T23" s="22">
        <v>5</v>
      </c>
      <c r="U23" s="22">
        <v>4</v>
      </c>
      <c r="V23" s="60">
        <f t="shared" si="5"/>
        <v>19</v>
      </c>
      <c r="W23" s="86"/>
      <c r="X23" s="86">
        <v>19</v>
      </c>
      <c r="Y23" s="86"/>
      <c r="Z23" s="86"/>
      <c r="AA23" s="86">
        <v>19</v>
      </c>
      <c r="AB23" s="21"/>
      <c r="AC23" s="77"/>
      <c r="AD23" s="21"/>
      <c r="AE23" s="77"/>
      <c r="AF23" s="21"/>
      <c r="AG23" s="21"/>
      <c r="AH23" s="21"/>
      <c r="AI23" s="21"/>
      <c r="AJ23" s="21"/>
      <c r="AK23" s="21"/>
      <c r="AL23" s="77"/>
      <c r="AM23" s="21"/>
      <c r="AN23" s="21"/>
      <c r="AO23" s="21"/>
      <c r="AP23" s="21">
        <v>3</v>
      </c>
      <c r="AQ23" s="21">
        <v>3</v>
      </c>
      <c r="AR23" s="21">
        <v>6</v>
      </c>
      <c r="AS23" s="77"/>
      <c r="AT23" s="21"/>
      <c r="AU23" s="21">
        <v>7</v>
      </c>
      <c r="AV23" s="21"/>
      <c r="AW23" s="21"/>
      <c r="AX23" s="21"/>
      <c r="AY23" s="21"/>
      <c r="AZ23" s="77"/>
      <c r="BA23" s="21"/>
      <c r="BB23" s="21"/>
      <c r="BC23" s="21"/>
      <c r="BD23" s="144">
        <f t="shared" si="6"/>
        <v>19</v>
      </c>
      <c r="BE23" s="94">
        <f t="shared" si="7"/>
        <v>0</v>
      </c>
      <c r="BF23" s="26"/>
      <c r="BH23" s="141" t="s">
        <v>2302</v>
      </c>
      <c r="BI23" s="141" t="s">
        <v>2412</v>
      </c>
      <c r="BJ23" s="141" t="s">
        <v>2386</v>
      </c>
      <c r="BK23" s="141" t="s">
        <v>2387</v>
      </c>
      <c r="BL23" s="141" t="s">
        <v>2399</v>
      </c>
      <c r="BM23" s="141" t="s">
        <v>2400</v>
      </c>
      <c r="BN23" s="141" t="s">
        <v>2401</v>
      </c>
      <c r="BO23" s="141" t="s">
        <v>2402</v>
      </c>
      <c r="BP23" s="141" t="s">
        <v>2403</v>
      </c>
      <c r="BQ23" s="141" t="s">
        <v>2404</v>
      </c>
      <c r="BR23" s="141" t="s">
        <v>2405</v>
      </c>
      <c r="BS23" s="141" t="s">
        <v>2406</v>
      </c>
      <c r="BT23" s="141" t="s">
        <v>2390</v>
      </c>
      <c r="BU23" s="141" t="s">
        <v>2391</v>
      </c>
      <c r="BV23" s="141" t="s">
        <v>2392</v>
      </c>
      <c r="BW23" s="141" t="s">
        <v>2393</v>
      </c>
      <c r="BX23" s="141" t="s">
        <v>2407</v>
      </c>
      <c r="BY23" s="141" t="s">
        <v>2408</v>
      </c>
      <c r="BZ23" s="141" t="s">
        <v>2409</v>
      </c>
      <c r="CA23" s="141" t="s">
        <v>2410</v>
      </c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</row>
    <row r="24" spans="1:93" s="7" customFormat="1" x14ac:dyDescent="0.25">
      <c r="A24" s="19" t="s">
        <v>2298</v>
      </c>
      <c r="B24" s="19" t="s">
        <v>2299</v>
      </c>
      <c r="C24" s="19">
        <v>96101568</v>
      </c>
      <c r="D24" s="19" t="s">
        <v>2303</v>
      </c>
      <c r="E24" s="21" t="s">
        <v>1860</v>
      </c>
      <c r="F24" s="21" t="s">
        <v>2318</v>
      </c>
      <c r="G24" s="21" t="s">
        <v>332</v>
      </c>
      <c r="H24" s="21" t="s">
        <v>234</v>
      </c>
      <c r="I24" s="21" t="s">
        <v>254</v>
      </c>
      <c r="J24" s="21" t="s">
        <v>2083</v>
      </c>
      <c r="K24" s="21" t="s">
        <v>2325</v>
      </c>
      <c r="L24" s="21" t="s">
        <v>2068</v>
      </c>
      <c r="M24" s="19" t="s">
        <v>2339</v>
      </c>
      <c r="N24" s="19"/>
      <c r="O24" s="35">
        <v>10</v>
      </c>
      <c r="P24" s="35">
        <v>5</v>
      </c>
      <c r="Q24" s="32"/>
      <c r="R24" s="22">
        <v>15</v>
      </c>
      <c r="S24" s="22">
        <v>5</v>
      </c>
      <c r="T24" s="22">
        <v>5</v>
      </c>
      <c r="U24" s="22">
        <v>5</v>
      </c>
      <c r="V24" s="60">
        <f t="shared" si="5"/>
        <v>30</v>
      </c>
      <c r="W24" s="86"/>
      <c r="X24" s="86"/>
      <c r="Y24" s="86">
        <v>10</v>
      </c>
      <c r="Z24" s="86">
        <v>20</v>
      </c>
      <c r="AA24" s="86">
        <v>30</v>
      </c>
      <c r="AB24" s="21"/>
      <c r="AC24" s="77"/>
      <c r="AD24" s="21"/>
      <c r="AE24" s="77"/>
      <c r="AF24" s="21"/>
      <c r="AG24" s="21"/>
      <c r="AH24" s="21"/>
      <c r="AI24" s="21"/>
      <c r="AJ24" s="21"/>
      <c r="AK24" s="21"/>
      <c r="AL24" s="77"/>
      <c r="AM24" s="21"/>
      <c r="AN24" s="21"/>
      <c r="AO24" s="21"/>
      <c r="AP24" s="21"/>
      <c r="AQ24" s="21"/>
      <c r="AR24" s="21"/>
      <c r="AS24" s="77"/>
      <c r="AT24" s="21"/>
      <c r="AU24" s="21"/>
      <c r="AV24" s="21">
        <v>6</v>
      </c>
      <c r="AW24" s="21">
        <v>4</v>
      </c>
      <c r="AX24" s="21">
        <v>3</v>
      </c>
      <c r="AY24" s="21">
        <v>3</v>
      </c>
      <c r="AZ24" s="77"/>
      <c r="BA24" s="21">
        <v>2</v>
      </c>
      <c r="BB24" s="21">
        <v>3</v>
      </c>
      <c r="BC24" s="21">
        <v>3</v>
      </c>
      <c r="BD24" s="144">
        <f t="shared" si="6"/>
        <v>24</v>
      </c>
      <c r="BE24" s="94">
        <f t="shared" si="7"/>
        <v>6</v>
      </c>
      <c r="BF24" s="26"/>
      <c r="BH24" s="141" t="s">
        <v>2303</v>
      </c>
      <c r="BI24" s="141" t="s">
        <v>2419</v>
      </c>
      <c r="BJ24" s="141" t="s">
        <v>2386</v>
      </c>
      <c r="BK24" s="141" t="s">
        <v>2387</v>
      </c>
      <c r="BL24" s="141" t="s">
        <v>2413</v>
      </c>
      <c r="BM24" s="141" t="s">
        <v>2414</v>
      </c>
      <c r="BN24" s="141" t="s">
        <v>2401</v>
      </c>
      <c r="BO24" s="141" t="s">
        <v>2402</v>
      </c>
      <c r="BP24" s="141" t="s">
        <v>2403</v>
      </c>
      <c r="BQ24" s="141" t="s">
        <v>2404</v>
      </c>
      <c r="BR24" s="141" t="s">
        <v>2415</v>
      </c>
      <c r="BS24" s="141" t="s">
        <v>2406</v>
      </c>
      <c r="BT24" s="141" t="s">
        <v>2390</v>
      </c>
      <c r="BU24" s="141" t="s">
        <v>2391</v>
      </c>
      <c r="BV24" s="141" t="s">
        <v>2392</v>
      </c>
      <c r="BW24" s="141" t="s">
        <v>2393</v>
      </c>
      <c r="BX24" s="141" t="s">
        <v>2416</v>
      </c>
      <c r="BY24" s="141" t="s">
        <v>2417</v>
      </c>
      <c r="BZ24" s="141" t="s">
        <v>2418</v>
      </c>
      <c r="CA24" s="141" t="s">
        <v>2410</v>
      </c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</row>
    <row r="25" spans="1:93" s="7" customFormat="1" x14ac:dyDescent="0.25">
      <c r="A25" s="19" t="s">
        <v>2298</v>
      </c>
      <c r="B25" s="19" t="s">
        <v>2299</v>
      </c>
      <c r="C25" s="19">
        <v>96101569</v>
      </c>
      <c r="D25" s="19" t="s">
        <v>2303</v>
      </c>
      <c r="E25" s="21" t="s">
        <v>1860</v>
      </c>
      <c r="F25" s="21" t="s">
        <v>2318</v>
      </c>
      <c r="G25" s="21" t="s">
        <v>332</v>
      </c>
      <c r="H25" s="21" t="s">
        <v>2319</v>
      </c>
      <c r="I25" s="21" t="s">
        <v>254</v>
      </c>
      <c r="J25" s="21" t="s">
        <v>2083</v>
      </c>
      <c r="K25" s="21" t="s">
        <v>2325</v>
      </c>
      <c r="L25" s="21" t="s">
        <v>2068</v>
      </c>
      <c r="M25" s="19" t="s">
        <v>2340</v>
      </c>
      <c r="N25" s="19"/>
      <c r="O25" s="35">
        <v>5</v>
      </c>
      <c r="P25" s="35">
        <v>5</v>
      </c>
      <c r="Q25" s="32"/>
      <c r="R25" s="22">
        <v>3</v>
      </c>
      <c r="S25" s="22">
        <v>2</v>
      </c>
      <c r="T25" s="22">
        <v>3</v>
      </c>
      <c r="U25" s="22">
        <v>2</v>
      </c>
      <c r="V25" s="60">
        <f t="shared" si="5"/>
        <v>10</v>
      </c>
      <c r="W25" s="86"/>
      <c r="X25" s="86"/>
      <c r="Y25" s="86">
        <v>10</v>
      </c>
      <c r="Z25" s="86"/>
      <c r="AA25" s="86">
        <v>10</v>
      </c>
      <c r="AB25" s="21"/>
      <c r="AC25" s="77"/>
      <c r="AD25" s="21"/>
      <c r="AE25" s="77"/>
      <c r="AF25" s="21"/>
      <c r="AG25" s="21"/>
      <c r="AH25" s="21"/>
      <c r="AI25" s="21"/>
      <c r="AJ25" s="21"/>
      <c r="AK25" s="21"/>
      <c r="AL25" s="77"/>
      <c r="AM25" s="21"/>
      <c r="AN25" s="21"/>
      <c r="AO25" s="21"/>
      <c r="AP25" s="21"/>
      <c r="AQ25" s="21"/>
      <c r="AR25" s="21"/>
      <c r="AS25" s="77"/>
      <c r="AT25" s="21"/>
      <c r="AU25" s="21"/>
      <c r="AV25" s="21">
        <v>5</v>
      </c>
      <c r="AW25" s="21">
        <v>5</v>
      </c>
      <c r="AX25" s="21"/>
      <c r="AY25" s="21"/>
      <c r="AZ25" s="77"/>
      <c r="BA25" s="21"/>
      <c r="BB25" s="21"/>
      <c r="BC25" s="21"/>
      <c r="BD25" s="144">
        <f t="shared" si="6"/>
        <v>10</v>
      </c>
      <c r="BE25" s="94">
        <f t="shared" si="7"/>
        <v>0</v>
      </c>
      <c r="BF25" s="26"/>
      <c r="BH25" s="141" t="s">
        <v>2303</v>
      </c>
      <c r="BI25" s="141" t="s">
        <v>2419</v>
      </c>
      <c r="BJ25" s="141" t="s">
        <v>2386</v>
      </c>
      <c r="BK25" s="141" t="s">
        <v>2387</v>
      </c>
      <c r="BL25" s="141" t="s">
        <v>2413</v>
      </c>
      <c r="BM25" s="141" t="s">
        <v>2414</v>
      </c>
      <c r="BN25" s="141" t="s">
        <v>2401</v>
      </c>
      <c r="BO25" s="141" t="s">
        <v>2402</v>
      </c>
      <c r="BP25" s="141" t="s">
        <v>2403</v>
      </c>
      <c r="BQ25" s="141" t="s">
        <v>2404</v>
      </c>
      <c r="BR25" s="141" t="s">
        <v>2415</v>
      </c>
      <c r="BS25" s="141" t="s">
        <v>2406</v>
      </c>
      <c r="BT25" s="141" t="s">
        <v>2390</v>
      </c>
      <c r="BU25" s="141" t="s">
        <v>2391</v>
      </c>
      <c r="BV25" s="141" t="s">
        <v>2392</v>
      </c>
      <c r="BW25" s="141" t="s">
        <v>2393</v>
      </c>
      <c r="BX25" s="141" t="s">
        <v>2416</v>
      </c>
      <c r="BY25" s="141" t="s">
        <v>2417</v>
      </c>
      <c r="BZ25" s="141" t="s">
        <v>2418</v>
      </c>
      <c r="CA25" s="141" t="s">
        <v>2410</v>
      </c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</row>
    <row r="26" spans="1:93" s="7" customFormat="1" x14ac:dyDescent="0.25">
      <c r="A26" s="19" t="s">
        <v>2298</v>
      </c>
      <c r="B26" s="19" t="s">
        <v>2299</v>
      </c>
      <c r="C26" s="19">
        <v>96101531</v>
      </c>
      <c r="D26" s="19" t="s">
        <v>2301</v>
      </c>
      <c r="E26" s="21" t="s">
        <v>1860</v>
      </c>
      <c r="F26" s="21" t="s">
        <v>2318</v>
      </c>
      <c r="G26" s="21" t="s">
        <v>332</v>
      </c>
      <c r="H26" s="21" t="s">
        <v>234</v>
      </c>
      <c r="I26" s="21" t="s">
        <v>254</v>
      </c>
      <c r="J26" s="21" t="s">
        <v>2069</v>
      </c>
      <c r="K26" s="21" t="s">
        <v>2325</v>
      </c>
      <c r="L26" s="21" t="s">
        <v>2068</v>
      </c>
      <c r="M26" s="19" t="s">
        <v>2342</v>
      </c>
      <c r="N26" s="19"/>
      <c r="O26" s="35">
        <v>0</v>
      </c>
      <c r="P26" s="35">
        <v>0</v>
      </c>
      <c r="Q26" s="32"/>
      <c r="R26" s="22">
        <v>0</v>
      </c>
      <c r="S26" s="22">
        <v>0</v>
      </c>
      <c r="T26" s="22">
        <v>0</v>
      </c>
      <c r="U26" s="22">
        <v>5</v>
      </c>
      <c r="V26" s="60">
        <f t="shared" si="5"/>
        <v>5</v>
      </c>
      <c r="W26" s="86"/>
      <c r="X26" s="86">
        <v>5</v>
      </c>
      <c r="Y26" s="86"/>
      <c r="Z26" s="86"/>
      <c r="AA26" s="86">
        <v>5</v>
      </c>
      <c r="AB26" s="21"/>
      <c r="AC26" s="77"/>
      <c r="AD26" s="21"/>
      <c r="AE26" s="77"/>
      <c r="AF26" s="21"/>
      <c r="AG26" s="21"/>
      <c r="AH26" s="21"/>
      <c r="AI26" s="21"/>
      <c r="AJ26" s="21"/>
      <c r="AK26" s="21"/>
      <c r="AL26" s="77"/>
      <c r="AM26" s="21"/>
      <c r="AN26" s="21"/>
      <c r="AO26" s="21"/>
      <c r="AP26" s="21"/>
      <c r="AQ26" s="21"/>
      <c r="AR26" s="21"/>
      <c r="AS26" s="77"/>
      <c r="AT26" s="21">
        <v>5</v>
      </c>
      <c r="AU26" s="21"/>
      <c r="AV26" s="21"/>
      <c r="AW26" s="21"/>
      <c r="AX26" s="21"/>
      <c r="AY26" s="21"/>
      <c r="AZ26" s="77"/>
      <c r="BA26" s="21"/>
      <c r="BB26" s="21"/>
      <c r="BC26" s="21"/>
      <c r="BD26" s="144">
        <f t="shared" si="6"/>
        <v>5</v>
      </c>
      <c r="BE26" s="94">
        <f t="shared" si="7"/>
        <v>0</v>
      </c>
      <c r="BF26" s="26"/>
      <c r="BH26" s="141" t="s">
        <v>2301</v>
      </c>
      <c r="BI26" s="141" t="s">
        <v>2398</v>
      </c>
      <c r="BJ26" s="141" t="s">
        <v>2386</v>
      </c>
      <c r="BK26" s="141" t="s">
        <v>2387</v>
      </c>
      <c r="BL26" s="141" t="s">
        <v>2399</v>
      </c>
      <c r="BM26" s="141" t="s">
        <v>2400</v>
      </c>
      <c r="BN26" s="141" t="s">
        <v>2401</v>
      </c>
      <c r="BO26" s="141" t="s">
        <v>2402</v>
      </c>
      <c r="BP26" s="141" t="s">
        <v>2403</v>
      </c>
      <c r="BQ26" s="141" t="s">
        <v>2404</v>
      </c>
      <c r="BR26" s="141" t="s">
        <v>2405</v>
      </c>
      <c r="BS26" s="141" t="s">
        <v>2406</v>
      </c>
      <c r="BT26" s="141" t="s">
        <v>2390</v>
      </c>
      <c r="BU26" s="141" t="s">
        <v>2391</v>
      </c>
      <c r="BV26" s="141" t="s">
        <v>2392</v>
      </c>
      <c r="BW26" s="141" t="s">
        <v>2393</v>
      </c>
      <c r="BX26" s="141" t="s">
        <v>2407</v>
      </c>
      <c r="BY26" s="141" t="s">
        <v>2408</v>
      </c>
      <c r="BZ26" s="141" t="s">
        <v>2409</v>
      </c>
      <c r="CA26" s="141" t="s">
        <v>2410</v>
      </c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</row>
    <row r="27" spans="1:93" s="7" customFormat="1" x14ac:dyDescent="0.25">
      <c r="A27" s="19" t="s">
        <v>2298</v>
      </c>
      <c r="B27" s="19" t="s">
        <v>2299</v>
      </c>
      <c r="C27" s="19">
        <v>96101576</v>
      </c>
      <c r="D27" s="19" t="s">
        <v>2311</v>
      </c>
      <c r="E27" s="21" t="s">
        <v>1860</v>
      </c>
      <c r="F27" s="21" t="s">
        <v>2320</v>
      </c>
      <c r="G27" s="21" t="s">
        <v>332</v>
      </c>
      <c r="H27" s="21" t="s">
        <v>234</v>
      </c>
      <c r="I27" s="21" t="s">
        <v>254</v>
      </c>
      <c r="J27" s="21" t="s">
        <v>2083</v>
      </c>
      <c r="K27" s="21" t="s">
        <v>2325</v>
      </c>
      <c r="L27" s="21" t="s">
        <v>2068</v>
      </c>
      <c r="M27" s="19" t="s">
        <v>2370</v>
      </c>
      <c r="N27" s="19"/>
      <c r="O27" s="35">
        <v>0</v>
      </c>
      <c r="P27" s="35">
        <v>0</v>
      </c>
      <c r="Q27" s="32"/>
      <c r="R27" s="22">
        <v>2</v>
      </c>
      <c r="S27" s="22">
        <v>1</v>
      </c>
      <c r="T27" s="22">
        <v>1</v>
      </c>
      <c r="U27" s="22">
        <v>1</v>
      </c>
      <c r="V27" s="60">
        <f t="shared" si="5"/>
        <v>5</v>
      </c>
      <c r="W27" s="86"/>
      <c r="X27" s="86"/>
      <c r="Y27" s="86">
        <v>5</v>
      </c>
      <c r="Z27" s="86"/>
      <c r="AA27" s="86">
        <v>5</v>
      </c>
      <c r="AB27" s="21"/>
      <c r="AC27" s="77"/>
      <c r="AD27" s="21"/>
      <c r="AE27" s="77"/>
      <c r="AF27" s="21"/>
      <c r="AG27" s="21"/>
      <c r="AH27" s="21"/>
      <c r="AI27" s="21"/>
      <c r="AJ27" s="21"/>
      <c r="AK27" s="21"/>
      <c r="AL27" s="77"/>
      <c r="AM27" s="21"/>
      <c r="AN27" s="21"/>
      <c r="AO27" s="21"/>
      <c r="AP27" s="21"/>
      <c r="AQ27" s="21"/>
      <c r="AR27" s="21"/>
      <c r="AS27" s="77"/>
      <c r="AT27" s="21"/>
      <c r="AU27" s="21"/>
      <c r="AV27" s="21">
        <v>5</v>
      </c>
      <c r="AW27" s="21"/>
      <c r="AX27" s="21"/>
      <c r="AY27" s="21"/>
      <c r="AZ27" s="77"/>
      <c r="BA27" s="21"/>
      <c r="BB27" s="21"/>
      <c r="BC27" s="21"/>
      <c r="BD27" s="144">
        <f t="shared" si="6"/>
        <v>5</v>
      </c>
      <c r="BE27" s="94">
        <f t="shared" si="7"/>
        <v>0</v>
      </c>
      <c r="BF27" s="26"/>
      <c r="BH27" s="141" t="s">
        <v>2311</v>
      </c>
      <c r="BI27" s="141" t="s">
        <v>2450</v>
      </c>
      <c r="BJ27" s="141" t="s">
        <v>2386</v>
      </c>
      <c r="BK27" s="141" t="s">
        <v>2387</v>
      </c>
      <c r="BL27" s="141" t="s">
        <v>2413</v>
      </c>
      <c r="BM27" s="141" t="s">
        <v>2414</v>
      </c>
      <c r="BN27" s="141" t="s">
        <v>2401</v>
      </c>
      <c r="BO27" s="141" t="s">
        <v>2402</v>
      </c>
      <c r="BP27" s="141" t="s">
        <v>2403</v>
      </c>
      <c r="BQ27" s="141" t="s">
        <v>2404</v>
      </c>
      <c r="BR27" s="141" t="s">
        <v>2415</v>
      </c>
      <c r="BS27" s="141" t="s">
        <v>2406</v>
      </c>
      <c r="BT27" s="141" t="s">
        <v>2390</v>
      </c>
      <c r="BU27" s="141" t="s">
        <v>2391</v>
      </c>
      <c r="BV27" s="141" t="s">
        <v>2392</v>
      </c>
      <c r="BW27" s="141" t="s">
        <v>2393</v>
      </c>
      <c r="BX27" s="141" t="s">
        <v>2416</v>
      </c>
      <c r="BY27" s="141" t="s">
        <v>2417</v>
      </c>
      <c r="BZ27" s="141" t="s">
        <v>2418</v>
      </c>
      <c r="CA27" s="141" t="s">
        <v>2410</v>
      </c>
      <c r="CB27" s="142" t="s">
        <v>2417</v>
      </c>
      <c r="CC27" s="142" t="s">
        <v>2418</v>
      </c>
      <c r="CD27" s="142" t="s">
        <v>2410</v>
      </c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</row>
    <row r="28" spans="1:93" s="7" customFormat="1" x14ac:dyDescent="0.25">
      <c r="A28" s="19" t="s">
        <v>2298</v>
      </c>
      <c r="B28" s="19" t="s">
        <v>2299</v>
      </c>
      <c r="C28" s="19">
        <v>96101577</v>
      </c>
      <c r="D28" s="19" t="s">
        <v>2311</v>
      </c>
      <c r="E28" s="21" t="s">
        <v>1860</v>
      </c>
      <c r="F28" s="21" t="s">
        <v>2320</v>
      </c>
      <c r="G28" s="21" t="s">
        <v>332</v>
      </c>
      <c r="H28" s="21" t="s">
        <v>2319</v>
      </c>
      <c r="I28" s="21" t="s">
        <v>254</v>
      </c>
      <c r="J28" s="21" t="s">
        <v>2083</v>
      </c>
      <c r="K28" s="21" t="s">
        <v>2325</v>
      </c>
      <c r="L28" s="21" t="s">
        <v>2068</v>
      </c>
      <c r="M28" s="19" t="s">
        <v>2378</v>
      </c>
      <c r="N28" s="19"/>
      <c r="O28" s="35">
        <v>0</v>
      </c>
      <c r="P28" s="35">
        <v>0</v>
      </c>
      <c r="Q28" s="32"/>
      <c r="R28" s="22">
        <v>1</v>
      </c>
      <c r="S28" s="22">
        <v>0</v>
      </c>
      <c r="T28" s="22">
        <v>0</v>
      </c>
      <c r="U28" s="22">
        <v>0</v>
      </c>
      <c r="V28" s="60">
        <f t="shared" si="5"/>
        <v>1</v>
      </c>
      <c r="W28" s="86"/>
      <c r="X28" s="86"/>
      <c r="Y28" s="86">
        <v>1</v>
      </c>
      <c r="Z28" s="86"/>
      <c r="AA28" s="86">
        <v>1</v>
      </c>
      <c r="AB28" s="21"/>
      <c r="AC28" s="77"/>
      <c r="AD28" s="21"/>
      <c r="AE28" s="77"/>
      <c r="AF28" s="21"/>
      <c r="AG28" s="21"/>
      <c r="AH28" s="21"/>
      <c r="AI28" s="21"/>
      <c r="AJ28" s="21"/>
      <c r="AK28" s="21"/>
      <c r="AL28" s="77"/>
      <c r="AM28" s="21"/>
      <c r="AN28" s="21"/>
      <c r="AO28" s="21"/>
      <c r="AP28" s="21"/>
      <c r="AQ28" s="21"/>
      <c r="AR28" s="21"/>
      <c r="AS28" s="77"/>
      <c r="AT28" s="21"/>
      <c r="AU28" s="21"/>
      <c r="AV28" s="21">
        <v>1</v>
      </c>
      <c r="AW28" s="21"/>
      <c r="AX28" s="21"/>
      <c r="AY28" s="21"/>
      <c r="AZ28" s="77"/>
      <c r="BA28" s="21"/>
      <c r="BB28" s="21"/>
      <c r="BC28" s="21"/>
      <c r="BD28" s="144">
        <f t="shared" si="6"/>
        <v>1</v>
      </c>
      <c r="BE28" s="94">
        <f t="shared" si="7"/>
        <v>0</v>
      </c>
      <c r="BF28" s="26"/>
      <c r="BH28" s="141" t="s">
        <v>2311</v>
      </c>
      <c r="BI28" s="141" t="s">
        <v>2450</v>
      </c>
      <c r="BJ28" s="141" t="s">
        <v>2386</v>
      </c>
      <c r="BK28" s="141" t="s">
        <v>2387</v>
      </c>
      <c r="BL28" s="141" t="s">
        <v>2413</v>
      </c>
      <c r="BM28" s="141" t="s">
        <v>2414</v>
      </c>
      <c r="BN28" s="141" t="s">
        <v>2401</v>
      </c>
      <c r="BO28" s="141" t="s">
        <v>2402</v>
      </c>
      <c r="BP28" s="141" t="s">
        <v>2403</v>
      </c>
      <c r="BQ28" s="141" t="s">
        <v>2404</v>
      </c>
      <c r="BR28" s="141" t="s">
        <v>2415</v>
      </c>
      <c r="BS28" s="141" t="s">
        <v>2406</v>
      </c>
      <c r="BT28" s="141" t="s">
        <v>2390</v>
      </c>
      <c r="BU28" s="141" t="s">
        <v>2391</v>
      </c>
      <c r="BV28" s="141" t="s">
        <v>2392</v>
      </c>
      <c r="BW28" s="141" t="s">
        <v>2393</v>
      </c>
      <c r="BX28" s="141" t="s">
        <v>2416</v>
      </c>
      <c r="BY28" s="141" t="s">
        <v>2417</v>
      </c>
      <c r="BZ28" s="141" t="s">
        <v>2418</v>
      </c>
      <c r="CA28" s="141" t="s">
        <v>2410</v>
      </c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</row>
    <row r="29" spans="1:93" s="7" customFormat="1" x14ac:dyDescent="0.25">
      <c r="A29" s="19" t="s">
        <v>2298</v>
      </c>
      <c r="B29" s="19" t="s">
        <v>2299</v>
      </c>
      <c r="C29" s="19">
        <v>96101571</v>
      </c>
      <c r="D29" s="19" t="s">
        <v>2303</v>
      </c>
      <c r="E29" s="21" t="s">
        <v>1860</v>
      </c>
      <c r="F29" s="21" t="s">
        <v>2318</v>
      </c>
      <c r="G29" s="21" t="s">
        <v>332</v>
      </c>
      <c r="H29" s="21" t="s">
        <v>234</v>
      </c>
      <c r="I29" s="21" t="s">
        <v>254</v>
      </c>
      <c r="J29" s="21" t="s">
        <v>2083</v>
      </c>
      <c r="K29" s="21" t="s">
        <v>2325</v>
      </c>
      <c r="L29" s="21" t="s">
        <v>2068</v>
      </c>
      <c r="M29" s="19" t="s">
        <v>2379</v>
      </c>
      <c r="N29" s="19"/>
      <c r="O29" s="35">
        <v>0</v>
      </c>
      <c r="P29" s="35">
        <v>0</v>
      </c>
      <c r="Q29" s="32"/>
      <c r="R29" s="22">
        <v>0</v>
      </c>
      <c r="S29" s="22">
        <v>0</v>
      </c>
      <c r="T29" s="22">
        <v>0</v>
      </c>
      <c r="U29" s="22">
        <v>2</v>
      </c>
      <c r="V29" s="60">
        <f t="shared" si="5"/>
        <v>2</v>
      </c>
      <c r="W29" s="86"/>
      <c r="X29" s="86"/>
      <c r="Y29" s="86">
        <v>2</v>
      </c>
      <c r="Z29" s="86"/>
      <c r="AA29" s="86">
        <v>2</v>
      </c>
      <c r="AB29" s="21"/>
      <c r="AC29" s="77"/>
      <c r="AD29" s="21"/>
      <c r="AE29" s="77"/>
      <c r="AF29" s="21"/>
      <c r="AG29" s="21"/>
      <c r="AH29" s="21"/>
      <c r="AI29" s="21"/>
      <c r="AJ29" s="21"/>
      <c r="AK29" s="21"/>
      <c r="AL29" s="77"/>
      <c r="AM29" s="21"/>
      <c r="AN29" s="21"/>
      <c r="AO29" s="21"/>
      <c r="AP29" s="21"/>
      <c r="AQ29" s="21"/>
      <c r="AR29" s="21"/>
      <c r="AS29" s="77"/>
      <c r="AT29" s="21"/>
      <c r="AU29" s="21"/>
      <c r="AV29" s="21">
        <v>2</v>
      </c>
      <c r="AW29" s="21"/>
      <c r="AX29" s="21"/>
      <c r="AY29" s="21"/>
      <c r="AZ29" s="77"/>
      <c r="BA29" s="21"/>
      <c r="BB29" s="21"/>
      <c r="BC29" s="21"/>
      <c r="BD29" s="144">
        <f t="shared" si="6"/>
        <v>2</v>
      </c>
      <c r="BE29" s="94">
        <f t="shared" si="7"/>
        <v>0</v>
      </c>
      <c r="BF29" s="26"/>
      <c r="BH29" s="141" t="s">
        <v>2303</v>
      </c>
      <c r="BI29" s="141" t="s">
        <v>2419</v>
      </c>
      <c r="BJ29" s="141" t="s">
        <v>2386</v>
      </c>
      <c r="BK29" s="141" t="s">
        <v>2387</v>
      </c>
      <c r="BL29" s="141" t="s">
        <v>2413</v>
      </c>
      <c r="BM29" s="141" t="s">
        <v>2414</v>
      </c>
      <c r="BN29" s="141" t="s">
        <v>2401</v>
      </c>
      <c r="BO29" s="141" t="s">
        <v>2402</v>
      </c>
      <c r="BP29" s="141" t="s">
        <v>2403</v>
      </c>
      <c r="BQ29" s="141" t="s">
        <v>2404</v>
      </c>
      <c r="BR29" s="141" t="s">
        <v>2415</v>
      </c>
      <c r="BS29" s="141" t="s">
        <v>2406</v>
      </c>
      <c r="BT29" s="141" t="s">
        <v>2390</v>
      </c>
      <c r="BU29" s="141" t="s">
        <v>2391</v>
      </c>
      <c r="BV29" s="141" t="s">
        <v>2392</v>
      </c>
      <c r="BW29" s="141" t="s">
        <v>2393</v>
      </c>
      <c r="BX29" s="141" t="s">
        <v>2416</v>
      </c>
      <c r="BY29" s="141" t="s">
        <v>2417</v>
      </c>
      <c r="BZ29" s="141" t="s">
        <v>2418</v>
      </c>
      <c r="CA29" s="141" t="s">
        <v>2410</v>
      </c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</row>
    <row r="30" spans="1:93" s="7" customFormat="1" x14ac:dyDescent="0.25">
      <c r="A30" s="19" t="s">
        <v>2298</v>
      </c>
      <c r="B30" s="19" t="s">
        <v>2299</v>
      </c>
      <c r="C30" s="19">
        <v>96201536</v>
      </c>
      <c r="D30" s="19" t="s">
        <v>2316</v>
      </c>
      <c r="E30" s="21" t="s">
        <v>1860</v>
      </c>
      <c r="F30" s="21" t="s">
        <v>2320</v>
      </c>
      <c r="G30" s="21" t="s">
        <v>332</v>
      </c>
      <c r="H30" s="21" t="s">
        <v>2319</v>
      </c>
      <c r="I30" s="21" t="s">
        <v>254</v>
      </c>
      <c r="J30" s="21" t="s">
        <v>2069</v>
      </c>
      <c r="K30" s="21" t="s">
        <v>2325</v>
      </c>
      <c r="L30" s="21" t="s">
        <v>2068</v>
      </c>
      <c r="M30" s="19" t="s">
        <v>2380</v>
      </c>
      <c r="N30" s="19"/>
      <c r="O30" s="35">
        <v>0</v>
      </c>
      <c r="P30" s="35">
        <v>0</v>
      </c>
      <c r="Q30" s="32"/>
      <c r="R30" s="22">
        <v>0</v>
      </c>
      <c r="S30" s="22">
        <v>0</v>
      </c>
      <c r="T30" s="22">
        <v>0</v>
      </c>
      <c r="U30" s="22">
        <v>2</v>
      </c>
      <c r="V30" s="60">
        <f t="shared" si="5"/>
        <v>2</v>
      </c>
      <c r="W30" s="86"/>
      <c r="X30" s="86">
        <v>2</v>
      </c>
      <c r="Y30" s="86"/>
      <c r="Z30" s="86"/>
      <c r="AA30" s="86">
        <v>2</v>
      </c>
      <c r="AB30" s="21"/>
      <c r="AC30" s="77"/>
      <c r="AD30" s="21"/>
      <c r="AE30" s="77"/>
      <c r="AF30" s="21"/>
      <c r="AG30" s="21"/>
      <c r="AH30" s="21"/>
      <c r="AI30" s="21"/>
      <c r="AJ30" s="21"/>
      <c r="AK30" s="21"/>
      <c r="AL30" s="77"/>
      <c r="AM30" s="21">
        <v>2</v>
      </c>
      <c r="AN30" s="21"/>
      <c r="AO30" s="21"/>
      <c r="AP30" s="21"/>
      <c r="AQ30" s="21"/>
      <c r="AR30" s="21"/>
      <c r="AS30" s="77"/>
      <c r="AT30" s="21"/>
      <c r="AU30" s="21"/>
      <c r="AV30" s="21"/>
      <c r="AW30" s="21"/>
      <c r="AX30" s="21"/>
      <c r="AY30" s="21"/>
      <c r="AZ30" s="77"/>
      <c r="BA30" s="21"/>
      <c r="BB30" s="21"/>
      <c r="BC30" s="21"/>
      <c r="BD30" s="144">
        <f t="shared" si="6"/>
        <v>2</v>
      </c>
      <c r="BE30" s="94">
        <f t="shared" si="7"/>
        <v>0</v>
      </c>
      <c r="BF30" s="26"/>
      <c r="BH30" s="141" t="s">
        <v>2316</v>
      </c>
      <c r="BI30" s="141" t="s">
        <v>2412</v>
      </c>
      <c r="BJ30" s="141" t="s">
        <v>2386</v>
      </c>
      <c r="BK30" s="141" t="s">
        <v>2387</v>
      </c>
      <c r="BL30" s="141" t="s">
        <v>2399</v>
      </c>
      <c r="BM30" s="141" t="s">
        <v>2400</v>
      </c>
      <c r="BN30" s="141" t="s">
        <v>2401</v>
      </c>
      <c r="BO30" s="141" t="s">
        <v>2402</v>
      </c>
      <c r="BP30" s="141" t="s">
        <v>2403</v>
      </c>
      <c r="BQ30" s="141" t="s">
        <v>2404</v>
      </c>
      <c r="BR30" s="141" t="s">
        <v>2405</v>
      </c>
      <c r="BS30" s="141" t="s">
        <v>2406</v>
      </c>
      <c r="BT30" s="141" t="s">
        <v>2390</v>
      </c>
      <c r="BU30" s="141" t="s">
        <v>2391</v>
      </c>
      <c r="BV30" s="141" t="s">
        <v>2392</v>
      </c>
      <c r="BW30" s="141" t="s">
        <v>2393</v>
      </c>
      <c r="BX30" s="141" t="s">
        <v>2407</v>
      </c>
      <c r="BY30" s="141" t="s">
        <v>2408</v>
      </c>
      <c r="BZ30" s="141" t="s">
        <v>2409</v>
      </c>
      <c r="CA30" s="141" t="s">
        <v>2410</v>
      </c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</row>
    <row r="31" spans="1:93" s="7" customFormat="1" x14ac:dyDescent="0.25">
      <c r="A31" s="19" t="s">
        <v>2298</v>
      </c>
      <c r="B31" s="19" t="s">
        <v>2299</v>
      </c>
      <c r="C31" s="19">
        <v>96101366</v>
      </c>
      <c r="D31" s="19" t="s">
        <v>2301</v>
      </c>
      <c r="E31" s="21" t="s">
        <v>1860</v>
      </c>
      <c r="F31" s="21" t="s">
        <v>2318</v>
      </c>
      <c r="G31" s="21" t="s">
        <v>332</v>
      </c>
      <c r="H31" s="21" t="s">
        <v>2319</v>
      </c>
      <c r="I31" s="21" t="s">
        <v>254</v>
      </c>
      <c r="J31" s="21" t="s">
        <v>2083</v>
      </c>
      <c r="K31" s="21" t="s">
        <v>2325</v>
      </c>
      <c r="L31" s="21" t="s">
        <v>2068</v>
      </c>
      <c r="M31" s="19" t="s">
        <v>2382</v>
      </c>
      <c r="N31" s="19"/>
      <c r="O31" s="35">
        <v>0</v>
      </c>
      <c r="P31" s="35">
        <v>0</v>
      </c>
      <c r="Q31" s="32"/>
      <c r="R31" s="22">
        <v>0</v>
      </c>
      <c r="S31" s="22">
        <v>0</v>
      </c>
      <c r="T31" s="22">
        <v>0</v>
      </c>
      <c r="U31" s="22">
        <v>1</v>
      </c>
      <c r="V31" s="60">
        <f t="shared" si="5"/>
        <v>1</v>
      </c>
      <c r="W31" s="86"/>
      <c r="X31" s="86">
        <v>1</v>
      </c>
      <c r="Y31" s="86"/>
      <c r="Z31" s="86"/>
      <c r="AA31" s="86">
        <v>1</v>
      </c>
      <c r="AB31" s="21"/>
      <c r="AC31" s="77"/>
      <c r="AD31" s="21"/>
      <c r="AE31" s="77"/>
      <c r="AF31" s="21"/>
      <c r="AG31" s="21"/>
      <c r="AH31" s="21"/>
      <c r="AI31" s="21"/>
      <c r="AJ31" s="21"/>
      <c r="AK31" s="21"/>
      <c r="AL31" s="77"/>
      <c r="AM31" s="21">
        <v>1</v>
      </c>
      <c r="AN31" s="21"/>
      <c r="AO31" s="21"/>
      <c r="AP31" s="21"/>
      <c r="AQ31" s="21"/>
      <c r="AR31" s="21"/>
      <c r="AS31" s="77"/>
      <c r="AT31" s="21"/>
      <c r="AU31" s="21"/>
      <c r="AV31" s="21"/>
      <c r="AW31" s="21"/>
      <c r="AX31" s="21"/>
      <c r="AY31" s="21"/>
      <c r="AZ31" s="77"/>
      <c r="BA31" s="21"/>
      <c r="BB31" s="21"/>
      <c r="BC31" s="21"/>
      <c r="BD31" s="144">
        <f t="shared" si="6"/>
        <v>1</v>
      </c>
      <c r="BE31" s="94">
        <f t="shared" si="7"/>
        <v>0</v>
      </c>
      <c r="BF31" s="26"/>
      <c r="BH31" s="141" t="s">
        <v>2301</v>
      </c>
      <c r="BI31" s="141" t="s">
        <v>2398</v>
      </c>
      <c r="BJ31" s="141" t="s">
        <v>2386</v>
      </c>
      <c r="BK31" s="141" t="s">
        <v>2387</v>
      </c>
      <c r="BL31" s="141" t="s">
        <v>2399</v>
      </c>
      <c r="BM31" s="141" t="s">
        <v>2400</v>
      </c>
      <c r="BN31" s="141" t="s">
        <v>2401</v>
      </c>
      <c r="BO31" s="141" t="s">
        <v>2402</v>
      </c>
      <c r="BP31" s="141" t="s">
        <v>2403</v>
      </c>
      <c r="BQ31" s="141" t="s">
        <v>2404</v>
      </c>
      <c r="BR31" s="141" t="s">
        <v>2405</v>
      </c>
      <c r="BS31" s="141" t="s">
        <v>2406</v>
      </c>
      <c r="BT31" s="141" t="s">
        <v>2390</v>
      </c>
      <c r="BU31" s="141" t="s">
        <v>2391</v>
      </c>
      <c r="BV31" s="141" t="s">
        <v>2392</v>
      </c>
      <c r="BW31" s="141" t="s">
        <v>2393</v>
      </c>
      <c r="BX31" s="141" t="s">
        <v>2407</v>
      </c>
      <c r="BY31" s="141" t="s">
        <v>2408</v>
      </c>
      <c r="BZ31" s="141" t="s">
        <v>2409</v>
      </c>
      <c r="CA31" s="141" t="s">
        <v>2410</v>
      </c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</row>
    <row r="32" spans="1:93" s="7" customFormat="1" x14ac:dyDescent="0.25">
      <c r="A32" s="19" t="s">
        <v>2298</v>
      </c>
      <c r="B32" s="19" t="s">
        <v>2299</v>
      </c>
      <c r="C32" s="19">
        <v>96101532</v>
      </c>
      <c r="D32" s="19" t="s">
        <v>2301</v>
      </c>
      <c r="E32" s="21" t="s">
        <v>1860</v>
      </c>
      <c r="F32" s="21" t="s">
        <v>2318</v>
      </c>
      <c r="G32" s="21" t="s">
        <v>332</v>
      </c>
      <c r="H32" s="21" t="s">
        <v>2319</v>
      </c>
      <c r="I32" s="21" t="s">
        <v>254</v>
      </c>
      <c r="J32" s="21" t="s">
        <v>2069</v>
      </c>
      <c r="K32" s="21" t="s">
        <v>2325</v>
      </c>
      <c r="L32" s="21" t="s">
        <v>2068</v>
      </c>
      <c r="M32" s="19" t="s">
        <v>2383</v>
      </c>
      <c r="N32" s="19"/>
      <c r="O32" s="35">
        <v>0</v>
      </c>
      <c r="P32" s="35">
        <v>0</v>
      </c>
      <c r="Q32" s="32"/>
      <c r="R32" s="22">
        <v>0</v>
      </c>
      <c r="S32" s="22">
        <v>0</v>
      </c>
      <c r="T32" s="22">
        <v>0</v>
      </c>
      <c r="U32" s="22">
        <v>1</v>
      </c>
      <c r="V32" s="60">
        <f t="shared" si="5"/>
        <v>1</v>
      </c>
      <c r="W32" s="86"/>
      <c r="X32" s="86">
        <v>1</v>
      </c>
      <c r="Y32" s="86"/>
      <c r="Z32" s="86"/>
      <c r="AA32" s="86">
        <v>1</v>
      </c>
      <c r="AB32" s="21"/>
      <c r="AC32" s="77"/>
      <c r="AD32" s="21"/>
      <c r="AE32" s="77"/>
      <c r="AF32" s="21"/>
      <c r="AG32" s="21"/>
      <c r="AH32" s="21"/>
      <c r="AI32" s="21"/>
      <c r="AJ32" s="21"/>
      <c r="AK32" s="21"/>
      <c r="AL32" s="77"/>
      <c r="AM32" s="21">
        <v>1</v>
      </c>
      <c r="AN32" s="21"/>
      <c r="AO32" s="21"/>
      <c r="AP32" s="21"/>
      <c r="AQ32" s="21"/>
      <c r="AR32" s="21"/>
      <c r="AS32" s="77"/>
      <c r="AT32" s="21"/>
      <c r="AU32" s="21"/>
      <c r="AV32" s="21"/>
      <c r="AW32" s="21"/>
      <c r="AX32" s="21"/>
      <c r="AY32" s="21"/>
      <c r="AZ32" s="77"/>
      <c r="BA32" s="21"/>
      <c r="BB32" s="21"/>
      <c r="BC32" s="21"/>
      <c r="BD32" s="144">
        <f t="shared" si="6"/>
        <v>1</v>
      </c>
      <c r="BE32" s="94">
        <f t="shared" si="7"/>
        <v>0</v>
      </c>
      <c r="BF32" s="26"/>
      <c r="BH32" s="141" t="s">
        <v>2301</v>
      </c>
      <c r="BI32" s="141" t="s">
        <v>2398</v>
      </c>
      <c r="BJ32" s="141" t="s">
        <v>2386</v>
      </c>
      <c r="BK32" s="141" t="s">
        <v>2387</v>
      </c>
      <c r="BL32" s="141" t="s">
        <v>2399</v>
      </c>
      <c r="BM32" s="141" t="s">
        <v>2400</v>
      </c>
      <c r="BN32" s="141" t="s">
        <v>2401</v>
      </c>
      <c r="BO32" s="141" t="s">
        <v>2402</v>
      </c>
      <c r="BP32" s="141" t="s">
        <v>2403</v>
      </c>
      <c r="BQ32" s="141" t="s">
        <v>2404</v>
      </c>
      <c r="BR32" s="141" t="s">
        <v>2405</v>
      </c>
      <c r="BS32" s="141" t="s">
        <v>2406</v>
      </c>
      <c r="BT32" s="141" t="s">
        <v>2390</v>
      </c>
      <c r="BU32" s="141" t="s">
        <v>2391</v>
      </c>
      <c r="BV32" s="141" t="s">
        <v>2392</v>
      </c>
      <c r="BW32" s="141" t="s">
        <v>2393</v>
      </c>
      <c r="BX32" s="141" t="s">
        <v>2407</v>
      </c>
      <c r="BY32" s="141" t="s">
        <v>2408</v>
      </c>
      <c r="BZ32" s="141" t="s">
        <v>2409</v>
      </c>
      <c r="CA32" s="141" t="s">
        <v>2410</v>
      </c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</row>
  </sheetData>
  <autoFilter ref="A1:BF32" xr:uid="{76AA268E-59E9-4B39-8C8F-D7971FE03217}">
    <filterColumn colId="14" showButton="0"/>
  </autoFilter>
  <mergeCells count="1">
    <mergeCell ref="O1:P1"/>
  </mergeCells>
  <conditionalFormatting sqref="C1:C1048576">
    <cfRule type="duplicateValues" dxfId="5" priority="1"/>
  </conditionalFormatting>
  <pageMargins left="0.7" right="0.7" top="0.75" bottom="0.75" header="0.3" footer="0.3"/>
  <pageSetup scale="23" orientation="portrait" horizontalDpi="300" verticalDpi="0" r:id="rId1"/>
  <colBreaks count="2" manualBreakCount="2">
    <brk id="12" max="591" man="1"/>
    <brk id="6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ED7A7-AADC-47E1-A3B4-9F44D43C8DE7}">
  <dimension ref="A1:CO58"/>
  <sheetViews>
    <sheetView showGridLines="0" tabSelected="1" zoomScale="90" zoomScaleNormal="90" workbookViewId="0">
      <pane xSplit="4" ySplit="3" topLeftCell="M4" activePane="bottomRight" state="frozen"/>
      <selection pane="topRight" activeCell="K1" sqref="K1"/>
      <selection pane="bottomLeft" activeCell="A4" sqref="A4"/>
      <selection pane="bottomRight" activeCell="BG21" sqref="BG21"/>
    </sheetView>
  </sheetViews>
  <sheetFormatPr defaultColWidth="9.140625" defaultRowHeight="12.75" x14ac:dyDescent="0.25"/>
  <cols>
    <col min="1" max="1" width="7.5703125" style="6" customWidth="1"/>
    <col min="2" max="2" width="11.7109375" style="6" customWidth="1"/>
    <col min="3" max="3" width="9" style="6" bestFit="1" customWidth="1"/>
    <col min="4" max="4" width="11.42578125" style="6" customWidth="1"/>
    <col min="5" max="5" width="13.28515625" style="8" bestFit="1" customWidth="1"/>
    <col min="6" max="6" width="9" style="8" bestFit="1" customWidth="1"/>
    <col min="7" max="7" width="4.7109375" style="8" customWidth="1"/>
    <col min="8" max="8" width="15.5703125" style="8" bestFit="1" customWidth="1"/>
    <col min="9" max="9" width="4.5703125" style="8" bestFit="1" customWidth="1"/>
    <col min="10" max="10" width="10.28515625" style="8" bestFit="1" customWidth="1"/>
    <col min="11" max="11" width="11.140625" style="8" bestFit="1" customWidth="1"/>
    <col min="12" max="12" width="12.140625" style="8" bestFit="1" customWidth="1"/>
    <col min="13" max="13" width="26.85546875" style="6" customWidth="1"/>
    <col min="14" max="14" width="8.85546875" style="6" hidden="1" customWidth="1"/>
    <col min="15" max="15" width="6.28515625" style="8" hidden="1" customWidth="1"/>
    <col min="16" max="16" width="6.140625" style="8" hidden="1" customWidth="1"/>
    <col min="17" max="17" width="7" style="8" hidden="1" customWidth="1"/>
    <col min="18" max="18" width="6.28515625" style="8" hidden="1" customWidth="1"/>
    <col min="19" max="21" width="4.85546875" style="8" hidden="1" customWidth="1"/>
    <col min="22" max="22" width="6" style="8" hidden="1" customWidth="1"/>
    <col min="23" max="23" width="6.28515625" style="8" customWidth="1"/>
    <col min="24" max="26" width="4.85546875" style="8" customWidth="1"/>
    <col min="27" max="27" width="5.42578125" style="8" customWidth="1"/>
    <col min="28" max="28" width="3" style="8" customWidth="1"/>
    <col min="29" max="29" width="2" style="8" customWidth="1"/>
    <col min="30" max="30" width="3" style="8" customWidth="1"/>
    <col min="31" max="31" width="2" style="8" customWidth="1"/>
    <col min="32" max="34" width="3" style="8" customWidth="1"/>
    <col min="35" max="35" width="3.85546875" style="8" customWidth="1"/>
    <col min="36" max="41" width="3" style="8" customWidth="1"/>
    <col min="42" max="42" width="3.85546875" style="8" customWidth="1"/>
    <col min="43" max="48" width="3" style="8" customWidth="1"/>
    <col min="49" max="49" width="3.85546875" style="8" customWidth="1"/>
    <col min="50" max="55" width="3" style="8" bestFit="1" customWidth="1"/>
    <col min="56" max="56" width="5" style="8" customWidth="1"/>
    <col min="57" max="57" width="6.140625" style="8" hidden="1" customWidth="1"/>
    <col min="58" max="58" width="23" style="6" customWidth="1"/>
    <col min="59" max="59" width="1.28515625" style="8" customWidth="1"/>
    <col min="60" max="60" width="10" style="6" customWidth="1"/>
    <col min="61" max="61" width="40.28515625" style="6" customWidth="1"/>
    <col min="62" max="62" width="43" style="6" customWidth="1"/>
    <col min="63" max="63" width="12.85546875" style="6" customWidth="1"/>
    <col min="64" max="64" width="10.5703125" style="6" bestFit="1" customWidth="1"/>
    <col min="65" max="65" width="37.85546875" style="6" bestFit="1" customWidth="1"/>
    <col min="66" max="66" width="15.85546875" style="6" bestFit="1" customWidth="1"/>
    <col min="67" max="67" width="40" style="6" bestFit="1" customWidth="1"/>
    <col min="68" max="68" width="13" style="6" bestFit="1" customWidth="1"/>
    <col min="69" max="69" width="39" style="6" bestFit="1" customWidth="1"/>
    <col min="70" max="70" width="10.140625" style="6" bestFit="1" customWidth="1"/>
    <col min="71" max="71" width="40.42578125" style="6" bestFit="1" customWidth="1"/>
    <col min="72" max="72" width="12.7109375" style="6" bestFit="1" customWidth="1"/>
    <col min="73" max="73" width="42.7109375" style="6" bestFit="1" customWidth="1"/>
    <col min="74" max="74" width="13.85546875" style="6" bestFit="1" customWidth="1"/>
    <col min="75" max="75" width="40.42578125" style="6" bestFit="1" customWidth="1"/>
    <col min="76" max="76" width="13.7109375" style="6" bestFit="1" customWidth="1"/>
    <col min="77" max="77" width="37.28515625" style="6" bestFit="1" customWidth="1"/>
    <col min="78" max="78" width="9.28515625" style="6" bestFit="1" customWidth="1"/>
    <col min="79" max="79" width="41.5703125" style="6" bestFit="1" customWidth="1"/>
    <col min="80" max="80" width="14" style="6" bestFit="1" customWidth="1"/>
    <col min="81" max="81" width="14.5703125" style="6" bestFit="1" customWidth="1"/>
    <col min="82" max="82" width="7.85546875" style="6" bestFit="1" customWidth="1"/>
    <col min="83" max="83" width="12.140625" style="6" bestFit="1" customWidth="1"/>
    <col min="84" max="84" width="15.140625" style="6" bestFit="1" customWidth="1"/>
    <col min="85" max="85" width="15.5703125" style="6" bestFit="1" customWidth="1"/>
    <col min="86" max="86" width="15.140625" style="6" bestFit="1" customWidth="1"/>
    <col min="87" max="87" width="15.5703125" style="6" bestFit="1" customWidth="1"/>
    <col min="88" max="88" width="12.140625" style="6" bestFit="1" customWidth="1"/>
    <col min="89" max="89" width="12.7109375" style="6" bestFit="1" customWidth="1"/>
    <col min="90" max="90" width="9.7109375" style="6" bestFit="1" customWidth="1"/>
    <col min="91" max="91" width="10.140625" style="6" bestFit="1" customWidth="1"/>
    <col min="92" max="16384" width="9.140625" style="6"/>
  </cols>
  <sheetData>
    <row r="1" spans="1:93" s="1" customFormat="1" ht="15.75" x14ac:dyDescent="0.25">
      <c r="E1" s="3"/>
      <c r="F1" s="3"/>
      <c r="G1" s="3"/>
      <c r="H1" s="3"/>
      <c r="I1" s="3"/>
      <c r="J1" s="3"/>
      <c r="K1" s="3"/>
      <c r="L1" s="3"/>
      <c r="M1" s="46"/>
      <c r="O1" s="148" t="s">
        <v>0</v>
      </c>
      <c r="P1" s="148"/>
      <c r="Q1" s="29"/>
      <c r="R1" s="36" t="s">
        <v>2385</v>
      </c>
      <c r="S1" s="37"/>
      <c r="T1" s="37"/>
      <c r="U1" s="37"/>
      <c r="V1" s="37"/>
      <c r="W1" s="49" t="s">
        <v>72</v>
      </c>
      <c r="X1" s="4"/>
      <c r="Y1" s="4"/>
      <c r="Z1" s="4"/>
      <c r="AA1" s="4"/>
      <c r="AB1" s="44">
        <f>SUBTOTAL(9,AB4:AB58)</f>
        <v>40</v>
      </c>
      <c r="AC1" s="87">
        <f>SUBTOTAL(9,AC16:AC58)</f>
        <v>0</v>
      </c>
      <c r="AD1" s="44">
        <f>SUBTOTAL(9,AD4:AD58)</f>
        <v>45</v>
      </c>
      <c r="AE1" s="87">
        <f>SUBTOTAL(9,AE16:AE58)</f>
        <v>0</v>
      </c>
      <c r="AF1" s="44">
        <f t="shared" ref="AF1:AK1" si="0">SUBTOTAL(9,AF4:AF58)</f>
        <v>50</v>
      </c>
      <c r="AG1" s="44">
        <f t="shared" si="0"/>
        <v>50</v>
      </c>
      <c r="AH1" s="44">
        <f t="shared" si="0"/>
        <v>50</v>
      </c>
      <c r="AI1" s="44">
        <f t="shared" si="0"/>
        <v>50</v>
      </c>
      <c r="AJ1" s="44">
        <f t="shared" si="0"/>
        <v>50</v>
      </c>
      <c r="AK1" s="44">
        <f t="shared" si="0"/>
        <v>50</v>
      </c>
      <c r="AL1" s="87">
        <f>SUBTOTAL(9,AL16:AL58)</f>
        <v>0</v>
      </c>
      <c r="AM1" s="44">
        <f t="shared" ref="AM1:AR1" si="1">SUBTOTAL(9,AM4:AM58)</f>
        <v>51</v>
      </c>
      <c r="AN1" s="44">
        <f t="shared" si="1"/>
        <v>51</v>
      </c>
      <c r="AO1" s="44">
        <f t="shared" si="1"/>
        <v>51</v>
      </c>
      <c r="AP1" s="44">
        <f t="shared" si="1"/>
        <v>51</v>
      </c>
      <c r="AQ1" s="44">
        <f t="shared" si="1"/>
        <v>51</v>
      </c>
      <c r="AR1" s="44">
        <f t="shared" si="1"/>
        <v>50</v>
      </c>
      <c r="AS1" s="87">
        <f>SUBTOTAL(9,AS16:AS58)</f>
        <v>0</v>
      </c>
      <c r="AT1" s="44">
        <f t="shared" ref="AT1:AY1" si="2">SUBTOTAL(9,AT4:AT58)</f>
        <v>50</v>
      </c>
      <c r="AU1" s="44">
        <f t="shared" si="2"/>
        <v>51</v>
      </c>
      <c r="AV1" s="44">
        <f t="shared" si="2"/>
        <v>55</v>
      </c>
      <c r="AW1" s="44">
        <f t="shared" si="2"/>
        <v>50</v>
      </c>
      <c r="AX1" s="44">
        <f t="shared" si="2"/>
        <v>49</v>
      </c>
      <c r="AY1" s="44">
        <f t="shared" si="2"/>
        <v>55</v>
      </c>
      <c r="AZ1" s="87">
        <f>SUBTOTAL(9,AZ16:AZ58)</f>
        <v>0</v>
      </c>
      <c r="BA1" s="44">
        <f>SUBTOTAL(9,BA4:BA58)</f>
        <v>54</v>
      </c>
      <c r="BB1" s="44">
        <f>SUBTOTAL(9,BB4:BB58)</f>
        <v>52</v>
      </c>
      <c r="BC1" s="44">
        <f>SUBTOTAL(9,BC4:BC58)</f>
        <v>59</v>
      </c>
      <c r="BD1" s="95">
        <f>SUBTOTAL(9,BD4:BD58)</f>
        <v>1165</v>
      </c>
      <c r="BE1" s="33">
        <f>SUBTOTAL(9,BE4:BE58)</f>
        <v>86</v>
      </c>
      <c r="BG1" s="3"/>
    </row>
    <row r="2" spans="1:93" ht="21" x14ac:dyDescent="0.25">
      <c r="A2" s="88" t="s">
        <v>2297</v>
      </c>
      <c r="M2" s="47"/>
      <c r="O2" s="33">
        <f>SUBTOTAL(9,O4:O58)</f>
        <v>1000</v>
      </c>
      <c r="P2" s="33">
        <f>SUBTOTAL(9,P4:P58)</f>
        <v>500</v>
      </c>
      <c r="Q2" s="30">
        <f>SUBTOTAL(9,Q16:Q58)</f>
        <v>0</v>
      </c>
      <c r="R2" s="39">
        <f>SUBTOTAL(9,R4:R58)</f>
        <v>491</v>
      </c>
      <c r="S2" s="39">
        <f t="shared" ref="S2:AA2" si="3">SUBTOTAL(9,S4:S58)</f>
        <v>346</v>
      </c>
      <c r="T2" s="39">
        <f t="shared" si="3"/>
        <v>368</v>
      </c>
      <c r="U2" s="39">
        <f t="shared" si="3"/>
        <v>300</v>
      </c>
      <c r="V2" s="60">
        <f t="shared" si="3"/>
        <v>1505</v>
      </c>
      <c r="W2" s="30">
        <f t="shared" si="3"/>
        <v>416</v>
      </c>
      <c r="X2" s="30">
        <f t="shared" si="3"/>
        <v>316</v>
      </c>
      <c r="Y2" s="30">
        <f t="shared" si="3"/>
        <v>314</v>
      </c>
      <c r="Z2" s="30">
        <f t="shared" si="3"/>
        <v>205</v>
      </c>
      <c r="AA2" s="30">
        <f t="shared" si="3"/>
        <v>1251</v>
      </c>
      <c r="AB2" s="146">
        <v>3</v>
      </c>
      <c r="AC2" s="13"/>
      <c r="AD2" s="146">
        <v>5</v>
      </c>
      <c r="AE2" s="13"/>
      <c r="AF2" s="146">
        <v>7</v>
      </c>
      <c r="AG2" s="146">
        <v>8</v>
      </c>
      <c r="AH2" s="146">
        <v>9</v>
      </c>
      <c r="AI2" s="146">
        <f t="shared" ref="AI2:BB2" si="4">AH2+1</f>
        <v>10</v>
      </c>
      <c r="AJ2" s="146">
        <f t="shared" si="4"/>
        <v>11</v>
      </c>
      <c r="AK2" s="146">
        <f t="shared" si="4"/>
        <v>12</v>
      </c>
      <c r="AL2" s="13"/>
      <c r="AM2" s="146">
        <v>14</v>
      </c>
      <c r="AN2" s="146">
        <f t="shared" si="4"/>
        <v>15</v>
      </c>
      <c r="AO2" s="146">
        <v>16</v>
      </c>
      <c r="AP2" s="146">
        <f t="shared" si="4"/>
        <v>17</v>
      </c>
      <c r="AQ2" s="146">
        <f t="shared" si="4"/>
        <v>18</v>
      </c>
      <c r="AR2" s="146">
        <f t="shared" si="4"/>
        <v>19</v>
      </c>
      <c r="AS2" s="13"/>
      <c r="AT2" s="146">
        <v>21</v>
      </c>
      <c r="AU2" s="146">
        <f t="shared" si="4"/>
        <v>22</v>
      </c>
      <c r="AV2" s="146">
        <v>23</v>
      </c>
      <c r="AW2" s="146">
        <f t="shared" si="4"/>
        <v>24</v>
      </c>
      <c r="AX2" s="146">
        <f t="shared" si="4"/>
        <v>25</v>
      </c>
      <c r="AY2" s="146">
        <f t="shared" si="4"/>
        <v>26</v>
      </c>
      <c r="AZ2" s="13"/>
      <c r="BA2" s="146">
        <v>28</v>
      </c>
      <c r="BB2" s="146">
        <f t="shared" si="4"/>
        <v>29</v>
      </c>
      <c r="BC2" s="146">
        <v>30</v>
      </c>
      <c r="BF2" s="1"/>
    </row>
    <row r="3" spans="1:93" s="1" customFormat="1" ht="30" customHeight="1" x14ac:dyDescent="0.25">
      <c r="A3" s="9" t="s">
        <v>4</v>
      </c>
      <c r="B3" s="10" t="s">
        <v>5</v>
      </c>
      <c r="C3" s="10" t="s">
        <v>6</v>
      </c>
      <c r="D3" s="11" t="s">
        <v>9</v>
      </c>
      <c r="E3" s="99" t="s">
        <v>12</v>
      </c>
      <c r="F3" s="99" t="s">
        <v>13</v>
      </c>
      <c r="G3" s="99" t="s">
        <v>14</v>
      </c>
      <c r="H3" s="99" t="s">
        <v>15</v>
      </c>
      <c r="I3" s="99" t="s">
        <v>16</v>
      </c>
      <c r="J3" s="99" t="s">
        <v>17</v>
      </c>
      <c r="K3" s="99" t="s">
        <v>19</v>
      </c>
      <c r="L3" s="99" t="s">
        <v>21</v>
      </c>
      <c r="M3" s="48" t="s">
        <v>24</v>
      </c>
      <c r="N3" s="9" t="s">
        <v>25</v>
      </c>
      <c r="O3" s="34" t="s">
        <v>2168</v>
      </c>
      <c r="P3" s="34" t="s">
        <v>2384</v>
      </c>
      <c r="Q3" s="31" t="s">
        <v>26</v>
      </c>
      <c r="R3" s="40" t="s">
        <v>27</v>
      </c>
      <c r="S3" s="40" t="s">
        <v>28</v>
      </c>
      <c r="T3" s="40" t="s">
        <v>29</v>
      </c>
      <c r="U3" s="40" t="s">
        <v>30</v>
      </c>
      <c r="V3" s="60" t="s">
        <v>32</v>
      </c>
      <c r="W3" s="143" t="s">
        <v>27</v>
      </c>
      <c r="X3" s="143" t="s">
        <v>36</v>
      </c>
      <c r="Y3" s="143" t="s">
        <v>37</v>
      </c>
      <c r="Z3" s="143" t="s">
        <v>38</v>
      </c>
      <c r="AA3" s="143" t="s">
        <v>32</v>
      </c>
      <c r="AB3" s="147">
        <v>1</v>
      </c>
      <c r="AC3" s="13">
        <v>4</v>
      </c>
      <c r="AD3" s="147">
        <v>2</v>
      </c>
      <c r="AE3" s="13">
        <v>6</v>
      </c>
      <c r="AF3" s="147">
        <v>3</v>
      </c>
      <c r="AG3" s="147">
        <v>5</v>
      </c>
      <c r="AH3" s="147">
        <v>7</v>
      </c>
      <c r="AI3" s="147">
        <v>8</v>
      </c>
      <c r="AJ3" s="147">
        <v>9</v>
      </c>
      <c r="AK3" s="147">
        <v>10</v>
      </c>
      <c r="AL3" s="13">
        <v>13</v>
      </c>
      <c r="AM3" s="147">
        <v>11</v>
      </c>
      <c r="AN3" s="147">
        <v>12</v>
      </c>
      <c r="AO3" s="147">
        <v>14</v>
      </c>
      <c r="AP3" s="147">
        <v>15</v>
      </c>
      <c r="AQ3" s="147">
        <v>16</v>
      </c>
      <c r="AR3" s="147">
        <v>17</v>
      </c>
      <c r="AS3" s="13">
        <v>20</v>
      </c>
      <c r="AT3" s="147">
        <v>18</v>
      </c>
      <c r="AU3" s="147">
        <v>19</v>
      </c>
      <c r="AV3" s="147">
        <v>21</v>
      </c>
      <c r="AW3" s="147">
        <v>22</v>
      </c>
      <c r="AX3" s="147">
        <v>23</v>
      </c>
      <c r="AY3" s="147">
        <v>24</v>
      </c>
      <c r="AZ3" s="13">
        <v>27</v>
      </c>
      <c r="BA3" s="147">
        <v>25</v>
      </c>
      <c r="BB3" s="147">
        <v>26</v>
      </c>
      <c r="BC3" s="147">
        <v>28</v>
      </c>
      <c r="BD3" s="96" t="s">
        <v>32</v>
      </c>
      <c r="BE3" s="93" t="s">
        <v>1722</v>
      </c>
      <c r="BF3" s="10" t="s">
        <v>39</v>
      </c>
      <c r="BG3" s="3"/>
      <c r="BH3" s="26" t="s">
        <v>40</v>
      </c>
      <c r="BI3" s="26" t="s">
        <v>41</v>
      </c>
      <c r="BJ3" s="18" t="s">
        <v>42</v>
      </c>
      <c r="BK3" s="18" t="s">
        <v>43</v>
      </c>
      <c r="BL3" s="18" t="s">
        <v>44</v>
      </c>
      <c r="BM3" s="18" t="s">
        <v>45</v>
      </c>
      <c r="BN3" s="18" t="s">
        <v>46</v>
      </c>
      <c r="BO3" s="18" t="s">
        <v>47</v>
      </c>
      <c r="BP3" s="18" t="s">
        <v>48</v>
      </c>
      <c r="BQ3" s="18" t="s">
        <v>49</v>
      </c>
      <c r="BR3" s="18" t="s">
        <v>50</v>
      </c>
      <c r="BS3" s="18" t="s">
        <v>51</v>
      </c>
      <c r="BT3" s="18" t="s">
        <v>52</v>
      </c>
      <c r="BU3" s="18" t="s">
        <v>53</v>
      </c>
      <c r="BV3" s="18" t="s">
        <v>54</v>
      </c>
      <c r="BW3" s="18" t="s">
        <v>55</v>
      </c>
      <c r="BX3" s="18" t="s">
        <v>56</v>
      </c>
      <c r="BY3" s="18" t="s">
        <v>57</v>
      </c>
      <c r="BZ3" s="18" t="s">
        <v>58</v>
      </c>
      <c r="CA3" s="18" t="s">
        <v>59</v>
      </c>
      <c r="CB3" s="18" t="s">
        <v>60</v>
      </c>
      <c r="CC3" s="18" t="s">
        <v>61</v>
      </c>
      <c r="CD3" s="18" t="s">
        <v>62</v>
      </c>
      <c r="CE3" s="18" t="s">
        <v>63</v>
      </c>
      <c r="CF3" s="18" t="s">
        <v>64</v>
      </c>
      <c r="CG3" s="18" t="s">
        <v>65</v>
      </c>
      <c r="CH3" s="18" t="s">
        <v>66</v>
      </c>
      <c r="CI3" s="18" t="s">
        <v>67</v>
      </c>
      <c r="CJ3" s="18" t="s">
        <v>69</v>
      </c>
      <c r="CK3" s="18" t="s">
        <v>70</v>
      </c>
    </row>
    <row r="4" spans="1:93" s="7" customFormat="1" x14ac:dyDescent="0.25">
      <c r="A4" s="19" t="s">
        <v>2298</v>
      </c>
      <c r="B4" s="19" t="s">
        <v>2299</v>
      </c>
      <c r="C4" s="19">
        <v>96100617</v>
      </c>
      <c r="D4" s="20">
        <v>96100617</v>
      </c>
      <c r="E4" s="21" t="s">
        <v>2317</v>
      </c>
      <c r="F4" s="21" t="s">
        <v>2318</v>
      </c>
      <c r="G4" s="21" t="s">
        <v>332</v>
      </c>
      <c r="H4" s="21" t="s">
        <v>234</v>
      </c>
      <c r="I4" s="21" t="s">
        <v>254</v>
      </c>
      <c r="J4" s="21" t="s">
        <v>2070</v>
      </c>
      <c r="K4" s="21" t="s">
        <v>2324</v>
      </c>
      <c r="L4" s="21" t="s">
        <v>2068</v>
      </c>
      <c r="M4" s="19" t="s">
        <v>2329</v>
      </c>
      <c r="N4" s="19"/>
      <c r="O4" s="35">
        <v>40</v>
      </c>
      <c r="P4" s="35">
        <v>10</v>
      </c>
      <c r="Q4" s="32"/>
      <c r="R4" s="22">
        <v>20</v>
      </c>
      <c r="S4" s="22">
        <v>5</v>
      </c>
      <c r="T4" s="22">
        <v>10</v>
      </c>
      <c r="U4" s="22">
        <v>5</v>
      </c>
      <c r="V4" s="60">
        <f t="shared" ref="V4:V35" si="5">SUM(R4:U4)</f>
        <v>40</v>
      </c>
      <c r="W4" s="86"/>
      <c r="X4" s="86"/>
      <c r="Y4" s="86">
        <v>3</v>
      </c>
      <c r="Z4" s="86">
        <v>24</v>
      </c>
      <c r="AA4" s="86">
        <v>27</v>
      </c>
      <c r="AB4" s="21"/>
      <c r="AC4" s="77"/>
      <c r="AD4" s="21"/>
      <c r="AE4" s="77"/>
      <c r="AF4" s="21"/>
      <c r="AG4" s="21"/>
      <c r="AH4" s="21"/>
      <c r="AI4" s="21"/>
      <c r="AJ4" s="21"/>
      <c r="AK4" s="21"/>
      <c r="AL4" s="77"/>
      <c r="AM4" s="21"/>
      <c r="AN4" s="21"/>
      <c r="AO4" s="21"/>
      <c r="AP4" s="21"/>
      <c r="AQ4" s="21"/>
      <c r="AR4" s="21"/>
      <c r="AS4" s="77"/>
      <c r="AT4" s="21"/>
      <c r="AU4" s="21"/>
      <c r="AV4" s="21"/>
      <c r="AW4" s="21"/>
      <c r="AX4" s="21"/>
      <c r="AY4" s="21">
        <v>5</v>
      </c>
      <c r="AZ4" s="77"/>
      <c r="BA4" s="21">
        <v>5</v>
      </c>
      <c r="BB4" s="21">
        <v>5</v>
      </c>
      <c r="BC4" s="21">
        <v>5</v>
      </c>
      <c r="BD4" s="144">
        <f t="shared" ref="BD4:BD35" si="6">SUM(AB4:BC4)</f>
        <v>20</v>
      </c>
      <c r="BE4" s="94">
        <f t="shared" ref="BE4:BE35" si="7">AA4-BD4</f>
        <v>7</v>
      </c>
      <c r="BF4" s="26"/>
      <c r="BH4" s="141">
        <v>96100617</v>
      </c>
      <c r="BI4" s="141" t="s">
        <v>2329</v>
      </c>
      <c r="BJ4" s="141" t="s">
        <v>2386</v>
      </c>
      <c r="BK4" s="141" t="s">
        <v>2387</v>
      </c>
      <c r="BL4" s="141"/>
      <c r="BM4" s="141"/>
      <c r="BN4" s="141"/>
      <c r="BO4" s="141"/>
      <c r="BP4" s="141" t="s">
        <v>2388</v>
      </c>
      <c r="BQ4" s="141" t="s">
        <v>2389</v>
      </c>
      <c r="BR4" s="141"/>
      <c r="BS4" s="141"/>
      <c r="BT4" s="141" t="s">
        <v>2390</v>
      </c>
      <c r="BU4" s="141" t="s">
        <v>2391</v>
      </c>
      <c r="BV4" s="141" t="s">
        <v>2392</v>
      </c>
      <c r="BW4" s="141" t="s">
        <v>2393</v>
      </c>
      <c r="BX4" s="141"/>
      <c r="BY4" s="141"/>
      <c r="BZ4" s="141" t="s">
        <v>2394</v>
      </c>
      <c r="CA4" s="141" t="s">
        <v>2395</v>
      </c>
      <c r="CB4" s="142"/>
      <c r="CC4" s="142"/>
      <c r="CD4" s="142"/>
      <c r="CE4" s="142"/>
      <c r="CF4" s="142"/>
      <c r="CG4" s="142"/>
      <c r="CH4" s="142"/>
      <c r="CI4" s="142"/>
      <c r="CJ4" s="142"/>
      <c r="CK4" s="142"/>
      <c r="CL4" s="142"/>
      <c r="CM4" s="142"/>
      <c r="CN4" s="142"/>
      <c r="CO4" s="142"/>
    </row>
    <row r="5" spans="1:93" s="7" customFormat="1" x14ac:dyDescent="0.25">
      <c r="A5" s="19" t="s">
        <v>2298</v>
      </c>
      <c r="B5" s="19" t="s">
        <v>2299</v>
      </c>
      <c r="C5" s="19">
        <v>96100619</v>
      </c>
      <c r="D5" s="20" t="s">
        <v>2300</v>
      </c>
      <c r="E5" s="21" t="s">
        <v>2317</v>
      </c>
      <c r="F5" s="21" t="s">
        <v>2318</v>
      </c>
      <c r="G5" s="21" t="s">
        <v>332</v>
      </c>
      <c r="H5" s="21" t="s">
        <v>234</v>
      </c>
      <c r="I5" s="21" t="s">
        <v>254</v>
      </c>
      <c r="J5" s="21" t="s">
        <v>255</v>
      </c>
      <c r="K5" s="21" t="s">
        <v>2324</v>
      </c>
      <c r="L5" s="21" t="s">
        <v>239</v>
      </c>
      <c r="M5" s="19" t="s">
        <v>2330</v>
      </c>
      <c r="N5" s="19"/>
      <c r="O5" s="35">
        <v>51</v>
      </c>
      <c r="P5" s="35">
        <v>12</v>
      </c>
      <c r="Q5" s="32"/>
      <c r="R5" s="22">
        <v>20</v>
      </c>
      <c r="S5" s="22">
        <v>10</v>
      </c>
      <c r="T5" s="22">
        <v>10</v>
      </c>
      <c r="U5" s="22">
        <v>5</v>
      </c>
      <c r="V5" s="60">
        <f t="shared" si="5"/>
        <v>45</v>
      </c>
      <c r="W5" s="86"/>
      <c r="X5" s="86"/>
      <c r="Y5" s="86">
        <v>37</v>
      </c>
      <c r="Z5" s="86"/>
      <c r="AA5" s="86">
        <v>37</v>
      </c>
      <c r="AB5" s="21"/>
      <c r="AC5" s="77"/>
      <c r="AD5" s="21"/>
      <c r="AE5" s="77"/>
      <c r="AF5" s="21"/>
      <c r="AG5" s="21"/>
      <c r="AH5" s="21"/>
      <c r="AI5" s="21"/>
      <c r="AJ5" s="21"/>
      <c r="AK5" s="21"/>
      <c r="AL5" s="77"/>
      <c r="AM5" s="21"/>
      <c r="AN5" s="21"/>
      <c r="AO5" s="21"/>
      <c r="AP5" s="21"/>
      <c r="AQ5" s="145">
        <v>12</v>
      </c>
      <c r="AR5" s="145">
        <v>13</v>
      </c>
      <c r="AS5" s="77"/>
      <c r="AT5" s="145">
        <v>12</v>
      </c>
      <c r="AU5" s="21"/>
      <c r="AV5" s="21"/>
      <c r="AW5" s="21"/>
      <c r="AX5" s="21"/>
      <c r="AY5" s="21"/>
      <c r="AZ5" s="77"/>
      <c r="BA5" s="21"/>
      <c r="BB5" s="21"/>
      <c r="BC5" s="21"/>
      <c r="BD5" s="144">
        <f t="shared" si="6"/>
        <v>37</v>
      </c>
      <c r="BE5" s="94">
        <f t="shared" si="7"/>
        <v>0</v>
      </c>
      <c r="BF5" s="26"/>
      <c r="BH5" s="141" t="s">
        <v>2300</v>
      </c>
      <c r="BI5" s="141" t="s">
        <v>2396</v>
      </c>
      <c r="BJ5" s="141" t="s">
        <v>2386</v>
      </c>
      <c r="BK5" s="141" t="s">
        <v>2387</v>
      </c>
      <c r="BL5" s="141"/>
      <c r="BM5" s="141"/>
      <c r="BN5" s="141"/>
      <c r="BO5" s="141"/>
      <c r="BP5" s="141" t="s">
        <v>2388</v>
      </c>
      <c r="BQ5" s="141" t="s">
        <v>2389</v>
      </c>
      <c r="BR5" s="141"/>
      <c r="BS5" s="141"/>
      <c r="BT5" s="141" t="s">
        <v>2390</v>
      </c>
      <c r="BU5" s="141" t="s">
        <v>2391</v>
      </c>
      <c r="BV5" s="141" t="s">
        <v>2392</v>
      </c>
      <c r="BW5" s="141" t="s">
        <v>2393</v>
      </c>
      <c r="BX5" s="141"/>
      <c r="BY5" s="141"/>
      <c r="BZ5" s="141" t="s">
        <v>2394</v>
      </c>
      <c r="CA5" s="141" t="s">
        <v>2397</v>
      </c>
      <c r="CB5" s="142"/>
      <c r="CC5" s="142"/>
      <c r="CD5" s="142"/>
      <c r="CE5" s="142"/>
      <c r="CF5" s="142"/>
      <c r="CG5" s="142"/>
      <c r="CH5" s="142"/>
      <c r="CI5" s="142"/>
      <c r="CJ5" s="142"/>
      <c r="CK5" s="142"/>
      <c r="CL5" s="142"/>
      <c r="CM5" s="142"/>
      <c r="CN5" s="142"/>
      <c r="CO5" s="142"/>
    </row>
    <row r="6" spans="1:93" s="7" customFormat="1" x14ac:dyDescent="0.25">
      <c r="A6" s="19" t="s">
        <v>2298</v>
      </c>
      <c r="B6" s="19" t="s">
        <v>2299</v>
      </c>
      <c r="C6" s="19">
        <v>96100618</v>
      </c>
      <c r="D6" s="20" t="s">
        <v>2304</v>
      </c>
      <c r="E6" s="21" t="s">
        <v>2317</v>
      </c>
      <c r="F6" s="21" t="s">
        <v>2318</v>
      </c>
      <c r="G6" s="21" t="s">
        <v>332</v>
      </c>
      <c r="H6" s="21" t="s">
        <v>234</v>
      </c>
      <c r="I6" s="21" t="s">
        <v>254</v>
      </c>
      <c r="J6" s="21" t="s">
        <v>2083</v>
      </c>
      <c r="K6" s="21" t="s">
        <v>2324</v>
      </c>
      <c r="L6" s="21" t="s">
        <v>2068</v>
      </c>
      <c r="M6" s="19" t="s">
        <v>2341</v>
      </c>
      <c r="N6" s="19"/>
      <c r="O6" s="35">
        <v>40</v>
      </c>
      <c r="P6" s="35">
        <v>15</v>
      </c>
      <c r="Q6" s="32"/>
      <c r="R6" s="22">
        <v>20</v>
      </c>
      <c r="S6" s="22">
        <v>10</v>
      </c>
      <c r="T6" s="22">
        <v>5</v>
      </c>
      <c r="U6" s="22">
        <v>5</v>
      </c>
      <c r="V6" s="60">
        <f t="shared" si="5"/>
        <v>40</v>
      </c>
      <c r="W6" s="86"/>
      <c r="X6" s="86"/>
      <c r="Y6" s="86">
        <v>25</v>
      </c>
      <c r="Z6" s="86">
        <v>11</v>
      </c>
      <c r="AA6" s="86">
        <v>36</v>
      </c>
      <c r="AB6" s="21"/>
      <c r="AC6" s="77"/>
      <c r="AD6" s="21"/>
      <c r="AE6" s="77"/>
      <c r="AF6" s="21"/>
      <c r="AG6" s="21"/>
      <c r="AH6" s="21"/>
      <c r="AI6" s="21"/>
      <c r="AJ6" s="21"/>
      <c r="AK6" s="21"/>
      <c r="AL6" s="77"/>
      <c r="AM6" s="21"/>
      <c r="AN6" s="21"/>
      <c r="AO6" s="21"/>
      <c r="AP6" s="21">
        <v>10</v>
      </c>
      <c r="AQ6" s="21"/>
      <c r="AR6" s="21"/>
      <c r="AS6" s="77"/>
      <c r="AT6" s="21">
        <v>2</v>
      </c>
      <c r="AU6" s="21">
        <v>13</v>
      </c>
      <c r="AV6" s="21"/>
      <c r="AW6" s="21">
        <v>5</v>
      </c>
      <c r="AX6" s="21">
        <v>6</v>
      </c>
      <c r="AY6" s="21"/>
      <c r="AZ6" s="77"/>
      <c r="BA6" s="21"/>
      <c r="BB6" s="21"/>
      <c r="BC6" s="21"/>
      <c r="BD6" s="144">
        <f t="shared" si="6"/>
        <v>36</v>
      </c>
      <c r="BE6" s="94">
        <f t="shared" si="7"/>
        <v>0</v>
      </c>
      <c r="BF6" s="26"/>
      <c r="BH6" s="141" t="s">
        <v>2304</v>
      </c>
      <c r="BI6" s="141" t="s">
        <v>2396</v>
      </c>
      <c r="BJ6" s="141" t="s">
        <v>2386</v>
      </c>
      <c r="BK6" s="141" t="s">
        <v>2387</v>
      </c>
      <c r="BL6" s="141"/>
      <c r="BM6" s="141"/>
      <c r="BN6" s="141"/>
      <c r="BO6" s="141"/>
      <c r="BP6" s="141" t="s">
        <v>2388</v>
      </c>
      <c r="BQ6" s="141" t="s">
        <v>2389</v>
      </c>
      <c r="BR6" s="141"/>
      <c r="BS6" s="141"/>
      <c r="BT6" s="141" t="s">
        <v>2390</v>
      </c>
      <c r="BU6" s="141" t="s">
        <v>2391</v>
      </c>
      <c r="BV6" s="141" t="s">
        <v>2392</v>
      </c>
      <c r="BW6" s="141" t="s">
        <v>2393</v>
      </c>
      <c r="BX6" s="141"/>
      <c r="BY6" s="141"/>
      <c r="BZ6" s="141" t="s">
        <v>2394</v>
      </c>
      <c r="CA6" s="141" t="s">
        <v>2420</v>
      </c>
      <c r="CB6" s="142"/>
      <c r="CC6" s="142"/>
      <c r="CD6" s="142"/>
      <c r="CE6" s="142"/>
      <c r="CF6" s="142"/>
      <c r="CG6" s="142"/>
      <c r="CH6" s="142"/>
      <c r="CI6" s="142"/>
      <c r="CJ6" s="142"/>
      <c r="CK6" s="142"/>
      <c r="CL6" s="142"/>
      <c r="CM6" s="142"/>
      <c r="CN6" s="142"/>
      <c r="CO6" s="142"/>
    </row>
    <row r="7" spans="1:93" s="7" customFormat="1" x14ac:dyDescent="0.25">
      <c r="A7" s="19" t="s">
        <v>2298</v>
      </c>
      <c r="B7" s="19" t="s">
        <v>2299</v>
      </c>
      <c r="C7" s="19">
        <v>96200761</v>
      </c>
      <c r="D7" s="20" t="s">
        <v>2305</v>
      </c>
      <c r="E7" s="21" t="s">
        <v>2321</v>
      </c>
      <c r="F7" s="21" t="s">
        <v>2320</v>
      </c>
      <c r="G7" s="21" t="s">
        <v>260</v>
      </c>
      <c r="H7" s="21" t="s">
        <v>2322</v>
      </c>
      <c r="I7" s="21" t="s">
        <v>254</v>
      </c>
      <c r="J7" s="21" t="s">
        <v>255</v>
      </c>
      <c r="K7" s="21" t="s">
        <v>2324</v>
      </c>
      <c r="L7" s="21" t="s">
        <v>239</v>
      </c>
      <c r="M7" s="19" t="s">
        <v>2343</v>
      </c>
      <c r="N7" s="19"/>
      <c r="O7" s="35">
        <v>2</v>
      </c>
      <c r="P7" s="35">
        <v>0</v>
      </c>
      <c r="Q7" s="32"/>
      <c r="R7" s="22">
        <v>1</v>
      </c>
      <c r="S7" s="22">
        <v>1</v>
      </c>
      <c r="T7" s="22">
        <v>0</v>
      </c>
      <c r="U7" s="22">
        <v>0</v>
      </c>
      <c r="V7" s="60">
        <f t="shared" si="5"/>
        <v>2</v>
      </c>
      <c r="W7" s="86"/>
      <c r="X7" s="86"/>
      <c r="Y7" s="86">
        <v>2</v>
      </c>
      <c r="Z7" s="86"/>
      <c r="AA7" s="86">
        <v>2</v>
      </c>
      <c r="AB7" s="21"/>
      <c r="AC7" s="77"/>
      <c r="AD7" s="21"/>
      <c r="AE7" s="77"/>
      <c r="AF7" s="21"/>
      <c r="AG7" s="21"/>
      <c r="AH7" s="21"/>
      <c r="AI7" s="21"/>
      <c r="AJ7" s="21"/>
      <c r="AK7" s="21"/>
      <c r="AL7" s="77"/>
      <c r="AM7" s="21"/>
      <c r="AN7" s="21"/>
      <c r="AO7" s="21"/>
      <c r="AP7" s="21"/>
      <c r="AQ7" s="145">
        <v>2</v>
      </c>
      <c r="AR7" s="145"/>
      <c r="AS7" s="77"/>
      <c r="AT7" s="21"/>
      <c r="AU7" s="21"/>
      <c r="AV7" s="21"/>
      <c r="AW7" s="21"/>
      <c r="AX7" s="21"/>
      <c r="AY7" s="21"/>
      <c r="AZ7" s="77"/>
      <c r="BA7" s="21"/>
      <c r="BB7" s="21"/>
      <c r="BC7" s="21"/>
      <c r="BD7" s="144">
        <f t="shared" si="6"/>
        <v>2</v>
      </c>
      <c r="BE7" s="94">
        <f t="shared" si="7"/>
        <v>0</v>
      </c>
      <c r="BF7" s="26"/>
      <c r="BH7" s="141" t="s">
        <v>2305</v>
      </c>
      <c r="BI7" s="141" t="s">
        <v>2421</v>
      </c>
      <c r="BJ7" s="141" t="s">
        <v>2386</v>
      </c>
      <c r="BK7" s="141" t="s">
        <v>2387</v>
      </c>
      <c r="BL7" s="141"/>
      <c r="BM7" s="141"/>
      <c r="BN7" s="141"/>
      <c r="BO7" s="141"/>
      <c r="BP7" s="141" t="s">
        <v>2388</v>
      </c>
      <c r="BQ7" s="141" t="s">
        <v>2389</v>
      </c>
      <c r="BR7" s="141"/>
      <c r="BS7" s="141"/>
      <c r="BT7" s="141" t="s">
        <v>2390</v>
      </c>
      <c r="BU7" s="141" t="s">
        <v>2391</v>
      </c>
      <c r="BV7" s="141" t="s">
        <v>2422</v>
      </c>
      <c r="BW7" s="141" t="s">
        <v>2423</v>
      </c>
      <c r="BX7" s="141"/>
      <c r="BY7" s="141"/>
      <c r="BZ7" s="141" t="s">
        <v>2394</v>
      </c>
      <c r="CA7" s="141" t="s">
        <v>2397</v>
      </c>
      <c r="CB7" s="142"/>
      <c r="CC7" s="142"/>
      <c r="CD7" s="142"/>
      <c r="CE7" s="142"/>
      <c r="CF7" s="142"/>
      <c r="CG7" s="142"/>
      <c r="CH7" s="142"/>
      <c r="CI7" s="142"/>
      <c r="CJ7" s="142"/>
      <c r="CK7" s="142"/>
      <c r="CL7" s="142"/>
      <c r="CM7" s="142"/>
      <c r="CN7" s="142"/>
      <c r="CO7" s="142"/>
    </row>
    <row r="8" spans="1:93" s="7" customFormat="1" x14ac:dyDescent="0.25">
      <c r="A8" s="19" t="s">
        <v>2298</v>
      </c>
      <c r="B8" s="19" t="s">
        <v>2299</v>
      </c>
      <c r="C8" s="19">
        <v>96209886</v>
      </c>
      <c r="D8" s="20">
        <v>96209886</v>
      </c>
      <c r="E8" s="21" t="s">
        <v>2321</v>
      </c>
      <c r="F8" s="21" t="s">
        <v>2320</v>
      </c>
      <c r="G8" s="21" t="s">
        <v>260</v>
      </c>
      <c r="H8" s="21" t="s">
        <v>234</v>
      </c>
      <c r="I8" s="21" t="s">
        <v>254</v>
      </c>
      <c r="J8" s="21" t="s">
        <v>2070</v>
      </c>
      <c r="K8" s="21" t="s">
        <v>2324</v>
      </c>
      <c r="L8" s="21" t="s">
        <v>2068</v>
      </c>
      <c r="M8" s="19" t="s">
        <v>2344</v>
      </c>
      <c r="N8" s="19"/>
      <c r="O8" s="35">
        <v>5</v>
      </c>
      <c r="P8" s="35">
        <v>2</v>
      </c>
      <c r="Q8" s="32"/>
      <c r="R8" s="22">
        <v>5</v>
      </c>
      <c r="S8" s="22">
        <v>2</v>
      </c>
      <c r="T8" s="22">
        <v>3</v>
      </c>
      <c r="U8" s="22">
        <v>0</v>
      </c>
      <c r="V8" s="60">
        <f t="shared" si="5"/>
        <v>10</v>
      </c>
      <c r="W8" s="86"/>
      <c r="X8" s="86"/>
      <c r="Y8" s="86">
        <v>10</v>
      </c>
      <c r="Z8" s="86"/>
      <c r="AA8" s="86">
        <v>10</v>
      </c>
      <c r="AB8" s="21"/>
      <c r="AC8" s="77"/>
      <c r="AD8" s="21"/>
      <c r="AE8" s="77"/>
      <c r="AF8" s="21"/>
      <c r="AG8" s="21"/>
      <c r="AH8" s="21"/>
      <c r="AI8" s="21"/>
      <c r="AJ8" s="21"/>
      <c r="AK8" s="21"/>
      <c r="AL8" s="77"/>
      <c r="AM8" s="21"/>
      <c r="AN8" s="21"/>
      <c r="AO8" s="21"/>
      <c r="AP8" s="21"/>
      <c r="AQ8" s="21"/>
      <c r="AR8" s="21"/>
      <c r="AS8" s="77"/>
      <c r="AT8" s="21"/>
      <c r="AU8" s="21"/>
      <c r="AV8" s="21"/>
      <c r="AW8" s="21"/>
      <c r="AX8" s="21"/>
      <c r="AY8" s="21"/>
      <c r="AZ8" s="77"/>
      <c r="BA8" s="21"/>
      <c r="BB8" s="21"/>
      <c r="BC8" s="21">
        <v>5</v>
      </c>
      <c r="BD8" s="144">
        <f t="shared" si="6"/>
        <v>5</v>
      </c>
      <c r="BE8" s="94">
        <f t="shared" si="7"/>
        <v>5</v>
      </c>
      <c r="BF8" s="26"/>
      <c r="BH8" s="141">
        <v>96209886</v>
      </c>
      <c r="BI8" s="141" t="s">
        <v>2344</v>
      </c>
      <c r="BJ8" s="141" t="s">
        <v>2386</v>
      </c>
      <c r="BK8" s="141" t="s">
        <v>2387</v>
      </c>
      <c r="BL8" s="141"/>
      <c r="BM8" s="141"/>
      <c r="BN8" s="141"/>
      <c r="BO8" s="141"/>
      <c r="BP8" s="141" t="s">
        <v>2388</v>
      </c>
      <c r="BQ8" s="141" t="s">
        <v>2389</v>
      </c>
      <c r="BR8" s="141"/>
      <c r="BS8" s="141"/>
      <c r="BT8" s="141" t="s">
        <v>2390</v>
      </c>
      <c r="BU8" s="141" t="s">
        <v>2391</v>
      </c>
      <c r="BV8" s="141" t="s">
        <v>2422</v>
      </c>
      <c r="BW8" s="141" t="s">
        <v>2423</v>
      </c>
      <c r="BX8" s="141"/>
      <c r="BY8" s="141"/>
      <c r="BZ8" s="141" t="s">
        <v>2424</v>
      </c>
      <c r="CA8" s="141" t="s">
        <v>2395</v>
      </c>
      <c r="CB8" s="142"/>
      <c r="CC8" s="142"/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  <c r="CO8" s="142"/>
    </row>
    <row r="9" spans="1:93" s="7" customFormat="1" x14ac:dyDescent="0.25">
      <c r="A9" s="19" t="s">
        <v>2298</v>
      </c>
      <c r="B9" s="19" t="s">
        <v>2299</v>
      </c>
      <c r="C9" s="19">
        <v>96102857</v>
      </c>
      <c r="D9" s="20">
        <v>96102857</v>
      </c>
      <c r="E9" s="21" t="s">
        <v>2321</v>
      </c>
      <c r="F9" s="21" t="s">
        <v>2318</v>
      </c>
      <c r="G9" s="21" t="s">
        <v>260</v>
      </c>
      <c r="H9" s="21" t="s">
        <v>234</v>
      </c>
      <c r="I9" s="21" t="s">
        <v>254</v>
      </c>
      <c r="J9" s="21" t="s">
        <v>2070</v>
      </c>
      <c r="K9" s="21" t="s">
        <v>2324</v>
      </c>
      <c r="L9" s="21" t="s">
        <v>2068</v>
      </c>
      <c r="M9" s="19" t="s">
        <v>2345</v>
      </c>
      <c r="N9" s="19"/>
      <c r="O9" s="35">
        <v>100</v>
      </c>
      <c r="P9" s="35">
        <v>20</v>
      </c>
      <c r="Q9" s="32"/>
      <c r="R9" s="22">
        <v>0</v>
      </c>
      <c r="S9" s="22">
        <v>10</v>
      </c>
      <c r="T9" s="22">
        <v>20</v>
      </c>
      <c r="U9" s="22">
        <v>20</v>
      </c>
      <c r="V9" s="60">
        <f t="shared" si="5"/>
        <v>50</v>
      </c>
      <c r="W9" s="86"/>
      <c r="X9" s="86"/>
      <c r="Y9" s="86">
        <v>5</v>
      </c>
      <c r="Z9" s="86"/>
      <c r="AA9" s="86">
        <v>5</v>
      </c>
      <c r="AB9" s="21"/>
      <c r="AC9" s="77"/>
      <c r="AD9" s="21"/>
      <c r="AE9" s="77"/>
      <c r="AF9" s="21"/>
      <c r="AG9" s="21"/>
      <c r="AH9" s="21"/>
      <c r="AI9" s="21"/>
      <c r="AJ9" s="21"/>
      <c r="AK9" s="21"/>
      <c r="AL9" s="77"/>
      <c r="AM9" s="21"/>
      <c r="AN9" s="21"/>
      <c r="AO9" s="21"/>
      <c r="AP9" s="21"/>
      <c r="AQ9" s="21"/>
      <c r="AR9" s="21"/>
      <c r="AS9" s="77"/>
      <c r="AT9" s="21"/>
      <c r="AU9" s="21"/>
      <c r="AV9" s="21"/>
      <c r="AW9" s="21"/>
      <c r="AX9" s="21">
        <v>1</v>
      </c>
      <c r="AY9" s="21">
        <v>2</v>
      </c>
      <c r="AZ9" s="77"/>
      <c r="BA9" s="21">
        <v>2</v>
      </c>
      <c r="BB9" s="21"/>
      <c r="BC9" s="21"/>
      <c r="BD9" s="144">
        <f t="shared" si="6"/>
        <v>5</v>
      </c>
      <c r="BE9" s="94">
        <f t="shared" si="7"/>
        <v>0</v>
      </c>
      <c r="BF9" s="26"/>
      <c r="BH9" s="141">
        <v>96102857</v>
      </c>
      <c r="BI9" s="141" t="s">
        <v>2345</v>
      </c>
      <c r="BJ9" s="141" t="s">
        <v>2386</v>
      </c>
      <c r="BK9" s="141" t="s">
        <v>2387</v>
      </c>
      <c r="BL9" s="141"/>
      <c r="BM9" s="141"/>
      <c r="BN9" s="141"/>
      <c r="BO9" s="141"/>
      <c r="BP9" s="141" t="s">
        <v>2388</v>
      </c>
      <c r="BQ9" s="141" t="s">
        <v>2389</v>
      </c>
      <c r="BR9" s="141"/>
      <c r="BS9" s="141"/>
      <c r="BT9" s="141" t="s">
        <v>2390</v>
      </c>
      <c r="BU9" s="141" t="s">
        <v>2391</v>
      </c>
      <c r="BV9" s="141" t="s">
        <v>2422</v>
      </c>
      <c r="BW9" s="141" t="s">
        <v>2423</v>
      </c>
      <c r="BX9" s="141"/>
      <c r="BY9" s="141"/>
      <c r="BZ9" s="141" t="s">
        <v>2424</v>
      </c>
      <c r="CA9" s="141" t="s">
        <v>2395</v>
      </c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142"/>
    </row>
    <row r="10" spans="1:93" s="7" customFormat="1" x14ac:dyDescent="0.25">
      <c r="A10" s="19" t="s">
        <v>2298</v>
      </c>
      <c r="B10" s="19" t="s">
        <v>2299</v>
      </c>
      <c r="C10" s="19">
        <v>96102177</v>
      </c>
      <c r="D10" s="20">
        <v>96102177</v>
      </c>
      <c r="E10" s="21" t="s">
        <v>2317</v>
      </c>
      <c r="F10" s="21" t="s">
        <v>2318</v>
      </c>
      <c r="G10" s="21" t="s">
        <v>332</v>
      </c>
      <c r="H10" s="21" t="s">
        <v>234</v>
      </c>
      <c r="I10" s="21" t="s">
        <v>254</v>
      </c>
      <c r="J10" s="21" t="s">
        <v>2070</v>
      </c>
      <c r="K10" s="21" t="s">
        <v>2324</v>
      </c>
      <c r="L10" s="21" t="s">
        <v>2068</v>
      </c>
      <c r="M10" s="19" t="s">
        <v>2350</v>
      </c>
      <c r="N10" s="19"/>
      <c r="O10" s="35">
        <v>5</v>
      </c>
      <c r="P10" s="35">
        <v>0</v>
      </c>
      <c r="Q10" s="32"/>
      <c r="R10" s="22">
        <v>5</v>
      </c>
      <c r="S10" s="22">
        <v>5</v>
      </c>
      <c r="T10" s="22">
        <v>5</v>
      </c>
      <c r="U10" s="22">
        <v>0</v>
      </c>
      <c r="V10" s="60">
        <f t="shared" si="5"/>
        <v>15</v>
      </c>
      <c r="W10" s="86"/>
      <c r="X10" s="86"/>
      <c r="Y10" s="86"/>
      <c r="Z10" s="86"/>
      <c r="AA10" s="86">
        <v>0</v>
      </c>
      <c r="AB10" s="21"/>
      <c r="AC10" s="77"/>
      <c r="AD10" s="21"/>
      <c r="AE10" s="77"/>
      <c r="AF10" s="21"/>
      <c r="AG10" s="21"/>
      <c r="AH10" s="21"/>
      <c r="AI10" s="21"/>
      <c r="AJ10" s="21"/>
      <c r="AK10" s="21"/>
      <c r="AL10" s="77"/>
      <c r="AM10" s="21"/>
      <c r="AN10" s="21"/>
      <c r="AO10" s="21"/>
      <c r="AP10" s="21"/>
      <c r="AQ10" s="21"/>
      <c r="AR10" s="21"/>
      <c r="AS10" s="77"/>
      <c r="AT10" s="21"/>
      <c r="AU10" s="21"/>
      <c r="AV10" s="21"/>
      <c r="AW10" s="21"/>
      <c r="AX10" s="21"/>
      <c r="AY10" s="21"/>
      <c r="AZ10" s="77"/>
      <c r="BA10" s="21"/>
      <c r="BB10" s="21"/>
      <c r="BC10" s="21"/>
      <c r="BD10" s="144">
        <f t="shared" si="6"/>
        <v>0</v>
      </c>
      <c r="BE10" s="94">
        <f t="shared" si="7"/>
        <v>0</v>
      </c>
      <c r="BF10" s="26"/>
      <c r="BH10" s="141">
        <v>96102177</v>
      </c>
      <c r="BI10" s="141" t="s">
        <v>2350</v>
      </c>
      <c r="BJ10" s="141" t="s">
        <v>2386</v>
      </c>
      <c r="BK10" s="141" t="s">
        <v>2387</v>
      </c>
      <c r="BL10" s="141"/>
      <c r="BM10" s="141"/>
      <c r="BN10" s="141"/>
      <c r="BO10" s="141"/>
      <c r="BP10" s="141" t="s">
        <v>2388</v>
      </c>
      <c r="BQ10" s="141" t="s">
        <v>2389</v>
      </c>
      <c r="BR10" s="141"/>
      <c r="BS10" s="141"/>
      <c r="BT10" s="141" t="s">
        <v>2390</v>
      </c>
      <c r="BU10" s="141" t="s">
        <v>2391</v>
      </c>
      <c r="BV10" s="141" t="s">
        <v>2392</v>
      </c>
      <c r="BW10" s="141" t="s">
        <v>2393</v>
      </c>
      <c r="BX10" s="141"/>
      <c r="BY10" s="141"/>
      <c r="BZ10" s="141" t="s">
        <v>2425</v>
      </c>
      <c r="CA10" s="141" t="s">
        <v>2395</v>
      </c>
      <c r="CB10" s="142"/>
      <c r="CC10" s="142"/>
      <c r="CD10" s="142"/>
      <c r="CE10" s="142"/>
      <c r="CF10" s="142"/>
      <c r="CG10" s="142"/>
      <c r="CH10" s="142"/>
      <c r="CI10" s="142"/>
      <c r="CJ10" s="142"/>
      <c r="CK10" s="142"/>
      <c r="CL10" s="142"/>
      <c r="CM10" s="142"/>
      <c r="CN10" s="142"/>
      <c r="CO10" s="142"/>
    </row>
    <row r="11" spans="1:93" s="7" customFormat="1" x14ac:dyDescent="0.25">
      <c r="A11" s="19" t="s">
        <v>2298</v>
      </c>
      <c r="B11" s="19" t="s">
        <v>2299</v>
      </c>
      <c r="C11" s="19">
        <v>96200622</v>
      </c>
      <c r="D11" s="20">
        <v>96200622</v>
      </c>
      <c r="E11" s="21" t="s">
        <v>2321</v>
      </c>
      <c r="F11" s="21" t="s">
        <v>2320</v>
      </c>
      <c r="G11" s="21" t="s">
        <v>260</v>
      </c>
      <c r="H11" s="21" t="s">
        <v>234</v>
      </c>
      <c r="I11" s="21" t="s">
        <v>254</v>
      </c>
      <c r="J11" s="21" t="s">
        <v>2070</v>
      </c>
      <c r="K11" s="21" t="s">
        <v>2324</v>
      </c>
      <c r="L11" s="21" t="s">
        <v>2068</v>
      </c>
      <c r="M11" s="19" t="s">
        <v>2368</v>
      </c>
      <c r="N11" s="19"/>
      <c r="O11" s="35">
        <v>1</v>
      </c>
      <c r="P11" s="35">
        <v>0</v>
      </c>
      <c r="Q11" s="32"/>
      <c r="R11" s="22">
        <v>1</v>
      </c>
      <c r="S11" s="22">
        <v>1</v>
      </c>
      <c r="T11" s="22">
        <v>0</v>
      </c>
      <c r="U11" s="22">
        <v>0</v>
      </c>
      <c r="V11" s="60">
        <f t="shared" si="5"/>
        <v>2</v>
      </c>
      <c r="W11" s="86"/>
      <c r="X11" s="86"/>
      <c r="Y11" s="86"/>
      <c r="Z11" s="86"/>
      <c r="AA11" s="86">
        <v>0</v>
      </c>
      <c r="AB11" s="21"/>
      <c r="AC11" s="77"/>
      <c r="AD11" s="21"/>
      <c r="AE11" s="77"/>
      <c r="AF11" s="21"/>
      <c r="AG11" s="21"/>
      <c r="AH11" s="21"/>
      <c r="AI11" s="21"/>
      <c r="AJ11" s="21"/>
      <c r="AK11" s="21"/>
      <c r="AL11" s="77"/>
      <c r="AM11" s="21"/>
      <c r="AN11" s="21"/>
      <c r="AO11" s="21"/>
      <c r="AP11" s="21"/>
      <c r="AQ11" s="21"/>
      <c r="AR11" s="21"/>
      <c r="AS11" s="77"/>
      <c r="AT11" s="21"/>
      <c r="AU11" s="21"/>
      <c r="AV11" s="21"/>
      <c r="AW11" s="21"/>
      <c r="AX11" s="21"/>
      <c r="AY11" s="21"/>
      <c r="AZ11" s="77"/>
      <c r="BA11" s="21"/>
      <c r="BB11" s="21"/>
      <c r="BC11" s="21"/>
      <c r="BD11" s="144">
        <f t="shared" si="6"/>
        <v>0</v>
      </c>
      <c r="BE11" s="94">
        <f t="shared" si="7"/>
        <v>0</v>
      </c>
      <c r="BF11" s="26"/>
      <c r="BH11" s="141">
        <v>96200622</v>
      </c>
      <c r="BI11" s="141" t="s">
        <v>2368</v>
      </c>
      <c r="BJ11" s="141" t="s">
        <v>2386</v>
      </c>
      <c r="BK11" s="141" t="s">
        <v>2387</v>
      </c>
      <c r="BL11" s="141"/>
      <c r="BM11" s="141"/>
      <c r="BN11" s="141"/>
      <c r="BO11" s="141"/>
      <c r="BP11" s="141" t="s">
        <v>2388</v>
      </c>
      <c r="BQ11" s="141" t="s">
        <v>2389</v>
      </c>
      <c r="BR11" s="141"/>
      <c r="BS11" s="141"/>
      <c r="BT11" s="141" t="s">
        <v>2390</v>
      </c>
      <c r="BU11" s="141" t="s">
        <v>2391</v>
      </c>
      <c r="BV11" s="141" t="s">
        <v>2422</v>
      </c>
      <c r="BW11" s="141" t="s">
        <v>2423</v>
      </c>
      <c r="BX11" s="141"/>
      <c r="BY11" s="141"/>
      <c r="BZ11" s="141" t="s">
        <v>2394</v>
      </c>
      <c r="CA11" s="141" t="s">
        <v>2395</v>
      </c>
      <c r="CB11" s="142"/>
      <c r="CC11" s="142" t="s">
        <v>2394</v>
      </c>
      <c r="CD11" s="142" t="s">
        <v>2395</v>
      </c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</row>
    <row r="12" spans="1:93" s="7" customFormat="1" x14ac:dyDescent="0.25">
      <c r="A12" s="19" t="s">
        <v>2298</v>
      </c>
      <c r="B12" s="19" t="s">
        <v>2299</v>
      </c>
      <c r="C12" s="19">
        <v>96200762</v>
      </c>
      <c r="D12" s="20">
        <v>96200762</v>
      </c>
      <c r="E12" s="21" t="s">
        <v>2321</v>
      </c>
      <c r="F12" s="21" t="s">
        <v>2320</v>
      </c>
      <c r="G12" s="21" t="s">
        <v>260</v>
      </c>
      <c r="H12" s="21" t="s">
        <v>2322</v>
      </c>
      <c r="I12" s="21" t="s">
        <v>254</v>
      </c>
      <c r="J12" s="21" t="s">
        <v>2070</v>
      </c>
      <c r="K12" s="21" t="s">
        <v>2324</v>
      </c>
      <c r="L12" s="21" t="s">
        <v>2068</v>
      </c>
      <c r="M12" s="19" t="s">
        <v>2369</v>
      </c>
      <c r="N12" s="19"/>
      <c r="O12" s="35">
        <v>2</v>
      </c>
      <c r="P12" s="35">
        <v>0</v>
      </c>
      <c r="Q12" s="32"/>
      <c r="R12" s="22">
        <v>1</v>
      </c>
      <c r="S12" s="22">
        <v>0</v>
      </c>
      <c r="T12" s="22">
        <v>1</v>
      </c>
      <c r="U12" s="22">
        <v>0</v>
      </c>
      <c r="V12" s="60">
        <f t="shared" si="5"/>
        <v>2</v>
      </c>
      <c r="W12" s="86"/>
      <c r="X12" s="86"/>
      <c r="Y12" s="86"/>
      <c r="Z12" s="86"/>
      <c r="AA12" s="86">
        <v>0</v>
      </c>
      <c r="AB12" s="21"/>
      <c r="AC12" s="77"/>
      <c r="AD12" s="21"/>
      <c r="AE12" s="77"/>
      <c r="AF12" s="21"/>
      <c r="AG12" s="21"/>
      <c r="AH12" s="21"/>
      <c r="AI12" s="21"/>
      <c r="AJ12" s="21"/>
      <c r="AK12" s="21"/>
      <c r="AL12" s="77"/>
      <c r="AM12" s="21"/>
      <c r="AN12" s="21"/>
      <c r="AO12" s="21"/>
      <c r="AP12" s="21"/>
      <c r="AQ12" s="21"/>
      <c r="AR12" s="21"/>
      <c r="AS12" s="77"/>
      <c r="AT12" s="21"/>
      <c r="AU12" s="21"/>
      <c r="AV12" s="21"/>
      <c r="AW12" s="21"/>
      <c r="AX12" s="21"/>
      <c r="AY12" s="21"/>
      <c r="AZ12" s="77"/>
      <c r="BA12" s="21"/>
      <c r="BB12" s="21"/>
      <c r="BC12" s="21"/>
      <c r="BD12" s="144">
        <f t="shared" si="6"/>
        <v>0</v>
      </c>
      <c r="BE12" s="94">
        <f t="shared" si="7"/>
        <v>0</v>
      </c>
      <c r="BF12" s="26"/>
      <c r="BH12" s="141">
        <v>96200762</v>
      </c>
      <c r="BI12" s="141" t="s">
        <v>2369</v>
      </c>
      <c r="BJ12" s="141" t="s">
        <v>2386</v>
      </c>
      <c r="BK12" s="141" t="s">
        <v>2387</v>
      </c>
      <c r="BL12" s="141"/>
      <c r="BM12" s="141"/>
      <c r="BN12" s="141"/>
      <c r="BO12" s="141"/>
      <c r="BP12" s="141" t="s">
        <v>2388</v>
      </c>
      <c r="BQ12" s="141" t="s">
        <v>2389</v>
      </c>
      <c r="BR12" s="141"/>
      <c r="BS12" s="141"/>
      <c r="BT12" s="141" t="s">
        <v>2390</v>
      </c>
      <c r="BU12" s="141" t="s">
        <v>2391</v>
      </c>
      <c r="BV12" s="141" t="s">
        <v>2422</v>
      </c>
      <c r="BW12" s="141" t="s">
        <v>2423</v>
      </c>
      <c r="BX12" s="141"/>
      <c r="BY12" s="141"/>
      <c r="BZ12" s="141" t="s">
        <v>2394</v>
      </c>
      <c r="CA12" s="141" t="s">
        <v>2395</v>
      </c>
      <c r="CB12" s="142"/>
      <c r="CC12" s="142" t="s">
        <v>2394</v>
      </c>
      <c r="CD12" s="142" t="s">
        <v>2395</v>
      </c>
      <c r="CE12" s="142"/>
      <c r="CF12" s="142"/>
      <c r="CG12" s="142"/>
      <c r="CH12" s="142"/>
      <c r="CI12" s="142"/>
      <c r="CJ12" s="142"/>
      <c r="CK12" s="142"/>
      <c r="CL12" s="142"/>
      <c r="CM12" s="142"/>
      <c r="CN12" s="142"/>
      <c r="CO12" s="142"/>
    </row>
    <row r="13" spans="1:93" s="7" customFormat="1" x14ac:dyDescent="0.25">
      <c r="A13" s="19" t="s">
        <v>2298</v>
      </c>
      <c r="B13" s="19" t="s">
        <v>2299</v>
      </c>
      <c r="C13" s="19">
        <v>96259887</v>
      </c>
      <c r="D13" s="20" t="s">
        <v>2305</v>
      </c>
      <c r="E13" s="21" t="s">
        <v>2321</v>
      </c>
      <c r="F13" s="21" t="s">
        <v>2320</v>
      </c>
      <c r="G13" s="21" t="s">
        <v>260</v>
      </c>
      <c r="H13" s="21" t="s">
        <v>234</v>
      </c>
      <c r="I13" s="21" t="s">
        <v>254</v>
      </c>
      <c r="J13" s="21" t="s">
        <v>255</v>
      </c>
      <c r="K13" s="21" t="s">
        <v>2324</v>
      </c>
      <c r="L13" s="21" t="s">
        <v>239</v>
      </c>
      <c r="M13" s="19" t="s">
        <v>2375</v>
      </c>
      <c r="N13" s="19"/>
      <c r="O13" s="35">
        <v>2</v>
      </c>
      <c r="P13" s="35">
        <v>1</v>
      </c>
      <c r="Q13" s="32"/>
      <c r="R13" s="22">
        <v>2</v>
      </c>
      <c r="S13" s="22">
        <v>1</v>
      </c>
      <c r="T13" s="22">
        <v>1</v>
      </c>
      <c r="U13" s="22">
        <v>1</v>
      </c>
      <c r="V13" s="60">
        <f t="shared" si="5"/>
        <v>5</v>
      </c>
      <c r="W13" s="86"/>
      <c r="X13" s="86"/>
      <c r="Y13" s="86">
        <v>5</v>
      </c>
      <c r="Z13" s="86"/>
      <c r="AA13" s="86">
        <v>5</v>
      </c>
      <c r="AB13" s="21"/>
      <c r="AC13" s="77"/>
      <c r="AD13" s="21"/>
      <c r="AE13" s="77"/>
      <c r="AF13" s="21"/>
      <c r="AG13" s="21"/>
      <c r="AH13" s="21"/>
      <c r="AI13" s="21"/>
      <c r="AJ13" s="21"/>
      <c r="AK13" s="21"/>
      <c r="AL13" s="77"/>
      <c r="AM13" s="21"/>
      <c r="AN13" s="21"/>
      <c r="AO13" s="21"/>
      <c r="AP13" s="21"/>
      <c r="AQ13" s="145">
        <v>2</v>
      </c>
      <c r="AR13" s="145">
        <v>3</v>
      </c>
      <c r="AS13" s="77"/>
      <c r="AT13" s="21"/>
      <c r="AU13" s="21"/>
      <c r="AV13" s="21"/>
      <c r="AW13" s="21"/>
      <c r="AX13" s="21"/>
      <c r="AY13" s="21"/>
      <c r="AZ13" s="77"/>
      <c r="BA13" s="21"/>
      <c r="BB13" s="21"/>
      <c r="BC13" s="21"/>
      <c r="BD13" s="144">
        <f t="shared" si="6"/>
        <v>5</v>
      </c>
      <c r="BE13" s="94">
        <f t="shared" si="7"/>
        <v>0</v>
      </c>
      <c r="BF13" s="26"/>
      <c r="BH13" s="141" t="s">
        <v>2305</v>
      </c>
      <c r="BI13" s="141" t="s">
        <v>2421</v>
      </c>
      <c r="BJ13" s="141" t="s">
        <v>2386</v>
      </c>
      <c r="BK13" s="141" t="s">
        <v>2387</v>
      </c>
      <c r="BL13" s="141"/>
      <c r="BM13" s="141"/>
      <c r="BN13" s="141"/>
      <c r="BO13" s="141"/>
      <c r="BP13" s="141" t="s">
        <v>2388</v>
      </c>
      <c r="BQ13" s="141" t="s">
        <v>2389</v>
      </c>
      <c r="BR13" s="141"/>
      <c r="BS13" s="141"/>
      <c r="BT13" s="141" t="s">
        <v>2390</v>
      </c>
      <c r="BU13" s="141" t="s">
        <v>2391</v>
      </c>
      <c r="BV13" s="141" t="s">
        <v>2422</v>
      </c>
      <c r="BW13" s="141" t="s">
        <v>2423</v>
      </c>
      <c r="BX13" s="141"/>
      <c r="BY13" s="141"/>
      <c r="BZ13" s="141" t="s">
        <v>2394</v>
      </c>
      <c r="CA13" s="141" t="s">
        <v>2397</v>
      </c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</row>
    <row r="14" spans="1:93" s="7" customFormat="1" x14ac:dyDescent="0.25">
      <c r="A14" s="19" t="s">
        <v>2298</v>
      </c>
      <c r="B14" s="19" t="s">
        <v>2299</v>
      </c>
      <c r="C14" s="19">
        <v>96109877</v>
      </c>
      <c r="D14" s="20" t="s">
        <v>2314</v>
      </c>
      <c r="E14" s="21" t="s">
        <v>2321</v>
      </c>
      <c r="F14" s="21" t="s">
        <v>2318</v>
      </c>
      <c r="G14" s="21" t="s">
        <v>332</v>
      </c>
      <c r="H14" s="21" t="s">
        <v>234</v>
      </c>
      <c r="I14" s="21" t="s">
        <v>254</v>
      </c>
      <c r="J14" s="21" t="s">
        <v>255</v>
      </c>
      <c r="K14" s="21" t="s">
        <v>2324</v>
      </c>
      <c r="L14" s="21" t="s">
        <v>239</v>
      </c>
      <c r="M14" s="51" t="s">
        <v>2376</v>
      </c>
      <c r="N14" s="19"/>
      <c r="O14" s="35">
        <v>2</v>
      </c>
      <c r="P14" s="35">
        <v>0</v>
      </c>
      <c r="Q14" s="32"/>
      <c r="R14" s="22">
        <v>1</v>
      </c>
      <c r="S14" s="22">
        <v>1</v>
      </c>
      <c r="T14" s="22">
        <v>1</v>
      </c>
      <c r="U14" s="22">
        <v>0</v>
      </c>
      <c r="V14" s="60">
        <f t="shared" si="5"/>
        <v>3</v>
      </c>
      <c r="W14" s="86"/>
      <c r="X14" s="86"/>
      <c r="Y14" s="86">
        <v>3</v>
      </c>
      <c r="Z14" s="86"/>
      <c r="AA14" s="86">
        <v>3</v>
      </c>
      <c r="AB14" s="21"/>
      <c r="AC14" s="77"/>
      <c r="AD14" s="21"/>
      <c r="AE14" s="77"/>
      <c r="AF14" s="21"/>
      <c r="AG14" s="21"/>
      <c r="AH14" s="21"/>
      <c r="AI14" s="21"/>
      <c r="AJ14" s="21"/>
      <c r="AK14" s="21"/>
      <c r="AL14" s="77"/>
      <c r="AM14" s="21"/>
      <c r="AN14" s="21"/>
      <c r="AO14" s="21"/>
      <c r="AP14" s="21"/>
      <c r="AQ14" s="145">
        <v>1</v>
      </c>
      <c r="AR14" s="145">
        <v>2</v>
      </c>
      <c r="AS14" s="77"/>
      <c r="AT14" s="21"/>
      <c r="AU14" s="21"/>
      <c r="AV14" s="21"/>
      <c r="AW14" s="21"/>
      <c r="AX14" s="21"/>
      <c r="AY14" s="21"/>
      <c r="AZ14" s="77"/>
      <c r="BA14" s="21"/>
      <c r="BB14" s="21"/>
      <c r="BC14" s="21"/>
      <c r="BD14" s="144">
        <f t="shared" si="6"/>
        <v>3</v>
      </c>
      <c r="BE14" s="94">
        <f t="shared" si="7"/>
        <v>0</v>
      </c>
      <c r="BF14" s="26"/>
      <c r="BH14" s="141" t="s">
        <v>2314</v>
      </c>
      <c r="BI14" s="141" t="s">
        <v>2454</v>
      </c>
      <c r="BJ14" s="141" t="s">
        <v>2386</v>
      </c>
      <c r="BK14" s="141" t="s">
        <v>2387</v>
      </c>
      <c r="BL14" s="141"/>
      <c r="BM14" s="141"/>
      <c r="BN14" s="141"/>
      <c r="BO14" s="141"/>
      <c r="BP14" s="141" t="s">
        <v>2388</v>
      </c>
      <c r="BQ14" s="141" t="s">
        <v>2389</v>
      </c>
      <c r="BR14" s="141"/>
      <c r="BS14" s="141"/>
      <c r="BT14" s="141" t="s">
        <v>2390</v>
      </c>
      <c r="BU14" s="141" t="s">
        <v>2391</v>
      </c>
      <c r="BV14" s="141" t="s">
        <v>2392</v>
      </c>
      <c r="BW14" s="141" t="s">
        <v>2393</v>
      </c>
      <c r="BX14" s="141"/>
      <c r="BY14" s="141"/>
      <c r="BZ14" s="141" t="s">
        <v>2455</v>
      </c>
      <c r="CA14" s="141" t="s">
        <v>2397</v>
      </c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</row>
    <row r="15" spans="1:93" s="7" customFormat="1" x14ac:dyDescent="0.25">
      <c r="A15" s="19" t="s">
        <v>2298</v>
      </c>
      <c r="B15" s="19" t="s">
        <v>2299</v>
      </c>
      <c r="C15" s="19">
        <v>96104192</v>
      </c>
      <c r="D15" s="20">
        <v>96104192</v>
      </c>
      <c r="E15" s="21" t="s">
        <v>2321</v>
      </c>
      <c r="F15" s="21" t="s">
        <v>2318</v>
      </c>
      <c r="G15" s="21" t="s">
        <v>260</v>
      </c>
      <c r="H15" s="21" t="s">
        <v>234</v>
      </c>
      <c r="I15" s="21" t="s">
        <v>254</v>
      </c>
      <c r="J15" s="21" t="s">
        <v>2070</v>
      </c>
      <c r="K15" s="21" t="s">
        <v>2324</v>
      </c>
      <c r="L15" s="21" t="s">
        <v>2068</v>
      </c>
      <c r="M15" s="19" t="s">
        <v>2381</v>
      </c>
      <c r="N15" s="19"/>
      <c r="O15" s="35">
        <v>0</v>
      </c>
      <c r="P15" s="35">
        <v>0</v>
      </c>
      <c r="Q15" s="32"/>
      <c r="R15" s="22">
        <v>50</v>
      </c>
      <c r="S15" s="22">
        <v>0</v>
      </c>
      <c r="T15" s="22">
        <v>0</v>
      </c>
      <c r="U15" s="22">
        <v>0</v>
      </c>
      <c r="V15" s="60">
        <f t="shared" si="5"/>
        <v>50</v>
      </c>
      <c r="W15" s="86"/>
      <c r="X15" s="86"/>
      <c r="Y15" s="86"/>
      <c r="Z15" s="86">
        <v>40</v>
      </c>
      <c r="AA15" s="86">
        <v>40</v>
      </c>
      <c r="AB15" s="21"/>
      <c r="AC15" s="77"/>
      <c r="AD15" s="21"/>
      <c r="AE15" s="77"/>
      <c r="AF15" s="21"/>
      <c r="AG15" s="21"/>
      <c r="AH15" s="21"/>
      <c r="AI15" s="21"/>
      <c r="AJ15" s="21"/>
      <c r="AK15" s="21"/>
      <c r="AL15" s="77"/>
      <c r="AM15" s="21"/>
      <c r="AN15" s="21"/>
      <c r="AO15" s="21"/>
      <c r="AP15" s="21"/>
      <c r="AQ15" s="21"/>
      <c r="AR15" s="21"/>
      <c r="AS15" s="77"/>
      <c r="AT15" s="21"/>
      <c r="AU15" s="21"/>
      <c r="AV15" s="21"/>
      <c r="AW15" s="21"/>
      <c r="AX15" s="21">
        <v>10</v>
      </c>
      <c r="AY15" s="21">
        <v>10</v>
      </c>
      <c r="AZ15" s="77"/>
      <c r="BA15" s="21">
        <v>10</v>
      </c>
      <c r="BB15" s="21">
        <v>10</v>
      </c>
      <c r="BC15" s="21"/>
      <c r="BD15" s="144">
        <f t="shared" si="6"/>
        <v>40</v>
      </c>
      <c r="BE15" s="94">
        <f t="shared" si="7"/>
        <v>0</v>
      </c>
      <c r="BF15" s="26"/>
      <c r="BH15" s="141">
        <v>96104192</v>
      </c>
      <c r="BI15" s="141" t="s">
        <v>2381</v>
      </c>
      <c r="BJ15" s="141" t="s">
        <v>2386</v>
      </c>
      <c r="BK15" s="141" t="s">
        <v>2387</v>
      </c>
      <c r="BL15" s="141"/>
      <c r="BM15" s="141"/>
      <c r="BN15" s="141"/>
      <c r="BO15" s="141"/>
      <c r="BP15" s="141" t="s">
        <v>2388</v>
      </c>
      <c r="BQ15" s="141" t="s">
        <v>2389</v>
      </c>
      <c r="BR15" s="141"/>
      <c r="BS15" s="141"/>
      <c r="BT15" s="141" t="s">
        <v>2390</v>
      </c>
      <c r="BU15" s="141" t="s">
        <v>2391</v>
      </c>
      <c r="BV15" s="141" t="s">
        <v>2422</v>
      </c>
      <c r="BW15" s="141" t="s">
        <v>2423</v>
      </c>
      <c r="BX15" s="141"/>
      <c r="BY15" s="141"/>
      <c r="BZ15" s="141" t="s">
        <v>2455</v>
      </c>
      <c r="CA15" s="141" t="s">
        <v>2395</v>
      </c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</row>
    <row r="16" spans="1:93" s="7" customFormat="1" x14ac:dyDescent="0.25">
      <c r="A16" s="19" t="s">
        <v>2298</v>
      </c>
      <c r="B16" s="19" t="s">
        <v>2299</v>
      </c>
      <c r="C16" s="19">
        <v>96101846</v>
      </c>
      <c r="D16" s="20">
        <v>96101846</v>
      </c>
      <c r="E16" s="21" t="s">
        <v>2323</v>
      </c>
      <c r="F16" s="21" t="s">
        <v>2318</v>
      </c>
      <c r="G16" s="21" t="s">
        <v>332</v>
      </c>
      <c r="H16" s="21" t="s">
        <v>234</v>
      </c>
      <c r="I16" s="21" t="s">
        <v>254</v>
      </c>
      <c r="J16" s="21" t="s">
        <v>2070</v>
      </c>
      <c r="K16" s="21" t="s">
        <v>2326</v>
      </c>
      <c r="L16" s="21" t="s">
        <v>2068</v>
      </c>
      <c r="M16" s="19" t="s">
        <v>2351</v>
      </c>
      <c r="N16" s="19"/>
      <c r="O16" s="35">
        <v>60</v>
      </c>
      <c r="P16" s="35">
        <v>20</v>
      </c>
      <c r="Q16" s="32"/>
      <c r="R16" s="22">
        <v>10</v>
      </c>
      <c r="S16" s="22">
        <v>15</v>
      </c>
      <c r="T16" s="22">
        <v>15</v>
      </c>
      <c r="U16" s="22">
        <v>10</v>
      </c>
      <c r="V16" s="60">
        <f t="shared" si="5"/>
        <v>50</v>
      </c>
      <c r="W16" s="86"/>
      <c r="X16" s="86"/>
      <c r="Y16" s="86">
        <v>50</v>
      </c>
      <c r="Z16" s="86"/>
      <c r="AA16" s="86">
        <v>50</v>
      </c>
      <c r="AB16" s="21"/>
      <c r="AC16" s="77"/>
      <c r="AD16" s="21"/>
      <c r="AE16" s="77"/>
      <c r="AF16" s="21"/>
      <c r="AG16" s="21"/>
      <c r="AH16" s="21"/>
      <c r="AI16" s="21"/>
      <c r="AJ16" s="21"/>
      <c r="AK16" s="21"/>
      <c r="AL16" s="77"/>
      <c r="AM16" s="21"/>
      <c r="AN16" s="21"/>
      <c r="AO16" s="21"/>
      <c r="AP16" s="21"/>
      <c r="AQ16" s="21"/>
      <c r="AR16" s="21"/>
      <c r="AS16" s="77"/>
      <c r="AT16" s="21"/>
      <c r="AU16" s="21"/>
      <c r="AV16" s="21"/>
      <c r="AW16" s="21">
        <v>4</v>
      </c>
      <c r="AX16" s="21">
        <v>4</v>
      </c>
      <c r="AY16" s="21">
        <v>6</v>
      </c>
      <c r="AZ16" s="77"/>
      <c r="BA16" s="21">
        <v>6</v>
      </c>
      <c r="BB16" s="21">
        <v>6</v>
      </c>
      <c r="BC16" s="21">
        <v>9</v>
      </c>
      <c r="BD16" s="144">
        <f t="shared" si="6"/>
        <v>35</v>
      </c>
      <c r="BE16" s="94">
        <f t="shared" si="7"/>
        <v>15</v>
      </c>
      <c r="BF16" s="26"/>
      <c r="BH16" s="141">
        <v>96101846</v>
      </c>
      <c r="BI16" s="141" t="s">
        <v>2351</v>
      </c>
      <c r="BJ16" s="141" t="s">
        <v>2386</v>
      </c>
      <c r="BK16" s="141" t="s">
        <v>2387</v>
      </c>
      <c r="BL16" s="141" t="s">
        <v>2426</v>
      </c>
      <c r="BM16" s="141" t="s">
        <v>2427</v>
      </c>
      <c r="BN16" s="141" t="s">
        <v>2401</v>
      </c>
      <c r="BO16" s="141" t="s">
        <v>2402</v>
      </c>
      <c r="BP16" s="141" t="s">
        <v>2428</v>
      </c>
      <c r="BQ16" s="141" t="s">
        <v>2429</v>
      </c>
      <c r="BR16" s="141" t="s">
        <v>2430</v>
      </c>
      <c r="BS16" s="141" t="s">
        <v>2406</v>
      </c>
      <c r="BT16" s="141" t="s">
        <v>2390</v>
      </c>
      <c r="BU16" s="141" t="s">
        <v>2391</v>
      </c>
      <c r="BV16" s="141" t="s">
        <v>2392</v>
      </c>
      <c r="BW16" s="141" t="s">
        <v>2393</v>
      </c>
      <c r="BX16" s="141" t="s">
        <v>2431</v>
      </c>
      <c r="BY16" s="141" t="s">
        <v>2432</v>
      </c>
      <c r="BZ16" s="141" t="s">
        <v>2433</v>
      </c>
      <c r="CA16" s="141" t="s">
        <v>2434</v>
      </c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</row>
    <row r="17" spans="1:93" s="7" customFormat="1" x14ac:dyDescent="0.25">
      <c r="A17" s="19" t="s">
        <v>2298</v>
      </c>
      <c r="B17" s="19" t="s">
        <v>2299</v>
      </c>
      <c r="C17" s="19">
        <v>96101847</v>
      </c>
      <c r="D17" s="20" t="s">
        <v>2306</v>
      </c>
      <c r="E17" s="21" t="s">
        <v>2323</v>
      </c>
      <c r="F17" s="21" t="s">
        <v>2318</v>
      </c>
      <c r="G17" s="21" t="s">
        <v>332</v>
      </c>
      <c r="H17" s="21" t="s">
        <v>234</v>
      </c>
      <c r="I17" s="21" t="s">
        <v>254</v>
      </c>
      <c r="J17" s="21" t="s">
        <v>2083</v>
      </c>
      <c r="K17" s="21" t="s">
        <v>2326</v>
      </c>
      <c r="L17" s="21" t="s">
        <v>2068</v>
      </c>
      <c r="M17" s="19" t="s">
        <v>2352</v>
      </c>
      <c r="N17" s="19"/>
      <c r="O17" s="35">
        <v>0</v>
      </c>
      <c r="P17" s="35">
        <v>0</v>
      </c>
      <c r="Q17" s="32"/>
      <c r="R17" s="22">
        <v>0</v>
      </c>
      <c r="S17" s="22">
        <v>5</v>
      </c>
      <c r="T17" s="22">
        <v>0</v>
      </c>
      <c r="U17" s="22">
        <v>0</v>
      </c>
      <c r="V17" s="60">
        <f t="shared" si="5"/>
        <v>5</v>
      </c>
      <c r="W17" s="86"/>
      <c r="X17" s="86"/>
      <c r="Y17" s="86">
        <v>5</v>
      </c>
      <c r="Z17" s="86"/>
      <c r="AA17" s="86">
        <v>5</v>
      </c>
      <c r="AB17" s="21"/>
      <c r="AC17" s="77"/>
      <c r="AD17" s="21"/>
      <c r="AE17" s="77"/>
      <c r="AF17" s="21"/>
      <c r="AG17" s="21"/>
      <c r="AH17" s="21"/>
      <c r="AI17" s="21"/>
      <c r="AJ17" s="21"/>
      <c r="AK17" s="21"/>
      <c r="AL17" s="77"/>
      <c r="AM17" s="21"/>
      <c r="AN17" s="21"/>
      <c r="AO17" s="21"/>
      <c r="AP17" s="21"/>
      <c r="AQ17" s="21"/>
      <c r="AR17" s="21"/>
      <c r="AS17" s="77"/>
      <c r="AT17" s="21"/>
      <c r="AU17" s="21"/>
      <c r="AV17" s="21">
        <v>5</v>
      </c>
      <c r="AW17" s="21"/>
      <c r="AX17" s="21"/>
      <c r="AY17" s="21"/>
      <c r="AZ17" s="77"/>
      <c r="BA17" s="21"/>
      <c r="BB17" s="21"/>
      <c r="BC17" s="21"/>
      <c r="BD17" s="144">
        <f t="shared" si="6"/>
        <v>5</v>
      </c>
      <c r="BE17" s="94">
        <f t="shared" si="7"/>
        <v>0</v>
      </c>
      <c r="BF17" s="26"/>
      <c r="BH17" s="141" t="s">
        <v>2306</v>
      </c>
      <c r="BI17" s="141" t="s">
        <v>2435</v>
      </c>
      <c r="BJ17" s="141" t="s">
        <v>2386</v>
      </c>
      <c r="BK17" s="141" t="s">
        <v>2387</v>
      </c>
      <c r="BL17" s="141" t="s">
        <v>2426</v>
      </c>
      <c r="BM17" s="141" t="s">
        <v>2427</v>
      </c>
      <c r="BN17" s="141" t="s">
        <v>2401</v>
      </c>
      <c r="BO17" s="141" t="s">
        <v>2402</v>
      </c>
      <c r="BP17" s="141" t="s">
        <v>2428</v>
      </c>
      <c r="BQ17" s="141" t="s">
        <v>2429</v>
      </c>
      <c r="BR17" s="141" t="s">
        <v>2430</v>
      </c>
      <c r="BS17" s="141" t="s">
        <v>2406</v>
      </c>
      <c r="BT17" s="141" t="s">
        <v>2390</v>
      </c>
      <c r="BU17" s="141" t="s">
        <v>2391</v>
      </c>
      <c r="BV17" s="141" t="s">
        <v>2392</v>
      </c>
      <c r="BW17" s="141" t="s">
        <v>2393</v>
      </c>
      <c r="BX17" s="141" t="s">
        <v>2431</v>
      </c>
      <c r="BY17" s="141" t="s">
        <v>2432</v>
      </c>
      <c r="BZ17" s="141" t="s">
        <v>2433</v>
      </c>
      <c r="CA17" s="141" t="s">
        <v>2436</v>
      </c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</row>
    <row r="18" spans="1:93" s="7" customFormat="1" x14ac:dyDescent="0.25">
      <c r="A18" s="19" t="s">
        <v>2298</v>
      </c>
      <c r="B18" s="19" t="s">
        <v>2299</v>
      </c>
      <c r="C18" s="19">
        <v>96101849</v>
      </c>
      <c r="D18" s="20">
        <v>96101849</v>
      </c>
      <c r="E18" s="21" t="s">
        <v>2323</v>
      </c>
      <c r="F18" s="21" t="s">
        <v>2318</v>
      </c>
      <c r="G18" s="21" t="s">
        <v>332</v>
      </c>
      <c r="H18" s="21" t="s">
        <v>234</v>
      </c>
      <c r="I18" s="21" t="s">
        <v>254</v>
      </c>
      <c r="J18" s="21" t="s">
        <v>2070</v>
      </c>
      <c r="K18" s="21" t="s">
        <v>2326</v>
      </c>
      <c r="L18" s="21" t="s">
        <v>2068</v>
      </c>
      <c r="M18" s="19" t="s">
        <v>2353</v>
      </c>
      <c r="N18" s="19"/>
      <c r="O18" s="35">
        <v>30</v>
      </c>
      <c r="P18" s="35">
        <v>10</v>
      </c>
      <c r="Q18" s="32"/>
      <c r="R18" s="22">
        <v>5</v>
      </c>
      <c r="S18" s="22">
        <v>5</v>
      </c>
      <c r="T18" s="22">
        <v>10</v>
      </c>
      <c r="U18" s="22">
        <v>10</v>
      </c>
      <c r="V18" s="60">
        <f t="shared" si="5"/>
        <v>30</v>
      </c>
      <c r="W18" s="86"/>
      <c r="X18" s="86"/>
      <c r="Y18" s="86"/>
      <c r="Z18" s="86">
        <v>10</v>
      </c>
      <c r="AA18" s="86">
        <v>10</v>
      </c>
      <c r="AB18" s="21"/>
      <c r="AC18" s="77"/>
      <c r="AD18" s="21"/>
      <c r="AE18" s="77"/>
      <c r="AF18" s="21"/>
      <c r="AG18" s="21"/>
      <c r="AH18" s="21"/>
      <c r="AI18" s="21"/>
      <c r="AJ18" s="21"/>
      <c r="AK18" s="21"/>
      <c r="AL18" s="77"/>
      <c r="AM18" s="21"/>
      <c r="AN18" s="21"/>
      <c r="AO18" s="21"/>
      <c r="AP18" s="21"/>
      <c r="AQ18" s="21"/>
      <c r="AR18" s="21"/>
      <c r="AS18" s="77"/>
      <c r="AT18" s="21"/>
      <c r="AU18" s="21"/>
      <c r="AV18" s="21"/>
      <c r="AW18" s="21"/>
      <c r="AX18" s="21"/>
      <c r="AY18" s="21"/>
      <c r="AZ18" s="77"/>
      <c r="BA18" s="21"/>
      <c r="BB18" s="21"/>
      <c r="BC18" s="21">
        <v>5</v>
      </c>
      <c r="BD18" s="144">
        <f t="shared" si="6"/>
        <v>5</v>
      </c>
      <c r="BE18" s="94">
        <f t="shared" si="7"/>
        <v>5</v>
      </c>
      <c r="BF18" s="26"/>
      <c r="BH18" s="141">
        <v>96101849</v>
      </c>
      <c r="BI18" s="141" t="s">
        <v>2353</v>
      </c>
      <c r="BJ18" s="141" t="s">
        <v>2386</v>
      </c>
      <c r="BK18" s="141" t="s">
        <v>2387</v>
      </c>
      <c r="BL18" s="141" t="s">
        <v>2437</v>
      </c>
      <c r="BM18" s="141" t="s">
        <v>2438</v>
      </c>
      <c r="BN18" s="141" t="s">
        <v>2401</v>
      </c>
      <c r="BO18" s="141" t="s">
        <v>2402</v>
      </c>
      <c r="BP18" s="141" t="s">
        <v>2428</v>
      </c>
      <c r="BQ18" s="141" t="s">
        <v>2429</v>
      </c>
      <c r="BR18" s="141" t="s">
        <v>2439</v>
      </c>
      <c r="BS18" s="141" t="s">
        <v>2406</v>
      </c>
      <c r="BT18" s="141" t="s">
        <v>2390</v>
      </c>
      <c r="BU18" s="141" t="s">
        <v>2391</v>
      </c>
      <c r="BV18" s="141" t="s">
        <v>2392</v>
      </c>
      <c r="BW18" s="141" t="s">
        <v>2393</v>
      </c>
      <c r="BX18" s="141" t="s">
        <v>2440</v>
      </c>
      <c r="BY18" s="141" t="s">
        <v>2441</v>
      </c>
      <c r="BZ18" s="141" t="s">
        <v>2442</v>
      </c>
      <c r="CA18" s="141" t="s">
        <v>2434</v>
      </c>
      <c r="CB18" s="142"/>
      <c r="CC18" s="142"/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</row>
    <row r="19" spans="1:93" s="7" customFormat="1" x14ac:dyDescent="0.25">
      <c r="A19" s="19" t="s">
        <v>2298</v>
      </c>
      <c r="B19" s="19" t="s">
        <v>2299</v>
      </c>
      <c r="C19" s="19">
        <v>96101855</v>
      </c>
      <c r="D19" s="20">
        <v>96101855</v>
      </c>
      <c r="E19" s="21" t="s">
        <v>2323</v>
      </c>
      <c r="F19" s="21" t="s">
        <v>2318</v>
      </c>
      <c r="G19" s="21" t="s">
        <v>332</v>
      </c>
      <c r="H19" s="21" t="s">
        <v>234</v>
      </c>
      <c r="I19" s="21" t="s">
        <v>254</v>
      </c>
      <c r="J19" s="21" t="s">
        <v>2070</v>
      </c>
      <c r="K19" s="21" t="s">
        <v>2327</v>
      </c>
      <c r="L19" s="21" t="s">
        <v>2068</v>
      </c>
      <c r="M19" s="19" t="s">
        <v>2354</v>
      </c>
      <c r="N19" s="19"/>
      <c r="O19" s="35">
        <v>40</v>
      </c>
      <c r="P19" s="35">
        <v>5</v>
      </c>
      <c r="Q19" s="32"/>
      <c r="R19" s="22">
        <v>5</v>
      </c>
      <c r="S19" s="22">
        <v>10</v>
      </c>
      <c r="T19" s="22">
        <v>10</v>
      </c>
      <c r="U19" s="22">
        <v>10</v>
      </c>
      <c r="V19" s="60">
        <f t="shared" si="5"/>
        <v>35</v>
      </c>
      <c r="W19" s="86"/>
      <c r="X19" s="86"/>
      <c r="Y19" s="86"/>
      <c r="Z19" s="86">
        <v>35</v>
      </c>
      <c r="AA19" s="86">
        <v>35</v>
      </c>
      <c r="AB19" s="21"/>
      <c r="AC19" s="77"/>
      <c r="AD19" s="21"/>
      <c r="AE19" s="77"/>
      <c r="AF19" s="21"/>
      <c r="AG19" s="21"/>
      <c r="AH19" s="21"/>
      <c r="AI19" s="21"/>
      <c r="AJ19" s="21"/>
      <c r="AK19" s="21"/>
      <c r="AL19" s="77"/>
      <c r="AM19" s="21"/>
      <c r="AN19" s="21"/>
      <c r="AO19" s="21"/>
      <c r="AP19" s="21"/>
      <c r="AQ19" s="21"/>
      <c r="AR19" s="21"/>
      <c r="AS19" s="77"/>
      <c r="AT19" s="21"/>
      <c r="AU19" s="21"/>
      <c r="AV19" s="21"/>
      <c r="AW19" s="21"/>
      <c r="AX19" s="21"/>
      <c r="AY19" s="21">
        <v>6</v>
      </c>
      <c r="AZ19" s="77"/>
      <c r="BA19" s="21">
        <v>6</v>
      </c>
      <c r="BB19" s="21">
        <v>6</v>
      </c>
      <c r="BC19" s="21">
        <v>6</v>
      </c>
      <c r="BD19" s="144">
        <f t="shared" si="6"/>
        <v>24</v>
      </c>
      <c r="BE19" s="94">
        <f t="shared" si="7"/>
        <v>11</v>
      </c>
      <c r="BF19" s="26"/>
      <c r="BH19" s="141">
        <v>96101855</v>
      </c>
      <c r="BI19" s="141" t="s">
        <v>2354</v>
      </c>
      <c r="BJ19" s="141" t="s">
        <v>2386</v>
      </c>
      <c r="BK19" s="141" t="s">
        <v>2387</v>
      </c>
      <c r="BL19" s="141" t="s">
        <v>2426</v>
      </c>
      <c r="BM19" s="141" t="s">
        <v>2427</v>
      </c>
      <c r="BN19" s="141" t="s">
        <v>2401</v>
      </c>
      <c r="BO19" s="141" t="s">
        <v>2402</v>
      </c>
      <c r="BP19" s="141" t="s">
        <v>2428</v>
      </c>
      <c r="BQ19" s="141" t="s">
        <v>2429</v>
      </c>
      <c r="BR19" s="141" t="s">
        <v>2443</v>
      </c>
      <c r="BS19" s="141" t="s">
        <v>2406</v>
      </c>
      <c r="BT19" s="141" t="s">
        <v>2390</v>
      </c>
      <c r="BU19" s="141" t="s">
        <v>2391</v>
      </c>
      <c r="BV19" s="141" t="s">
        <v>2392</v>
      </c>
      <c r="BW19" s="141" t="s">
        <v>2393</v>
      </c>
      <c r="BX19" s="141" t="s">
        <v>2431</v>
      </c>
      <c r="BY19" s="141" t="s">
        <v>2432</v>
      </c>
      <c r="BZ19" s="141" t="s">
        <v>2433</v>
      </c>
      <c r="CA19" s="141" t="s">
        <v>2434</v>
      </c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</row>
    <row r="20" spans="1:93" s="7" customFormat="1" x14ac:dyDescent="0.25">
      <c r="A20" s="19" t="s">
        <v>2298</v>
      </c>
      <c r="B20" s="19" t="s">
        <v>2299</v>
      </c>
      <c r="C20" s="19">
        <v>96101860</v>
      </c>
      <c r="D20" s="20">
        <v>96101860</v>
      </c>
      <c r="E20" s="21" t="s">
        <v>2323</v>
      </c>
      <c r="F20" s="21" t="s">
        <v>2318</v>
      </c>
      <c r="G20" s="21" t="s">
        <v>332</v>
      </c>
      <c r="H20" s="21" t="s">
        <v>234</v>
      </c>
      <c r="I20" s="21" t="s">
        <v>254</v>
      </c>
      <c r="J20" s="21" t="s">
        <v>2070</v>
      </c>
      <c r="K20" s="21" t="s">
        <v>2327</v>
      </c>
      <c r="L20" s="21" t="s">
        <v>2068</v>
      </c>
      <c r="M20" s="19" t="s">
        <v>2355</v>
      </c>
      <c r="N20" s="19"/>
      <c r="O20" s="35">
        <v>20</v>
      </c>
      <c r="P20" s="35">
        <v>5</v>
      </c>
      <c r="Q20" s="32"/>
      <c r="R20" s="22">
        <v>5</v>
      </c>
      <c r="S20" s="22">
        <v>5</v>
      </c>
      <c r="T20" s="22">
        <v>5</v>
      </c>
      <c r="U20" s="22">
        <v>5</v>
      </c>
      <c r="V20" s="60">
        <f t="shared" si="5"/>
        <v>20</v>
      </c>
      <c r="W20" s="86"/>
      <c r="X20" s="86"/>
      <c r="Y20" s="86"/>
      <c r="Z20" s="86"/>
      <c r="AA20" s="86">
        <v>0</v>
      </c>
      <c r="AB20" s="21"/>
      <c r="AC20" s="77"/>
      <c r="AD20" s="21"/>
      <c r="AE20" s="77"/>
      <c r="AF20" s="21"/>
      <c r="AG20" s="21"/>
      <c r="AH20" s="21"/>
      <c r="AI20" s="21"/>
      <c r="AJ20" s="21"/>
      <c r="AK20" s="21"/>
      <c r="AL20" s="77"/>
      <c r="AM20" s="21"/>
      <c r="AN20" s="21"/>
      <c r="AO20" s="21"/>
      <c r="AP20" s="21"/>
      <c r="AQ20" s="21"/>
      <c r="AR20" s="21"/>
      <c r="AS20" s="77"/>
      <c r="AT20" s="21"/>
      <c r="AU20" s="21"/>
      <c r="AV20" s="21"/>
      <c r="AW20" s="21"/>
      <c r="AX20" s="21"/>
      <c r="AY20" s="21"/>
      <c r="AZ20" s="77"/>
      <c r="BA20" s="21"/>
      <c r="BB20" s="21"/>
      <c r="BC20" s="21"/>
      <c r="BD20" s="144">
        <f t="shared" si="6"/>
        <v>0</v>
      </c>
      <c r="BE20" s="94">
        <f t="shared" si="7"/>
        <v>0</v>
      </c>
      <c r="BF20" s="26"/>
      <c r="BH20" s="141">
        <v>96101860</v>
      </c>
      <c r="BI20" s="141" t="s">
        <v>2355</v>
      </c>
      <c r="BJ20" s="141" t="s">
        <v>2386</v>
      </c>
      <c r="BK20" s="141" t="s">
        <v>2387</v>
      </c>
      <c r="BL20" s="141" t="s">
        <v>2437</v>
      </c>
      <c r="BM20" s="141" t="s">
        <v>2438</v>
      </c>
      <c r="BN20" s="141" t="s">
        <v>2401</v>
      </c>
      <c r="BO20" s="141" t="s">
        <v>2402</v>
      </c>
      <c r="BP20" s="141" t="s">
        <v>2428</v>
      </c>
      <c r="BQ20" s="141" t="s">
        <v>2429</v>
      </c>
      <c r="BR20" s="141" t="s">
        <v>2444</v>
      </c>
      <c r="BS20" s="141" t="s">
        <v>2406</v>
      </c>
      <c r="BT20" s="141" t="s">
        <v>2390</v>
      </c>
      <c r="BU20" s="141" t="s">
        <v>2391</v>
      </c>
      <c r="BV20" s="141" t="s">
        <v>2392</v>
      </c>
      <c r="BW20" s="141" t="s">
        <v>2393</v>
      </c>
      <c r="BX20" s="141" t="s">
        <v>2440</v>
      </c>
      <c r="BY20" s="141" t="s">
        <v>2441</v>
      </c>
      <c r="BZ20" s="141" t="s">
        <v>2442</v>
      </c>
      <c r="CA20" s="141" t="s">
        <v>2434</v>
      </c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</row>
    <row r="21" spans="1:93" s="7" customFormat="1" x14ac:dyDescent="0.25">
      <c r="A21" s="19" t="s">
        <v>2298</v>
      </c>
      <c r="B21" s="19" t="s">
        <v>2299</v>
      </c>
      <c r="C21" s="19">
        <v>96101368</v>
      </c>
      <c r="D21" s="20" t="s">
        <v>2307</v>
      </c>
      <c r="E21" s="21" t="s">
        <v>1860</v>
      </c>
      <c r="F21" s="21" t="s">
        <v>2318</v>
      </c>
      <c r="G21" s="21" t="s">
        <v>332</v>
      </c>
      <c r="H21" s="21" t="s">
        <v>234</v>
      </c>
      <c r="I21" s="21" t="s">
        <v>254</v>
      </c>
      <c r="J21" s="21" t="s">
        <v>2083</v>
      </c>
      <c r="K21" s="21" t="s">
        <v>2328</v>
      </c>
      <c r="L21" s="21" t="s">
        <v>2068</v>
      </c>
      <c r="M21" s="19" t="s">
        <v>2356</v>
      </c>
      <c r="N21" s="19"/>
      <c r="O21" s="35">
        <v>70</v>
      </c>
      <c r="P21" s="35">
        <v>50</v>
      </c>
      <c r="Q21" s="32"/>
      <c r="R21" s="22">
        <v>50</v>
      </c>
      <c r="S21" s="22">
        <v>35</v>
      </c>
      <c r="T21" s="22">
        <v>40</v>
      </c>
      <c r="U21" s="22">
        <v>21</v>
      </c>
      <c r="V21" s="60">
        <f t="shared" si="5"/>
        <v>146</v>
      </c>
      <c r="W21" s="86">
        <v>126</v>
      </c>
      <c r="X21" s="86"/>
      <c r="Y21" s="86"/>
      <c r="Z21" s="86"/>
      <c r="AA21" s="86">
        <v>126</v>
      </c>
      <c r="AB21" s="21">
        <v>10</v>
      </c>
      <c r="AC21" s="77"/>
      <c r="AD21" s="21">
        <v>15</v>
      </c>
      <c r="AE21" s="77"/>
      <c r="AF21" s="21">
        <v>20</v>
      </c>
      <c r="AG21" s="21">
        <v>20</v>
      </c>
      <c r="AH21" s="21">
        <v>20</v>
      </c>
      <c r="AI21" s="21">
        <v>13</v>
      </c>
      <c r="AJ21" s="21">
        <v>13</v>
      </c>
      <c r="AK21" s="21"/>
      <c r="AL21" s="77"/>
      <c r="AM21" s="21">
        <v>1</v>
      </c>
      <c r="AN21" s="21">
        <v>1</v>
      </c>
      <c r="AO21" s="21">
        <v>1</v>
      </c>
      <c r="AP21" s="21">
        <v>1</v>
      </c>
      <c r="AQ21" s="21">
        <v>1</v>
      </c>
      <c r="AR21" s="21"/>
      <c r="AS21" s="77"/>
      <c r="AT21" s="21">
        <v>3</v>
      </c>
      <c r="AU21" s="21">
        <v>3</v>
      </c>
      <c r="AV21" s="21">
        <v>4</v>
      </c>
      <c r="AW21" s="21"/>
      <c r="AX21" s="21"/>
      <c r="AY21" s="21"/>
      <c r="AZ21" s="77"/>
      <c r="BA21" s="21"/>
      <c r="BB21" s="21"/>
      <c r="BC21" s="21"/>
      <c r="BD21" s="144">
        <f t="shared" si="6"/>
        <v>126</v>
      </c>
      <c r="BE21" s="94">
        <f t="shared" si="7"/>
        <v>0</v>
      </c>
      <c r="BF21" s="26"/>
      <c r="BH21" s="141" t="s">
        <v>2307</v>
      </c>
      <c r="BI21" s="141" t="s">
        <v>2445</v>
      </c>
      <c r="BJ21" s="141" t="s">
        <v>2386</v>
      </c>
      <c r="BK21" s="141" t="s">
        <v>2387</v>
      </c>
      <c r="BL21" s="141" t="s">
        <v>2399</v>
      </c>
      <c r="BM21" s="141" t="s">
        <v>2400</v>
      </c>
      <c r="BN21" s="141" t="s">
        <v>2401</v>
      </c>
      <c r="BO21" s="141" t="s">
        <v>2402</v>
      </c>
      <c r="BP21" s="141" t="s">
        <v>2403</v>
      </c>
      <c r="BQ21" s="141" t="s">
        <v>2404</v>
      </c>
      <c r="BR21" s="141" t="s">
        <v>2446</v>
      </c>
      <c r="BS21" s="141" t="s">
        <v>2406</v>
      </c>
      <c r="BT21" s="141" t="s">
        <v>2390</v>
      </c>
      <c r="BU21" s="141" t="s">
        <v>2391</v>
      </c>
      <c r="BV21" s="141" t="s">
        <v>2392</v>
      </c>
      <c r="BW21" s="141" t="s">
        <v>2393</v>
      </c>
      <c r="BX21" s="141" t="s">
        <v>2407</v>
      </c>
      <c r="BY21" s="141" t="s">
        <v>2408</v>
      </c>
      <c r="BZ21" s="141" t="s">
        <v>2409</v>
      </c>
      <c r="CA21" s="141" t="s">
        <v>2410</v>
      </c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</row>
    <row r="22" spans="1:93" s="7" customFormat="1" x14ac:dyDescent="0.25">
      <c r="A22" s="19" t="s">
        <v>2298</v>
      </c>
      <c r="B22" s="19" t="s">
        <v>2299</v>
      </c>
      <c r="C22" s="19">
        <v>96101421</v>
      </c>
      <c r="D22" s="20">
        <v>96101421</v>
      </c>
      <c r="E22" s="21" t="s">
        <v>1860</v>
      </c>
      <c r="F22" s="21" t="s">
        <v>2318</v>
      </c>
      <c r="G22" s="21" t="s">
        <v>332</v>
      </c>
      <c r="H22" s="21" t="s">
        <v>234</v>
      </c>
      <c r="I22" s="21" t="s">
        <v>254</v>
      </c>
      <c r="J22" s="21" t="s">
        <v>2070</v>
      </c>
      <c r="K22" s="21" t="s">
        <v>2328</v>
      </c>
      <c r="L22" s="21" t="s">
        <v>2068</v>
      </c>
      <c r="M22" s="19" t="s">
        <v>2357</v>
      </c>
      <c r="N22" s="19"/>
      <c r="O22" s="35">
        <v>100</v>
      </c>
      <c r="P22" s="35">
        <v>60</v>
      </c>
      <c r="Q22" s="32"/>
      <c r="R22" s="22">
        <v>50</v>
      </c>
      <c r="S22" s="22">
        <v>50</v>
      </c>
      <c r="T22" s="22">
        <v>50</v>
      </c>
      <c r="U22" s="22">
        <v>50</v>
      </c>
      <c r="V22" s="60">
        <f t="shared" si="5"/>
        <v>200</v>
      </c>
      <c r="W22" s="86">
        <v>75</v>
      </c>
      <c r="X22" s="86">
        <v>75</v>
      </c>
      <c r="Y22" s="86"/>
      <c r="Z22" s="86"/>
      <c r="AA22" s="86">
        <v>150</v>
      </c>
      <c r="AB22" s="21">
        <v>10</v>
      </c>
      <c r="AC22" s="77"/>
      <c r="AD22" s="21">
        <v>10</v>
      </c>
      <c r="AE22" s="77"/>
      <c r="AF22" s="21">
        <v>10</v>
      </c>
      <c r="AG22" s="21">
        <v>10</v>
      </c>
      <c r="AH22" s="21">
        <v>10</v>
      </c>
      <c r="AI22" s="21">
        <v>12</v>
      </c>
      <c r="AJ22" s="21">
        <v>13</v>
      </c>
      <c r="AK22" s="21"/>
      <c r="AL22" s="77"/>
      <c r="AM22" s="21">
        <v>10</v>
      </c>
      <c r="AN22" s="21">
        <v>10</v>
      </c>
      <c r="AO22" s="21">
        <v>10</v>
      </c>
      <c r="AP22" s="21"/>
      <c r="AQ22" s="21"/>
      <c r="AR22" s="21"/>
      <c r="AS22" s="77"/>
      <c r="AT22" s="21">
        <v>10</v>
      </c>
      <c r="AU22" s="21">
        <v>8</v>
      </c>
      <c r="AV22" s="21">
        <v>9</v>
      </c>
      <c r="AW22" s="21">
        <v>11</v>
      </c>
      <c r="AX22" s="21">
        <v>5</v>
      </c>
      <c r="AY22" s="21"/>
      <c r="AZ22" s="77"/>
      <c r="BA22" s="21"/>
      <c r="BB22" s="21"/>
      <c r="BC22" s="21"/>
      <c r="BD22" s="144">
        <f t="shared" si="6"/>
        <v>148</v>
      </c>
      <c r="BE22" s="94">
        <f t="shared" si="7"/>
        <v>2</v>
      </c>
      <c r="BF22" s="26"/>
      <c r="BH22" s="141">
        <v>96101421</v>
      </c>
      <c r="BI22" s="141" t="s">
        <v>2357</v>
      </c>
      <c r="BJ22" s="141" t="s">
        <v>2386</v>
      </c>
      <c r="BK22" s="141" t="s">
        <v>2387</v>
      </c>
      <c r="BL22" s="141" t="s">
        <v>2399</v>
      </c>
      <c r="BM22" s="141" t="s">
        <v>2400</v>
      </c>
      <c r="BN22" s="141" t="s">
        <v>2401</v>
      </c>
      <c r="BO22" s="141" t="s">
        <v>2402</v>
      </c>
      <c r="BP22" s="141" t="s">
        <v>2403</v>
      </c>
      <c r="BQ22" s="141" t="s">
        <v>2404</v>
      </c>
      <c r="BR22" s="141" t="s">
        <v>2446</v>
      </c>
      <c r="BS22" s="141" t="s">
        <v>2406</v>
      </c>
      <c r="BT22" s="141" t="s">
        <v>2390</v>
      </c>
      <c r="BU22" s="141" t="s">
        <v>2391</v>
      </c>
      <c r="BV22" s="141" t="s">
        <v>2392</v>
      </c>
      <c r="BW22" s="141" t="s">
        <v>2393</v>
      </c>
      <c r="BX22" s="141" t="s">
        <v>2407</v>
      </c>
      <c r="BY22" s="141" t="s">
        <v>2408</v>
      </c>
      <c r="BZ22" s="141" t="s">
        <v>2409</v>
      </c>
      <c r="CA22" s="141" t="s">
        <v>2411</v>
      </c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</row>
    <row r="23" spans="1:93" s="7" customFormat="1" x14ac:dyDescent="0.25">
      <c r="A23" s="19" t="s">
        <v>2298</v>
      </c>
      <c r="B23" s="19" t="s">
        <v>2299</v>
      </c>
      <c r="C23" s="19">
        <v>96201441</v>
      </c>
      <c r="D23" s="20" t="s">
        <v>2308</v>
      </c>
      <c r="E23" s="21" t="s">
        <v>1860</v>
      </c>
      <c r="F23" s="21" t="s">
        <v>2320</v>
      </c>
      <c r="G23" s="21" t="s">
        <v>332</v>
      </c>
      <c r="H23" s="21" t="s">
        <v>234</v>
      </c>
      <c r="I23" s="21" t="s">
        <v>254</v>
      </c>
      <c r="J23" s="21" t="s">
        <v>2083</v>
      </c>
      <c r="K23" s="21" t="s">
        <v>2328</v>
      </c>
      <c r="L23" s="21" t="s">
        <v>2068</v>
      </c>
      <c r="M23" s="19" t="s">
        <v>2358</v>
      </c>
      <c r="N23" s="19"/>
      <c r="O23" s="35">
        <v>10</v>
      </c>
      <c r="P23" s="35">
        <v>10</v>
      </c>
      <c r="Q23" s="32"/>
      <c r="R23" s="22">
        <v>10</v>
      </c>
      <c r="S23" s="22">
        <v>5</v>
      </c>
      <c r="T23" s="22">
        <v>10</v>
      </c>
      <c r="U23" s="22">
        <v>5</v>
      </c>
      <c r="V23" s="60">
        <f t="shared" si="5"/>
        <v>30</v>
      </c>
      <c r="W23" s="86">
        <v>30</v>
      </c>
      <c r="X23" s="86"/>
      <c r="Y23" s="86"/>
      <c r="Z23" s="86"/>
      <c r="AA23" s="86">
        <v>30</v>
      </c>
      <c r="AB23" s="21">
        <v>5</v>
      </c>
      <c r="AC23" s="77"/>
      <c r="AD23" s="21">
        <v>5</v>
      </c>
      <c r="AE23" s="77"/>
      <c r="AF23" s="21">
        <v>5</v>
      </c>
      <c r="AG23" s="21">
        <v>5</v>
      </c>
      <c r="AH23" s="21">
        <v>5</v>
      </c>
      <c r="AI23" s="21">
        <v>5</v>
      </c>
      <c r="AJ23" s="21"/>
      <c r="AK23" s="21"/>
      <c r="AL23" s="77"/>
      <c r="AM23" s="21"/>
      <c r="AN23" s="21"/>
      <c r="AO23" s="21"/>
      <c r="AP23" s="21"/>
      <c r="AQ23" s="21"/>
      <c r="AR23" s="21"/>
      <c r="AS23" s="77"/>
      <c r="AT23" s="21"/>
      <c r="AU23" s="21"/>
      <c r="AV23" s="21"/>
      <c r="AW23" s="21"/>
      <c r="AX23" s="21"/>
      <c r="AY23" s="21"/>
      <c r="AZ23" s="77"/>
      <c r="BA23" s="21"/>
      <c r="BB23" s="21"/>
      <c r="BC23" s="21"/>
      <c r="BD23" s="144">
        <f t="shared" si="6"/>
        <v>30</v>
      </c>
      <c r="BE23" s="94">
        <f t="shared" si="7"/>
        <v>0</v>
      </c>
      <c r="BF23" s="26"/>
      <c r="BH23" s="141" t="s">
        <v>2308</v>
      </c>
      <c r="BI23" s="141" t="s">
        <v>2447</v>
      </c>
      <c r="BJ23" s="141" t="s">
        <v>2386</v>
      </c>
      <c r="BK23" s="141" t="s">
        <v>2387</v>
      </c>
      <c r="BL23" s="141" t="s">
        <v>2399</v>
      </c>
      <c r="BM23" s="141" t="s">
        <v>2400</v>
      </c>
      <c r="BN23" s="141" t="s">
        <v>2401</v>
      </c>
      <c r="BO23" s="141" t="s">
        <v>2402</v>
      </c>
      <c r="BP23" s="141" t="s">
        <v>2403</v>
      </c>
      <c r="BQ23" s="141" t="s">
        <v>2404</v>
      </c>
      <c r="BR23" s="141" t="s">
        <v>2446</v>
      </c>
      <c r="BS23" s="141" t="s">
        <v>2406</v>
      </c>
      <c r="BT23" s="141" t="s">
        <v>2390</v>
      </c>
      <c r="BU23" s="141" t="s">
        <v>2391</v>
      </c>
      <c r="BV23" s="141" t="s">
        <v>2392</v>
      </c>
      <c r="BW23" s="141" t="s">
        <v>2393</v>
      </c>
      <c r="BX23" s="141" t="s">
        <v>2407</v>
      </c>
      <c r="BY23" s="141" t="s">
        <v>2408</v>
      </c>
      <c r="BZ23" s="141" t="s">
        <v>2409</v>
      </c>
      <c r="CA23" s="141" t="s">
        <v>2410</v>
      </c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</row>
    <row r="24" spans="1:93" s="7" customFormat="1" x14ac:dyDescent="0.25">
      <c r="A24" s="19" t="s">
        <v>2298</v>
      </c>
      <c r="B24" s="19" t="s">
        <v>2299</v>
      </c>
      <c r="C24" s="19">
        <v>96101548</v>
      </c>
      <c r="D24" s="20">
        <v>96101548</v>
      </c>
      <c r="E24" s="21" t="s">
        <v>1860</v>
      </c>
      <c r="F24" s="21" t="s">
        <v>2318</v>
      </c>
      <c r="G24" s="21" t="s">
        <v>332</v>
      </c>
      <c r="H24" s="21" t="s">
        <v>234</v>
      </c>
      <c r="I24" s="21" t="s">
        <v>254</v>
      </c>
      <c r="J24" s="21" t="s">
        <v>2070</v>
      </c>
      <c r="K24" s="21" t="s">
        <v>2328</v>
      </c>
      <c r="L24" s="21" t="s">
        <v>2068</v>
      </c>
      <c r="M24" s="19" t="s">
        <v>2359</v>
      </c>
      <c r="N24" s="19"/>
      <c r="O24" s="35">
        <v>40</v>
      </c>
      <c r="P24" s="35">
        <v>20</v>
      </c>
      <c r="Q24" s="32"/>
      <c r="R24" s="22">
        <v>20</v>
      </c>
      <c r="S24" s="22">
        <v>20</v>
      </c>
      <c r="T24" s="22">
        <v>10</v>
      </c>
      <c r="U24" s="22">
        <v>10</v>
      </c>
      <c r="V24" s="60">
        <f t="shared" si="5"/>
        <v>60</v>
      </c>
      <c r="W24" s="86"/>
      <c r="X24" s="86"/>
      <c r="Y24" s="86">
        <v>25</v>
      </c>
      <c r="Z24" s="86">
        <v>25</v>
      </c>
      <c r="AA24" s="86">
        <v>50</v>
      </c>
      <c r="AB24" s="21"/>
      <c r="AC24" s="77"/>
      <c r="AD24" s="21"/>
      <c r="AE24" s="77"/>
      <c r="AF24" s="21"/>
      <c r="AG24" s="21"/>
      <c r="AH24" s="21"/>
      <c r="AI24" s="21"/>
      <c r="AJ24" s="21"/>
      <c r="AK24" s="21"/>
      <c r="AL24" s="77"/>
      <c r="AM24" s="21"/>
      <c r="AN24" s="21"/>
      <c r="AO24" s="21"/>
      <c r="AP24" s="21"/>
      <c r="AQ24" s="21"/>
      <c r="AR24" s="21"/>
      <c r="AS24" s="77"/>
      <c r="AT24" s="21"/>
      <c r="AU24" s="21"/>
      <c r="AV24" s="21"/>
      <c r="AW24" s="21">
        <v>2</v>
      </c>
      <c r="AX24" s="21">
        <v>6</v>
      </c>
      <c r="AY24" s="21">
        <v>6</v>
      </c>
      <c r="AZ24" s="77"/>
      <c r="BA24" s="21">
        <v>6</v>
      </c>
      <c r="BB24" s="21">
        <v>4</v>
      </c>
      <c r="BC24" s="21">
        <v>8</v>
      </c>
      <c r="BD24" s="144">
        <f t="shared" si="6"/>
        <v>32</v>
      </c>
      <c r="BE24" s="94">
        <f t="shared" si="7"/>
        <v>18</v>
      </c>
      <c r="BF24" s="26"/>
      <c r="BH24" s="141">
        <v>96101548</v>
      </c>
      <c r="BI24" s="141" t="s">
        <v>2359</v>
      </c>
      <c r="BJ24" s="141" t="s">
        <v>2386</v>
      </c>
      <c r="BK24" s="141" t="s">
        <v>2387</v>
      </c>
      <c r="BL24" s="141" t="s">
        <v>2413</v>
      </c>
      <c r="BM24" s="141" t="s">
        <v>2414</v>
      </c>
      <c r="BN24" s="141" t="s">
        <v>2401</v>
      </c>
      <c r="BO24" s="141" t="s">
        <v>2402</v>
      </c>
      <c r="BP24" s="141" t="s">
        <v>2403</v>
      </c>
      <c r="BQ24" s="141" t="s">
        <v>2404</v>
      </c>
      <c r="BR24" s="141" t="s">
        <v>2448</v>
      </c>
      <c r="BS24" s="141" t="s">
        <v>2406</v>
      </c>
      <c r="BT24" s="141" t="s">
        <v>2390</v>
      </c>
      <c r="BU24" s="141" t="s">
        <v>2391</v>
      </c>
      <c r="BV24" s="141" t="s">
        <v>2392</v>
      </c>
      <c r="BW24" s="141" t="s">
        <v>2393</v>
      </c>
      <c r="BX24" s="141" t="s">
        <v>2416</v>
      </c>
      <c r="BY24" s="141" t="s">
        <v>2417</v>
      </c>
      <c r="BZ24" s="141" t="s">
        <v>2418</v>
      </c>
      <c r="CA24" s="141" t="s">
        <v>2411</v>
      </c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</row>
    <row r="25" spans="1:93" s="7" customFormat="1" x14ac:dyDescent="0.25">
      <c r="A25" s="19" t="s">
        <v>2298</v>
      </c>
      <c r="B25" s="19" t="s">
        <v>2299</v>
      </c>
      <c r="C25" s="19">
        <v>96201440</v>
      </c>
      <c r="D25" s="20">
        <v>96201440</v>
      </c>
      <c r="E25" s="21" t="s">
        <v>1860</v>
      </c>
      <c r="F25" s="21" t="s">
        <v>2320</v>
      </c>
      <c r="G25" s="21" t="s">
        <v>332</v>
      </c>
      <c r="H25" s="21" t="s">
        <v>234</v>
      </c>
      <c r="I25" s="21" t="s">
        <v>254</v>
      </c>
      <c r="J25" s="21" t="s">
        <v>2070</v>
      </c>
      <c r="K25" s="21" t="s">
        <v>2328</v>
      </c>
      <c r="L25" s="21" t="s">
        <v>2068</v>
      </c>
      <c r="M25" s="19" t="s">
        <v>2360</v>
      </c>
      <c r="N25" s="19"/>
      <c r="O25" s="35">
        <v>40</v>
      </c>
      <c r="P25" s="35">
        <v>30</v>
      </c>
      <c r="Q25" s="32"/>
      <c r="R25" s="22">
        <v>20</v>
      </c>
      <c r="S25" s="22">
        <v>20</v>
      </c>
      <c r="T25" s="22">
        <v>20</v>
      </c>
      <c r="U25" s="22">
        <v>10</v>
      </c>
      <c r="V25" s="60">
        <f t="shared" si="5"/>
        <v>70</v>
      </c>
      <c r="W25" s="86">
        <v>55</v>
      </c>
      <c r="X25" s="86"/>
      <c r="Y25" s="86"/>
      <c r="Z25" s="86"/>
      <c r="AA25" s="86">
        <v>55</v>
      </c>
      <c r="AB25" s="21">
        <v>10</v>
      </c>
      <c r="AC25" s="77"/>
      <c r="AD25" s="21">
        <v>10</v>
      </c>
      <c r="AE25" s="77"/>
      <c r="AF25" s="21">
        <v>10</v>
      </c>
      <c r="AG25" s="21">
        <v>5</v>
      </c>
      <c r="AH25" s="21">
        <v>10</v>
      </c>
      <c r="AI25" s="21">
        <v>5</v>
      </c>
      <c r="AJ25" s="21"/>
      <c r="AK25" s="21">
        <v>5</v>
      </c>
      <c r="AL25" s="77"/>
      <c r="AM25" s="21"/>
      <c r="AN25" s="21"/>
      <c r="AO25" s="21"/>
      <c r="AP25" s="21"/>
      <c r="AQ25" s="21"/>
      <c r="AR25" s="21"/>
      <c r="AS25" s="77"/>
      <c r="AT25" s="21"/>
      <c r="AU25" s="21"/>
      <c r="AV25" s="21"/>
      <c r="AW25" s="21"/>
      <c r="AX25" s="21"/>
      <c r="AY25" s="21"/>
      <c r="AZ25" s="77"/>
      <c r="BA25" s="21"/>
      <c r="BB25" s="21"/>
      <c r="BC25" s="21"/>
      <c r="BD25" s="144">
        <f t="shared" si="6"/>
        <v>55</v>
      </c>
      <c r="BE25" s="94">
        <f t="shared" si="7"/>
        <v>0</v>
      </c>
      <c r="BF25" s="26"/>
      <c r="BH25" s="141">
        <v>96201440</v>
      </c>
      <c r="BI25" s="141" t="s">
        <v>2360</v>
      </c>
      <c r="BJ25" s="141" t="s">
        <v>2386</v>
      </c>
      <c r="BK25" s="141" t="s">
        <v>2387</v>
      </c>
      <c r="BL25" s="141" t="s">
        <v>2399</v>
      </c>
      <c r="BM25" s="141" t="s">
        <v>2400</v>
      </c>
      <c r="BN25" s="141" t="s">
        <v>2401</v>
      </c>
      <c r="BO25" s="141" t="s">
        <v>2402</v>
      </c>
      <c r="BP25" s="141" t="s">
        <v>2403</v>
      </c>
      <c r="BQ25" s="141" t="s">
        <v>2404</v>
      </c>
      <c r="BR25" s="141" t="s">
        <v>2446</v>
      </c>
      <c r="BS25" s="141" t="s">
        <v>2406</v>
      </c>
      <c r="BT25" s="141" t="s">
        <v>2390</v>
      </c>
      <c r="BU25" s="141" t="s">
        <v>2391</v>
      </c>
      <c r="BV25" s="141" t="s">
        <v>2392</v>
      </c>
      <c r="BW25" s="141" t="s">
        <v>2393</v>
      </c>
      <c r="BX25" s="141" t="s">
        <v>2407</v>
      </c>
      <c r="BY25" s="141" t="s">
        <v>2408</v>
      </c>
      <c r="BZ25" s="141" t="s">
        <v>2409</v>
      </c>
      <c r="CA25" s="141" t="s">
        <v>2411</v>
      </c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</row>
    <row r="26" spans="1:93" s="7" customFormat="1" x14ac:dyDescent="0.25">
      <c r="A26" s="19" t="s">
        <v>2298</v>
      </c>
      <c r="B26" s="19" t="s">
        <v>2299</v>
      </c>
      <c r="C26" s="19">
        <v>96201442</v>
      </c>
      <c r="D26" s="20" t="s">
        <v>2308</v>
      </c>
      <c r="E26" s="21" t="s">
        <v>1860</v>
      </c>
      <c r="F26" s="21" t="s">
        <v>2320</v>
      </c>
      <c r="G26" s="21" t="s">
        <v>332</v>
      </c>
      <c r="H26" s="21" t="s">
        <v>2319</v>
      </c>
      <c r="I26" s="21" t="s">
        <v>254</v>
      </c>
      <c r="J26" s="21" t="s">
        <v>2083</v>
      </c>
      <c r="K26" s="21" t="s">
        <v>2328</v>
      </c>
      <c r="L26" s="21" t="s">
        <v>2068</v>
      </c>
      <c r="M26" s="19" t="s">
        <v>2361</v>
      </c>
      <c r="N26" s="19"/>
      <c r="O26" s="35">
        <v>10</v>
      </c>
      <c r="P26" s="35">
        <v>10</v>
      </c>
      <c r="Q26" s="32"/>
      <c r="R26" s="22">
        <v>5</v>
      </c>
      <c r="S26" s="22">
        <v>10</v>
      </c>
      <c r="T26" s="22">
        <v>5</v>
      </c>
      <c r="U26" s="22">
        <v>5</v>
      </c>
      <c r="V26" s="60">
        <f t="shared" si="5"/>
        <v>25</v>
      </c>
      <c r="W26" s="86">
        <v>25</v>
      </c>
      <c r="X26" s="86"/>
      <c r="Y26" s="86"/>
      <c r="Z26" s="86"/>
      <c r="AA26" s="86">
        <v>25</v>
      </c>
      <c r="AB26" s="21"/>
      <c r="AC26" s="77"/>
      <c r="AD26" s="21"/>
      <c r="AE26" s="77"/>
      <c r="AF26" s="21"/>
      <c r="AG26" s="21"/>
      <c r="AH26" s="21"/>
      <c r="AI26" s="21">
        <v>10</v>
      </c>
      <c r="AJ26" s="21">
        <v>10</v>
      </c>
      <c r="AK26" s="21">
        <v>5</v>
      </c>
      <c r="AL26" s="77"/>
      <c r="AM26" s="21"/>
      <c r="AN26" s="21"/>
      <c r="AO26" s="21"/>
      <c r="AP26" s="21"/>
      <c r="AQ26" s="21"/>
      <c r="AR26" s="21"/>
      <c r="AS26" s="77"/>
      <c r="AT26" s="21"/>
      <c r="AU26" s="21"/>
      <c r="AV26" s="21"/>
      <c r="AW26" s="21"/>
      <c r="AX26" s="21"/>
      <c r="AY26" s="21"/>
      <c r="AZ26" s="77"/>
      <c r="BA26" s="21"/>
      <c r="BB26" s="21"/>
      <c r="BC26" s="21"/>
      <c r="BD26" s="144">
        <f t="shared" si="6"/>
        <v>25</v>
      </c>
      <c r="BE26" s="94">
        <f t="shared" si="7"/>
        <v>0</v>
      </c>
      <c r="BF26" s="26"/>
      <c r="BH26" s="141" t="s">
        <v>2308</v>
      </c>
      <c r="BI26" s="141" t="s">
        <v>2447</v>
      </c>
      <c r="BJ26" s="141" t="s">
        <v>2386</v>
      </c>
      <c r="BK26" s="141" t="s">
        <v>2387</v>
      </c>
      <c r="BL26" s="141" t="s">
        <v>2399</v>
      </c>
      <c r="BM26" s="141" t="s">
        <v>2400</v>
      </c>
      <c r="BN26" s="141" t="s">
        <v>2401</v>
      </c>
      <c r="BO26" s="141" t="s">
        <v>2402</v>
      </c>
      <c r="BP26" s="141" t="s">
        <v>2403</v>
      </c>
      <c r="BQ26" s="141" t="s">
        <v>2404</v>
      </c>
      <c r="BR26" s="141" t="s">
        <v>2446</v>
      </c>
      <c r="BS26" s="141" t="s">
        <v>2406</v>
      </c>
      <c r="BT26" s="141" t="s">
        <v>2390</v>
      </c>
      <c r="BU26" s="141" t="s">
        <v>2391</v>
      </c>
      <c r="BV26" s="141" t="s">
        <v>2392</v>
      </c>
      <c r="BW26" s="141" t="s">
        <v>2393</v>
      </c>
      <c r="BX26" s="141" t="s">
        <v>2407</v>
      </c>
      <c r="BY26" s="141" t="s">
        <v>2408</v>
      </c>
      <c r="BZ26" s="141" t="s">
        <v>2409</v>
      </c>
      <c r="CA26" s="141" t="s">
        <v>2410</v>
      </c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</row>
    <row r="27" spans="1:93" s="7" customFormat="1" x14ac:dyDescent="0.25">
      <c r="A27" s="19" t="s">
        <v>2298</v>
      </c>
      <c r="B27" s="19" t="s">
        <v>2299</v>
      </c>
      <c r="C27" s="19">
        <v>96101550</v>
      </c>
      <c r="D27" s="20" t="s">
        <v>2309</v>
      </c>
      <c r="E27" s="21" t="s">
        <v>1860</v>
      </c>
      <c r="F27" s="21" t="s">
        <v>2318</v>
      </c>
      <c r="G27" s="21" t="s">
        <v>332</v>
      </c>
      <c r="H27" s="21" t="s">
        <v>234</v>
      </c>
      <c r="I27" s="21" t="s">
        <v>254</v>
      </c>
      <c r="J27" s="21" t="s">
        <v>2083</v>
      </c>
      <c r="K27" s="21" t="s">
        <v>2328</v>
      </c>
      <c r="L27" s="21" t="s">
        <v>2068</v>
      </c>
      <c r="M27" s="19" t="s">
        <v>2362</v>
      </c>
      <c r="N27" s="19"/>
      <c r="O27" s="35">
        <v>15</v>
      </c>
      <c r="P27" s="35">
        <v>20</v>
      </c>
      <c r="Q27" s="32"/>
      <c r="R27" s="22">
        <v>10</v>
      </c>
      <c r="S27" s="22">
        <v>5</v>
      </c>
      <c r="T27" s="22">
        <v>5</v>
      </c>
      <c r="U27" s="22">
        <v>0</v>
      </c>
      <c r="V27" s="60">
        <f t="shared" si="5"/>
        <v>20</v>
      </c>
      <c r="W27" s="86"/>
      <c r="X27" s="86"/>
      <c r="Y27" s="86">
        <v>20</v>
      </c>
      <c r="Z27" s="86"/>
      <c r="AA27" s="86">
        <v>20</v>
      </c>
      <c r="AB27" s="21"/>
      <c r="AC27" s="77"/>
      <c r="AD27" s="21"/>
      <c r="AE27" s="77"/>
      <c r="AF27" s="21"/>
      <c r="AG27" s="21"/>
      <c r="AH27" s="21"/>
      <c r="AI27" s="21"/>
      <c r="AJ27" s="21"/>
      <c r="AK27" s="21"/>
      <c r="AL27" s="77"/>
      <c r="AM27" s="21"/>
      <c r="AN27" s="21"/>
      <c r="AO27" s="21"/>
      <c r="AP27" s="21"/>
      <c r="AQ27" s="21"/>
      <c r="AR27" s="21"/>
      <c r="AS27" s="77"/>
      <c r="AT27" s="21">
        <v>5</v>
      </c>
      <c r="AU27" s="21">
        <v>5</v>
      </c>
      <c r="AV27" s="21">
        <v>5</v>
      </c>
      <c r="AW27" s="21">
        <v>5</v>
      </c>
      <c r="AX27" s="21"/>
      <c r="AY27" s="21"/>
      <c r="AZ27" s="77"/>
      <c r="BA27" s="21"/>
      <c r="BB27" s="21"/>
      <c r="BC27" s="21"/>
      <c r="BD27" s="144">
        <f t="shared" si="6"/>
        <v>20</v>
      </c>
      <c r="BE27" s="94">
        <f t="shared" si="7"/>
        <v>0</v>
      </c>
      <c r="BF27" s="26"/>
      <c r="BH27" s="141" t="s">
        <v>2309</v>
      </c>
      <c r="BI27" s="141" t="s">
        <v>2449</v>
      </c>
      <c r="BJ27" s="141" t="s">
        <v>2386</v>
      </c>
      <c r="BK27" s="141" t="s">
        <v>2387</v>
      </c>
      <c r="BL27" s="141" t="s">
        <v>2413</v>
      </c>
      <c r="BM27" s="141" t="s">
        <v>2414</v>
      </c>
      <c r="BN27" s="141" t="s">
        <v>2401</v>
      </c>
      <c r="BO27" s="141" t="s">
        <v>2402</v>
      </c>
      <c r="BP27" s="141" t="s">
        <v>2403</v>
      </c>
      <c r="BQ27" s="141" t="s">
        <v>2404</v>
      </c>
      <c r="BR27" s="141" t="s">
        <v>2448</v>
      </c>
      <c r="BS27" s="141" t="s">
        <v>2406</v>
      </c>
      <c r="BT27" s="141" t="s">
        <v>2390</v>
      </c>
      <c r="BU27" s="141" t="s">
        <v>2391</v>
      </c>
      <c r="BV27" s="141" t="s">
        <v>2392</v>
      </c>
      <c r="BW27" s="141" t="s">
        <v>2393</v>
      </c>
      <c r="BX27" s="141" t="s">
        <v>2416</v>
      </c>
      <c r="BY27" s="141" t="s">
        <v>2417</v>
      </c>
      <c r="BZ27" s="141" t="s">
        <v>2418</v>
      </c>
      <c r="CA27" s="141" t="s">
        <v>2410</v>
      </c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</row>
    <row r="28" spans="1:93" s="7" customFormat="1" x14ac:dyDescent="0.25">
      <c r="A28" s="19" t="s">
        <v>2298</v>
      </c>
      <c r="B28" s="19" t="s">
        <v>2299</v>
      </c>
      <c r="C28" s="19">
        <v>96101551</v>
      </c>
      <c r="D28" s="20" t="s">
        <v>2309</v>
      </c>
      <c r="E28" s="21" t="s">
        <v>1860</v>
      </c>
      <c r="F28" s="21" t="s">
        <v>2318</v>
      </c>
      <c r="G28" s="21" t="s">
        <v>332</v>
      </c>
      <c r="H28" s="21" t="s">
        <v>2319</v>
      </c>
      <c r="I28" s="21" t="s">
        <v>254</v>
      </c>
      <c r="J28" s="21" t="s">
        <v>2083</v>
      </c>
      <c r="K28" s="21" t="s">
        <v>2328</v>
      </c>
      <c r="L28" s="21" t="s">
        <v>2068</v>
      </c>
      <c r="M28" s="19" t="s">
        <v>2363</v>
      </c>
      <c r="N28" s="19"/>
      <c r="O28" s="35">
        <v>15</v>
      </c>
      <c r="P28" s="35">
        <v>20</v>
      </c>
      <c r="Q28" s="32"/>
      <c r="R28" s="22">
        <v>10</v>
      </c>
      <c r="S28" s="22">
        <v>5</v>
      </c>
      <c r="T28" s="22">
        <v>5</v>
      </c>
      <c r="U28" s="22">
        <v>0</v>
      </c>
      <c r="V28" s="60">
        <f t="shared" si="5"/>
        <v>20</v>
      </c>
      <c r="W28" s="86"/>
      <c r="X28" s="86"/>
      <c r="Y28" s="86">
        <v>20</v>
      </c>
      <c r="Z28" s="86"/>
      <c r="AA28" s="86">
        <v>20</v>
      </c>
      <c r="AB28" s="21"/>
      <c r="AC28" s="77"/>
      <c r="AD28" s="21"/>
      <c r="AE28" s="77"/>
      <c r="AF28" s="21"/>
      <c r="AG28" s="21"/>
      <c r="AH28" s="21"/>
      <c r="AI28" s="21"/>
      <c r="AJ28" s="21"/>
      <c r="AK28" s="21"/>
      <c r="AL28" s="77"/>
      <c r="AM28" s="21"/>
      <c r="AN28" s="21"/>
      <c r="AO28" s="21"/>
      <c r="AP28" s="21"/>
      <c r="AQ28" s="21"/>
      <c r="AR28" s="21"/>
      <c r="AS28" s="77"/>
      <c r="AT28" s="21"/>
      <c r="AU28" s="21">
        <v>7</v>
      </c>
      <c r="AV28" s="21">
        <v>7</v>
      </c>
      <c r="AW28" s="21">
        <v>6</v>
      </c>
      <c r="AX28" s="21"/>
      <c r="AY28" s="21"/>
      <c r="AZ28" s="77"/>
      <c r="BA28" s="21"/>
      <c r="BB28" s="21"/>
      <c r="BC28" s="21"/>
      <c r="BD28" s="144">
        <f t="shared" si="6"/>
        <v>20</v>
      </c>
      <c r="BE28" s="94">
        <f t="shared" si="7"/>
        <v>0</v>
      </c>
      <c r="BF28" s="26"/>
      <c r="BH28" s="141" t="s">
        <v>2309</v>
      </c>
      <c r="BI28" s="141" t="s">
        <v>2449</v>
      </c>
      <c r="BJ28" s="141" t="s">
        <v>2386</v>
      </c>
      <c r="BK28" s="141" t="s">
        <v>2387</v>
      </c>
      <c r="BL28" s="141" t="s">
        <v>2413</v>
      </c>
      <c r="BM28" s="141" t="s">
        <v>2414</v>
      </c>
      <c r="BN28" s="141" t="s">
        <v>2401</v>
      </c>
      <c r="BO28" s="141" t="s">
        <v>2402</v>
      </c>
      <c r="BP28" s="141" t="s">
        <v>2403</v>
      </c>
      <c r="BQ28" s="141" t="s">
        <v>2404</v>
      </c>
      <c r="BR28" s="141" t="s">
        <v>2448</v>
      </c>
      <c r="BS28" s="141" t="s">
        <v>2406</v>
      </c>
      <c r="BT28" s="141" t="s">
        <v>2390</v>
      </c>
      <c r="BU28" s="141" t="s">
        <v>2391</v>
      </c>
      <c r="BV28" s="141" t="s">
        <v>2392</v>
      </c>
      <c r="BW28" s="141" t="s">
        <v>2393</v>
      </c>
      <c r="BX28" s="141" t="s">
        <v>2416</v>
      </c>
      <c r="BY28" s="141" t="s">
        <v>2417</v>
      </c>
      <c r="BZ28" s="141" t="s">
        <v>2418</v>
      </c>
      <c r="CA28" s="141" t="s">
        <v>2410</v>
      </c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</row>
    <row r="29" spans="1:93" s="7" customFormat="1" x14ac:dyDescent="0.25">
      <c r="A29" s="19" t="s">
        <v>2298</v>
      </c>
      <c r="B29" s="19" t="s">
        <v>2299</v>
      </c>
      <c r="C29" s="19">
        <v>96101367</v>
      </c>
      <c r="D29" s="20" t="s">
        <v>2310</v>
      </c>
      <c r="E29" s="21" t="s">
        <v>1860</v>
      </c>
      <c r="F29" s="21" t="s">
        <v>2318</v>
      </c>
      <c r="G29" s="21" t="s">
        <v>332</v>
      </c>
      <c r="H29" s="21" t="s">
        <v>2319</v>
      </c>
      <c r="I29" s="21" t="s">
        <v>254</v>
      </c>
      <c r="J29" s="21" t="s">
        <v>2083</v>
      </c>
      <c r="K29" s="21" t="s">
        <v>2328</v>
      </c>
      <c r="L29" s="21" t="s">
        <v>2068</v>
      </c>
      <c r="M29" s="19" t="s">
        <v>2364</v>
      </c>
      <c r="N29" s="19"/>
      <c r="O29" s="35">
        <v>40</v>
      </c>
      <c r="P29" s="35">
        <v>20</v>
      </c>
      <c r="Q29" s="32"/>
      <c r="R29" s="22">
        <v>20</v>
      </c>
      <c r="S29" s="22">
        <v>10</v>
      </c>
      <c r="T29" s="22">
        <v>15</v>
      </c>
      <c r="U29" s="22">
        <v>10</v>
      </c>
      <c r="V29" s="60">
        <f t="shared" si="5"/>
        <v>55</v>
      </c>
      <c r="W29" s="86">
        <v>45</v>
      </c>
      <c r="X29" s="86"/>
      <c r="Y29" s="86"/>
      <c r="Z29" s="86"/>
      <c r="AA29" s="86">
        <v>45</v>
      </c>
      <c r="AB29" s="21">
        <v>5</v>
      </c>
      <c r="AC29" s="77"/>
      <c r="AD29" s="21">
        <v>5</v>
      </c>
      <c r="AE29" s="77"/>
      <c r="AF29" s="21">
        <v>5</v>
      </c>
      <c r="AG29" s="21">
        <v>4</v>
      </c>
      <c r="AH29" s="21">
        <v>5</v>
      </c>
      <c r="AI29" s="21">
        <v>5</v>
      </c>
      <c r="AJ29" s="21">
        <v>4</v>
      </c>
      <c r="AK29" s="21">
        <v>12</v>
      </c>
      <c r="AL29" s="77"/>
      <c r="AM29" s="21"/>
      <c r="AN29" s="21"/>
      <c r="AO29" s="21"/>
      <c r="AP29" s="21"/>
      <c r="AQ29" s="21"/>
      <c r="AR29" s="21"/>
      <c r="AS29" s="77"/>
      <c r="AT29" s="21"/>
      <c r="AU29" s="21"/>
      <c r="AV29" s="21"/>
      <c r="AW29" s="21"/>
      <c r="AX29" s="21"/>
      <c r="AY29" s="21"/>
      <c r="AZ29" s="77"/>
      <c r="BA29" s="21"/>
      <c r="BB29" s="21"/>
      <c r="BC29" s="21"/>
      <c r="BD29" s="144">
        <f t="shared" si="6"/>
        <v>45</v>
      </c>
      <c r="BE29" s="94">
        <f t="shared" si="7"/>
        <v>0</v>
      </c>
      <c r="BF29" s="26"/>
      <c r="BH29" s="141" t="s">
        <v>2310</v>
      </c>
      <c r="BI29" s="141" t="s">
        <v>2445</v>
      </c>
      <c r="BJ29" s="141" t="s">
        <v>2386</v>
      </c>
      <c r="BK29" s="141" t="s">
        <v>2387</v>
      </c>
      <c r="BL29" s="141" t="s">
        <v>2399</v>
      </c>
      <c r="BM29" s="141" t="s">
        <v>2400</v>
      </c>
      <c r="BN29" s="141" t="s">
        <v>2401</v>
      </c>
      <c r="BO29" s="141" t="s">
        <v>2402</v>
      </c>
      <c r="BP29" s="141" t="s">
        <v>2403</v>
      </c>
      <c r="BQ29" s="141" t="s">
        <v>2404</v>
      </c>
      <c r="BR29" s="141" t="s">
        <v>2446</v>
      </c>
      <c r="BS29" s="141" t="s">
        <v>2406</v>
      </c>
      <c r="BT29" s="141" t="s">
        <v>2390</v>
      </c>
      <c r="BU29" s="141" t="s">
        <v>2391</v>
      </c>
      <c r="BV29" s="141" t="s">
        <v>2392</v>
      </c>
      <c r="BW29" s="141" t="s">
        <v>2393</v>
      </c>
      <c r="BX29" s="141" t="s">
        <v>2407</v>
      </c>
      <c r="BY29" s="141" t="s">
        <v>2408</v>
      </c>
      <c r="BZ29" s="141" t="s">
        <v>2409</v>
      </c>
      <c r="CA29" s="141" t="s">
        <v>2410</v>
      </c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</row>
    <row r="30" spans="1:93" s="7" customFormat="1" x14ac:dyDescent="0.25">
      <c r="A30" s="19" t="s">
        <v>2298</v>
      </c>
      <c r="B30" s="19" t="s">
        <v>2299</v>
      </c>
      <c r="C30" s="19">
        <v>96101422</v>
      </c>
      <c r="D30" s="20">
        <v>96101422</v>
      </c>
      <c r="E30" s="21" t="s">
        <v>1860</v>
      </c>
      <c r="F30" s="21" t="s">
        <v>2318</v>
      </c>
      <c r="G30" s="21" t="s">
        <v>332</v>
      </c>
      <c r="H30" s="21" t="s">
        <v>2319</v>
      </c>
      <c r="I30" s="21" t="s">
        <v>254</v>
      </c>
      <c r="J30" s="21" t="s">
        <v>2070</v>
      </c>
      <c r="K30" s="21" t="s">
        <v>2328</v>
      </c>
      <c r="L30" s="21" t="s">
        <v>2068</v>
      </c>
      <c r="M30" s="19" t="s">
        <v>2365</v>
      </c>
      <c r="N30" s="19"/>
      <c r="O30" s="35">
        <v>10</v>
      </c>
      <c r="P30" s="35">
        <v>10</v>
      </c>
      <c r="Q30" s="32"/>
      <c r="R30" s="22">
        <v>10</v>
      </c>
      <c r="S30" s="22">
        <v>10</v>
      </c>
      <c r="T30" s="22">
        <v>15</v>
      </c>
      <c r="U30" s="22">
        <v>10</v>
      </c>
      <c r="V30" s="60">
        <f t="shared" si="5"/>
        <v>45</v>
      </c>
      <c r="W30" s="86">
        <v>40</v>
      </c>
      <c r="X30" s="86"/>
      <c r="Y30" s="86"/>
      <c r="Z30" s="86"/>
      <c r="AA30" s="86">
        <v>40</v>
      </c>
      <c r="AB30" s="21"/>
      <c r="AC30" s="77"/>
      <c r="AD30" s="21"/>
      <c r="AE30" s="77"/>
      <c r="AF30" s="21"/>
      <c r="AG30" s="21"/>
      <c r="AH30" s="21"/>
      <c r="AI30" s="21"/>
      <c r="AJ30" s="21">
        <v>10</v>
      </c>
      <c r="AK30" s="21">
        <v>20</v>
      </c>
      <c r="AL30" s="77"/>
      <c r="AM30" s="21">
        <v>10</v>
      </c>
      <c r="AN30" s="21"/>
      <c r="AO30" s="21"/>
      <c r="AP30" s="21"/>
      <c r="AQ30" s="21"/>
      <c r="AR30" s="21"/>
      <c r="AS30" s="77"/>
      <c r="AT30" s="21"/>
      <c r="AU30" s="21"/>
      <c r="AV30" s="21"/>
      <c r="AW30" s="21"/>
      <c r="AX30" s="21"/>
      <c r="AY30" s="21"/>
      <c r="AZ30" s="77"/>
      <c r="BA30" s="21"/>
      <c r="BB30" s="21"/>
      <c r="BC30" s="21"/>
      <c r="BD30" s="144">
        <f t="shared" si="6"/>
        <v>40</v>
      </c>
      <c r="BE30" s="94">
        <f t="shared" si="7"/>
        <v>0</v>
      </c>
      <c r="BF30" s="26"/>
      <c r="BH30" s="141">
        <v>96101422</v>
      </c>
      <c r="BI30" s="141" t="s">
        <v>2365</v>
      </c>
      <c r="BJ30" s="141" t="s">
        <v>2386</v>
      </c>
      <c r="BK30" s="141" t="s">
        <v>2387</v>
      </c>
      <c r="BL30" s="141" t="s">
        <v>2399</v>
      </c>
      <c r="BM30" s="141" t="s">
        <v>2400</v>
      </c>
      <c r="BN30" s="141" t="s">
        <v>2401</v>
      </c>
      <c r="BO30" s="141" t="s">
        <v>2402</v>
      </c>
      <c r="BP30" s="141" t="s">
        <v>2403</v>
      </c>
      <c r="BQ30" s="141" t="s">
        <v>2404</v>
      </c>
      <c r="BR30" s="141" t="s">
        <v>2446</v>
      </c>
      <c r="BS30" s="141" t="s">
        <v>2406</v>
      </c>
      <c r="BT30" s="141" t="s">
        <v>2390</v>
      </c>
      <c r="BU30" s="141" t="s">
        <v>2391</v>
      </c>
      <c r="BV30" s="141" t="s">
        <v>2392</v>
      </c>
      <c r="BW30" s="141" t="s">
        <v>2393</v>
      </c>
      <c r="BX30" s="141" t="s">
        <v>2407</v>
      </c>
      <c r="BY30" s="141" t="s">
        <v>2408</v>
      </c>
      <c r="BZ30" s="141" t="s">
        <v>2409</v>
      </c>
      <c r="CA30" s="141" t="s">
        <v>2411</v>
      </c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</row>
    <row r="31" spans="1:93" s="7" customFormat="1" x14ac:dyDescent="0.25">
      <c r="A31" s="19" t="s">
        <v>2298</v>
      </c>
      <c r="B31" s="19" t="s">
        <v>2299</v>
      </c>
      <c r="C31" s="19">
        <v>96201369</v>
      </c>
      <c r="D31" s="20">
        <v>96201369</v>
      </c>
      <c r="E31" s="21" t="s">
        <v>1860</v>
      </c>
      <c r="F31" s="21" t="s">
        <v>2320</v>
      </c>
      <c r="G31" s="21" t="s">
        <v>332</v>
      </c>
      <c r="H31" s="21" t="s">
        <v>2319</v>
      </c>
      <c r="I31" s="21" t="s">
        <v>254</v>
      </c>
      <c r="J31" s="21" t="s">
        <v>2070</v>
      </c>
      <c r="K31" s="21" t="s">
        <v>2328</v>
      </c>
      <c r="L31" s="21" t="s">
        <v>2068</v>
      </c>
      <c r="M31" s="19" t="s">
        <v>2366</v>
      </c>
      <c r="N31" s="19"/>
      <c r="O31" s="35">
        <v>10</v>
      </c>
      <c r="P31" s="35">
        <v>10</v>
      </c>
      <c r="Q31" s="32"/>
      <c r="R31" s="22">
        <v>5</v>
      </c>
      <c r="S31" s="22">
        <v>10</v>
      </c>
      <c r="T31" s="22">
        <v>5</v>
      </c>
      <c r="U31" s="22">
        <v>5</v>
      </c>
      <c r="V31" s="60">
        <f t="shared" si="5"/>
        <v>25</v>
      </c>
      <c r="W31" s="86">
        <v>14</v>
      </c>
      <c r="X31" s="86">
        <v>11</v>
      </c>
      <c r="Y31" s="86"/>
      <c r="Z31" s="86"/>
      <c r="AA31" s="86">
        <v>25</v>
      </c>
      <c r="AB31" s="21"/>
      <c r="AC31" s="77"/>
      <c r="AD31" s="21"/>
      <c r="AE31" s="77"/>
      <c r="AF31" s="21"/>
      <c r="AG31" s="21"/>
      <c r="AH31" s="21"/>
      <c r="AI31" s="21"/>
      <c r="AJ31" s="21"/>
      <c r="AK31" s="21">
        <v>8</v>
      </c>
      <c r="AL31" s="77"/>
      <c r="AM31" s="21">
        <v>6</v>
      </c>
      <c r="AN31" s="21">
        <v>3</v>
      </c>
      <c r="AO31" s="21">
        <v>2</v>
      </c>
      <c r="AP31" s="21">
        <v>2</v>
      </c>
      <c r="AQ31" s="21">
        <v>2</v>
      </c>
      <c r="AR31" s="21">
        <v>2</v>
      </c>
      <c r="AS31" s="77"/>
      <c r="AT31" s="21"/>
      <c r="AU31" s="21"/>
      <c r="AV31" s="21"/>
      <c r="AW31" s="21"/>
      <c r="AX31" s="21"/>
      <c r="AY31" s="21"/>
      <c r="AZ31" s="77"/>
      <c r="BA31" s="21"/>
      <c r="BB31" s="21"/>
      <c r="BC31" s="21"/>
      <c r="BD31" s="144">
        <f t="shared" si="6"/>
        <v>25</v>
      </c>
      <c r="BE31" s="94">
        <f t="shared" si="7"/>
        <v>0</v>
      </c>
      <c r="BF31" s="26"/>
      <c r="BH31" s="141">
        <v>96201369</v>
      </c>
      <c r="BI31" s="141" t="s">
        <v>2366</v>
      </c>
      <c r="BJ31" s="141" t="s">
        <v>2386</v>
      </c>
      <c r="BK31" s="141" t="s">
        <v>2387</v>
      </c>
      <c r="BL31" s="141" t="s">
        <v>2399</v>
      </c>
      <c r="BM31" s="141" t="s">
        <v>2400</v>
      </c>
      <c r="BN31" s="141" t="s">
        <v>2401</v>
      </c>
      <c r="BO31" s="141" t="s">
        <v>2402</v>
      </c>
      <c r="BP31" s="141" t="s">
        <v>2403</v>
      </c>
      <c r="BQ31" s="141" t="s">
        <v>2404</v>
      </c>
      <c r="BR31" s="141" t="s">
        <v>2446</v>
      </c>
      <c r="BS31" s="141" t="s">
        <v>2406</v>
      </c>
      <c r="BT31" s="141" t="s">
        <v>2390</v>
      </c>
      <c r="BU31" s="141" t="s">
        <v>2391</v>
      </c>
      <c r="BV31" s="141" t="s">
        <v>2392</v>
      </c>
      <c r="BW31" s="141" t="s">
        <v>2393</v>
      </c>
      <c r="BX31" s="141" t="s">
        <v>2407</v>
      </c>
      <c r="BY31" s="141" t="s">
        <v>2408</v>
      </c>
      <c r="BZ31" s="141" t="s">
        <v>2409</v>
      </c>
      <c r="CA31" s="141" t="s">
        <v>2411</v>
      </c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</row>
    <row r="32" spans="1:93" s="7" customFormat="1" x14ac:dyDescent="0.25">
      <c r="A32" s="19" t="s">
        <v>2298</v>
      </c>
      <c r="B32" s="19" t="s">
        <v>2299</v>
      </c>
      <c r="C32" s="19">
        <v>96101549</v>
      </c>
      <c r="D32" s="20">
        <v>96101549</v>
      </c>
      <c r="E32" s="21" t="s">
        <v>1860</v>
      </c>
      <c r="F32" s="21" t="s">
        <v>2318</v>
      </c>
      <c r="G32" s="21" t="s">
        <v>332</v>
      </c>
      <c r="H32" s="21" t="s">
        <v>2319</v>
      </c>
      <c r="I32" s="21" t="s">
        <v>254</v>
      </c>
      <c r="J32" s="21" t="s">
        <v>2070</v>
      </c>
      <c r="K32" s="21" t="s">
        <v>2328</v>
      </c>
      <c r="L32" s="21" t="s">
        <v>2068</v>
      </c>
      <c r="M32" s="19" t="s">
        <v>2367</v>
      </c>
      <c r="N32" s="19"/>
      <c r="O32" s="35">
        <v>10</v>
      </c>
      <c r="P32" s="35">
        <v>5</v>
      </c>
      <c r="Q32" s="32"/>
      <c r="R32" s="22">
        <v>5</v>
      </c>
      <c r="S32" s="22">
        <v>2</v>
      </c>
      <c r="T32" s="22">
        <v>1</v>
      </c>
      <c r="U32" s="22">
        <v>2</v>
      </c>
      <c r="V32" s="60">
        <f t="shared" si="5"/>
        <v>10</v>
      </c>
      <c r="W32" s="86"/>
      <c r="X32" s="86"/>
      <c r="Y32" s="86"/>
      <c r="Z32" s="86">
        <v>10</v>
      </c>
      <c r="AA32" s="86">
        <v>10</v>
      </c>
      <c r="AB32" s="21"/>
      <c r="AC32" s="77"/>
      <c r="AD32" s="21"/>
      <c r="AE32" s="77"/>
      <c r="AF32" s="21"/>
      <c r="AG32" s="21"/>
      <c r="AH32" s="21"/>
      <c r="AI32" s="21"/>
      <c r="AJ32" s="21"/>
      <c r="AK32" s="21"/>
      <c r="AL32" s="77"/>
      <c r="AM32" s="21"/>
      <c r="AN32" s="21"/>
      <c r="AO32" s="21"/>
      <c r="AP32" s="21"/>
      <c r="AQ32" s="21"/>
      <c r="AR32" s="21"/>
      <c r="AS32" s="77"/>
      <c r="AT32" s="21"/>
      <c r="AU32" s="21"/>
      <c r="AV32" s="21"/>
      <c r="AW32" s="21"/>
      <c r="AX32" s="21">
        <v>2</v>
      </c>
      <c r="AY32" s="21">
        <v>2</v>
      </c>
      <c r="AZ32" s="77"/>
      <c r="BA32" s="21">
        <v>2</v>
      </c>
      <c r="BB32" s="21">
        <v>2</v>
      </c>
      <c r="BC32" s="21">
        <v>2</v>
      </c>
      <c r="BD32" s="144">
        <f t="shared" si="6"/>
        <v>10</v>
      </c>
      <c r="BE32" s="94">
        <f t="shared" si="7"/>
        <v>0</v>
      </c>
      <c r="BF32" s="26"/>
      <c r="BH32" s="141">
        <v>96101549</v>
      </c>
      <c r="BI32" s="141" t="s">
        <v>2367</v>
      </c>
      <c r="BJ32" s="141" t="s">
        <v>2386</v>
      </c>
      <c r="BK32" s="141" t="s">
        <v>2387</v>
      </c>
      <c r="BL32" s="141" t="s">
        <v>2413</v>
      </c>
      <c r="BM32" s="141" t="s">
        <v>2414</v>
      </c>
      <c r="BN32" s="141" t="s">
        <v>2401</v>
      </c>
      <c r="BO32" s="141" t="s">
        <v>2402</v>
      </c>
      <c r="BP32" s="141" t="s">
        <v>2403</v>
      </c>
      <c r="BQ32" s="141" t="s">
        <v>2404</v>
      </c>
      <c r="BR32" s="141" t="s">
        <v>2448</v>
      </c>
      <c r="BS32" s="141" t="s">
        <v>2406</v>
      </c>
      <c r="BT32" s="141" t="s">
        <v>2390</v>
      </c>
      <c r="BU32" s="141" t="s">
        <v>2391</v>
      </c>
      <c r="BV32" s="141" t="s">
        <v>2392</v>
      </c>
      <c r="BW32" s="141" t="s">
        <v>2393</v>
      </c>
      <c r="BX32" s="141" t="s">
        <v>2416</v>
      </c>
      <c r="BY32" s="141" t="s">
        <v>2417</v>
      </c>
      <c r="BZ32" s="141" t="s">
        <v>2418</v>
      </c>
      <c r="CA32" s="141" t="s">
        <v>2411</v>
      </c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</row>
    <row r="33" spans="1:93" s="7" customFormat="1" x14ac:dyDescent="0.25">
      <c r="A33" s="19" t="s">
        <v>2298</v>
      </c>
      <c r="B33" s="19" t="s">
        <v>2299</v>
      </c>
      <c r="C33" s="19">
        <v>96202939</v>
      </c>
      <c r="D33" s="20" t="s">
        <v>2312</v>
      </c>
      <c r="E33" s="21" t="s">
        <v>1860</v>
      </c>
      <c r="F33" s="21" t="s">
        <v>2320</v>
      </c>
      <c r="G33" s="21" t="s">
        <v>332</v>
      </c>
      <c r="H33" s="21" t="s">
        <v>2077</v>
      </c>
      <c r="I33" s="21" t="s">
        <v>254</v>
      </c>
      <c r="J33" s="21" t="s">
        <v>255</v>
      </c>
      <c r="K33" s="21" t="s">
        <v>2328</v>
      </c>
      <c r="L33" s="21" t="s">
        <v>239</v>
      </c>
      <c r="M33" s="19" t="s">
        <v>2371</v>
      </c>
      <c r="N33" s="19"/>
      <c r="O33" s="35">
        <v>0</v>
      </c>
      <c r="P33" s="35">
        <v>0</v>
      </c>
      <c r="Q33" s="32"/>
      <c r="R33" s="22">
        <v>0</v>
      </c>
      <c r="S33" s="22">
        <v>0</v>
      </c>
      <c r="T33" s="22">
        <v>5</v>
      </c>
      <c r="U33" s="22">
        <v>0</v>
      </c>
      <c r="V33" s="60">
        <f t="shared" si="5"/>
        <v>5</v>
      </c>
      <c r="W33" s="86">
        <v>5</v>
      </c>
      <c r="X33" s="86"/>
      <c r="Y33" s="86"/>
      <c r="Z33" s="86"/>
      <c r="AA33" s="86">
        <v>5</v>
      </c>
      <c r="AB33" s="21"/>
      <c r="AC33" s="77"/>
      <c r="AD33" s="21"/>
      <c r="AE33" s="77"/>
      <c r="AF33" s="21"/>
      <c r="AG33" s="21">
        <v>5</v>
      </c>
      <c r="AH33" s="21"/>
      <c r="AI33" s="21"/>
      <c r="AJ33" s="21"/>
      <c r="AK33" s="21"/>
      <c r="AL33" s="77"/>
      <c r="AM33" s="21"/>
      <c r="AN33" s="21"/>
      <c r="AO33" s="21"/>
      <c r="AP33" s="21"/>
      <c r="AQ33" s="21"/>
      <c r="AR33" s="21"/>
      <c r="AS33" s="77"/>
      <c r="AT33" s="21"/>
      <c r="AU33" s="21"/>
      <c r="AV33" s="21"/>
      <c r="AW33" s="21"/>
      <c r="AX33" s="21"/>
      <c r="AY33" s="21"/>
      <c r="AZ33" s="77"/>
      <c r="BA33" s="21"/>
      <c r="BB33" s="21"/>
      <c r="BC33" s="21"/>
      <c r="BD33" s="144">
        <f t="shared" si="6"/>
        <v>5</v>
      </c>
      <c r="BE33" s="94">
        <f t="shared" si="7"/>
        <v>0</v>
      </c>
      <c r="BF33" s="26"/>
      <c r="BH33" s="141" t="s">
        <v>2312</v>
      </c>
      <c r="BI33" s="141" t="s">
        <v>2451</v>
      </c>
      <c r="BJ33" s="141" t="s">
        <v>2386</v>
      </c>
      <c r="BK33" s="141" t="s">
        <v>2387</v>
      </c>
      <c r="BL33" s="141" t="s">
        <v>2399</v>
      </c>
      <c r="BM33" s="141" t="s">
        <v>2400</v>
      </c>
      <c r="BN33" s="141" t="s">
        <v>2401</v>
      </c>
      <c r="BO33" s="141" t="s">
        <v>2402</v>
      </c>
      <c r="BP33" s="141" t="s">
        <v>2403</v>
      </c>
      <c r="BQ33" s="141" t="s">
        <v>2404</v>
      </c>
      <c r="BR33" s="141" t="s">
        <v>2446</v>
      </c>
      <c r="BS33" s="141" t="s">
        <v>2406</v>
      </c>
      <c r="BT33" s="141" t="s">
        <v>2390</v>
      </c>
      <c r="BU33" s="141" t="s">
        <v>2391</v>
      </c>
      <c r="BV33" s="141" t="s">
        <v>2392</v>
      </c>
      <c r="BW33" s="141" t="s">
        <v>2393</v>
      </c>
      <c r="BX33" s="141" t="s">
        <v>2407</v>
      </c>
      <c r="BY33" s="141" t="s">
        <v>2408</v>
      </c>
      <c r="BZ33" s="141" t="s">
        <v>2409</v>
      </c>
      <c r="CA33" s="141" t="s">
        <v>2452</v>
      </c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</row>
    <row r="34" spans="1:93" s="7" customFormat="1" x14ac:dyDescent="0.25">
      <c r="A34" s="19" t="s">
        <v>2298</v>
      </c>
      <c r="B34" s="19" t="s">
        <v>2299</v>
      </c>
      <c r="C34" s="19">
        <v>96201563</v>
      </c>
      <c r="D34" s="20">
        <v>96201563</v>
      </c>
      <c r="E34" s="21" t="s">
        <v>1860</v>
      </c>
      <c r="F34" s="21" t="s">
        <v>2320</v>
      </c>
      <c r="G34" s="21" t="s">
        <v>332</v>
      </c>
      <c r="H34" s="21" t="s">
        <v>2319</v>
      </c>
      <c r="I34" s="21" t="s">
        <v>254</v>
      </c>
      <c r="J34" s="21" t="s">
        <v>2070</v>
      </c>
      <c r="K34" s="21" t="s">
        <v>2328</v>
      </c>
      <c r="L34" s="21" t="s">
        <v>2068</v>
      </c>
      <c r="M34" s="19" t="s">
        <v>2372</v>
      </c>
      <c r="N34" s="19"/>
      <c r="O34" s="35">
        <v>0</v>
      </c>
      <c r="P34" s="35">
        <v>0</v>
      </c>
      <c r="Q34" s="32"/>
      <c r="R34" s="22">
        <v>2</v>
      </c>
      <c r="S34" s="22">
        <v>1</v>
      </c>
      <c r="T34" s="22">
        <v>1</v>
      </c>
      <c r="U34" s="22">
        <v>1</v>
      </c>
      <c r="V34" s="60">
        <f t="shared" si="5"/>
        <v>5</v>
      </c>
      <c r="W34" s="86"/>
      <c r="X34" s="86"/>
      <c r="Y34" s="86"/>
      <c r="Z34" s="86">
        <v>5</v>
      </c>
      <c r="AA34" s="86">
        <v>5</v>
      </c>
      <c r="AB34" s="21"/>
      <c r="AC34" s="77"/>
      <c r="AD34" s="21"/>
      <c r="AE34" s="77"/>
      <c r="AF34" s="21"/>
      <c r="AG34" s="21"/>
      <c r="AH34" s="21"/>
      <c r="AI34" s="21"/>
      <c r="AJ34" s="21"/>
      <c r="AK34" s="21"/>
      <c r="AL34" s="77"/>
      <c r="AM34" s="21"/>
      <c r="AN34" s="21"/>
      <c r="AO34" s="21"/>
      <c r="AP34" s="21"/>
      <c r="AQ34" s="21"/>
      <c r="AR34" s="21"/>
      <c r="AS34" s="77"/>
      <c r="AT34" s="21"/>
      <c r="AU34" s="21"/>
      <c r="AV34" s="21"/>
      <c r="AW34" s="21"/>
      <c r="AX34" s="21">
        <v>2</v>
      </c>
      <c r="AY34" s="21"/>
      <c r="AZ34" s="77"/>
      <c r="BA34" s="21"/>
      <c r="BB34" s="21"/>
      <c r="BC34" s="21">
        <v>3</v>
      </c>
      <c r="BD34" s="144">
        <f t="shared" si="6"/>
        <v>5</v>
      </c>
      <c r="BE34" s="94">
        <f t="shared" si="7"/>
        <v>0</v>
      </c>
      <c r="BF34" s="26"/>
      <c r="BH34" s="141">
        <v>96201563</v>
      </c>
      <c r="BI34" s="141" t="s">
        <v>2372</v>
      </c>
      <c r="BJ34" s="141" t="s">
        <v>2386</v>
      </c>
      <c r="BK34" s="141" t="s">
        <v>2387</v>
      </c>
      <c r="BL34" s="141" t="s">
        <v>2413</v>
      </c>
      <c r="BM34" s="141" t="s">
        <v>2414</v>
      </c>
      <c r="BN34" s="141" t="s">
        <v>2401</v>
      </c>
      <c r="BO34" s="141" t="s">
        <v>2402</v>
      </c>
      <c r="BP34" s="141" t="s">
        <v>2403</v>
      </c>
      <c r="BQ34" s="141" t="s">
        <v>2404</v>
      </c>
      <c r="BR34" s="141" t="s">
        <v>2448</v>
      </c>
      <c r="BS34" s="141" t="s">
        <v>2406</v>
      </c>
      <c r="BT34" s="141" t="s">
        <v>2390</v>
      </c>
      <c r="BU34" s="141" t="s">
        <v>2391</v>
      </c>
      <c r="BV34" s="141" t="s">
        <v>2392</v>
      </c>
      <c r="BW34" s="141" t="s">
        <v>2393</v>
      </c>
      <c r="BX34" s="141" t="s">
        <v>2416</v>
      </c>
      <c r="BY34" s="141" t="s">
        <v>2417</v>
      </c>
      <c r="BZ34" s="141" t="s">
        <v>2418</v>
      </c>
      <c r="CA34" s="141" t="s">
        <v>2411</v>
      </c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</row>
    <row r="35" spans="1:93" s="7" customFormat="1" x14ac:dyDescent="0.25">
      <c r="A35" s="19" t="s">
        <v>2298</v>
      </c>
      <c r="B35" s="19" t="s">
        <v>2299</v>
      </c>
      <c r="C35" s="19">
        <v>96201564</v>
      </c>
      <c r="D35" s="20" t="s">
        <v>2313</v>
      </c>
      <c r="E35" s="21" t="s">
        <v>1860</v>
      </c>
      <c r="F35" s="21" t="s">
        <v>2320</v>
      </c>
      <c r="G35" s="21" t="s">
        <v>332</v>
      </c>
      <c r="H35" s="21" t="s">
        <v>234</v>
      </c>
      <c r="I35" s="21" t="s">
        <v>254</v>
      </c>
      <c r="J35" s="21" t="s">
        <v>2083</v>
      </c>
      <c r="K35" s="21" t="s">
        <v>2328</v>
      </c>
      <c r="L35" s="21" t="s">
        <v>2068</v>
      </c>
      <c r="M35" s="51" t="s">
        <v>2373</v>
      </c>
      <c r="N35" s="19"/>
      <c r="O35" s="35">
        <v>0</v>
      </c>
      <c r="P35" s="35">
        <v>0</v>
      </c>
      <c r="Q35" s="32"/>
      <c r="R35" s="22">
        <v>2</v>
      </c>
      <c r="S35" s="22">
        <v>1</v>
      </c>
      <c r="T35" s="22">
        <v>1</v>
      </c>
      <c r="U35" s="22">
        <v>1</v>
      </c>
      <c r="V35" s="60">
        <f t="shared" si="5"/>
        <v>5</v>
      </c>
      <c r="W35" s="86"/>
      <c r="X35" s="86"/>
      <c r="Y35" s="86">
        <v>5</v>
      </c>
      <c r="Z35" s="86"/>
      <c r="AA35" s="86">
        <v>5</v>
      </c>
      <c r="AB35" s="21"/>
      <c r="AC35" s="77"/>
      <c r="AD35" s="21"/>
      <c r="AE35" s="77"/>
      <c r="AF35" s="21"/>
      <c r="AG35" s="21"/>
      <c r="AH35" s="21"/>
      <c r="AI35" s="21"/>
      <c r="AJ35" s="21"/>
      <c r="AK35" s="21"/>
      <c r="AL35" s="77"/>
      <c r="AM35" s="21"/>
      <c r="AN35" s="21"/>
      <c r="AO35" s="21"/>
      <c r="AP35" s="21"/>
      <c r="AQ35" s="21"/>
      <c r="AR35" s="21"/>
      <c r="AS35" s="77"/>
      <c r="AT35" s="21">
        <v>1</v>
      </c>
      <c r="AU35" s="21"/>
      <c r="AV35" s="21"/>
      <c r="AW35" s="21">
        <v>4</v>
      </c>
      <c r="AX35" s="21"/>
      <c r="AY35" s="21"/>
      <c r="AZ35" s="77"/>
      <c r="BA35" s="21"/>
      <c r="BB35" s="21"/>
      <c r="BC35" s="21"/>
      <c r="BD35" s="144">
        <f t="shared" si="6"/>
        <v>5</v>
      </c>
      <c r="BE35" s="94">
        <f t="shared" si="7"/>
        <v>0</v>
      </c>
      <c r="BF35" s="26"/>
      <c r="BH35" s="141" t="s">
        <v>2313</v>
      </c>
      <c r="BI35" s="141" t="s">
        <v>2453</v>
      </c>
      <c r="BJ35" s="141" t="s">
        <v>2386</v>
      </c>
      <c r="BK35" s="141" t="s">
        <v>2387</v>
      </c>
      <c r="BL35" s="141" t="s">
        <v>2413</v>
      </c>
      <c r="BM35" s="141" t="s">
        <v>2414</v>
      </c>
      <c r="BN35" s="141" t="s">
        <v>2401</v>
      </c>
      <c r="BO35" s="141" t="s">
        <v>2402</v>
      </c>
      <c r="BP35" s="141" t="s">
        <v>2403</v>
      </c>
      <c r="BQ35" s="141" t="s">
        <v>2404</v>
      </c>
      <c r="BR35" s="141" t="s">
        <v>2448</v>
      </c>
      <c r="BS35" s="141" t="s">
        <v>2406</v>
      </c>
      <c r="BT35" s="141" t="s">
        <v>2390</v>
      </c>
      <c r="BU35" s="141" t="s">
        <v>2391</v>
      </c>
      <c r="BV35" s="141" t="s">
        <v>2392</v>
      </c>
      <c r="BW35" s="141" t="s">
        <v>2393</v>
      </c>
      <c r="BX35" s="141" t="s">
        <v>2416</v>
      </c>
      <c r="BY35" s="141" t="s">
        <v>2417</v>
      </c>
      <c r="BZ35" s="141" t="s">
        <v>2418</v>
      </c>
      <c r="CA35" s="141" t="s">
        <v>2410</v>
      </c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</row>
    <row r="36" spans="1:93" s="7" customFormat="1" x14ac:dyDescent="0.25">
      <c r="A36" s="19" t="s">
        <v>2298</v>
      </c>
      <c r="B36" s="19" t="s">
        <v>2299</v>
      </c>
      <c r="C36" s="19">
        <v>96201562</v>
      </c>
      <c r="D36" s="20">
        <v>96201562</v>
      </c>
      <c r="E36" s="21" t="s">
        <v>1860</v>
      </c>
      <c r="F36" s="21" t="s">
        <v>2320</v>
      </c>
      <c r="G36" s="21" t="s">
        <v>332</v>
      </c>
      <c r="H36" s="21" t="s">
        <v>234</v>
      </c>
      <c r="I36" s="21" t="s">
        <v>254</v>
      </c>
      <c r="J36" s="21" t="s">
        <v>2070</v>
      </c>
      <c r="K36" s="21" t="s">
        <v>2328</v>
      </c>
      <c r="L36" s="21" t="s">
        <v>2068</v>
      </c>
      <c r="M36" s="19" t="s">
        <v>2374</v>
      </c>
      <c r="N36" s="19"/>
      <c r="O36" s="35">
        <v>0</v>
      </c>
      <c r="P36" s="35">
        <v>0</v>
      </c>
      <c r="Q36" s="32"/>
      <c r="R36" s="22">
        <v>2</v>
      </c>
      <c r="S36" s="22">
        <v>1</v>
      </c>
      <c r="T36" s="22">
        <v>1</v>
      </c>
      <c r="U36" s="22">
        <v>1</v>
      </c>
      <c r="V36" s="60">
        <f t="shared" ref="V36:V58" si="8">SUM(R36:U36)</f>
        <v>5</v>
      </c>
      <c r="W36" s="86"/>
      <c r="X36" s="86"/>
      <c r="Y36" s="86"/>
      <c r="Z36" s="86">
        <v>5</v>
      </c>
      <c r="AA36" s="86">
        <v>5</v>
      </c>
      <c r="AB36" s="21"/>
      <c r="AC36" s="77"/>
      <c r="AD36" s="21"/>
      <c r="AE36" s="77"/>
      <c r="AF36" s="21"/>
      <c r="AG36" s="21"/>
      <c r="AH36" s="21"/>
      <c r="AI36" s="21"/>
      <c r="AJ36" s="21"/>
      <c r="AK36" s="21"/>
      <c r="AL36" s="77"/>
      <c r="AM36" s="21"/>
      <c r="AN36" s="21"/>
      <c r="AO36" s="21"/>
      <c r="AP36" s="21"/>
      <c r="AQ36" s="21"/>
      <c r="AR36" s="21"/>
      <c r="AS36" s="77"/>
      <c r="AT36" s="21"/>
      <c r="AU36" s="21"/>
      <c r="AV36" s="21"/>
      <c r="AW36" s="21"/>
      <c r="AX36" s="21"/>
      <c r="AY36" s="21"/>
      <c r="AZ36" s="77"/>
      <c r="BA36" s="21"/>
      <c r="BB36" s="21"/>
      <c r="BC36" s="21">
        <v>3</v>
      </c>
      <c r="BD36" s="144">
        <f t="shared" ref="BD36:BD58" si="9">SUM(AB36:BC36)</f>
        <v>3</v>
      </c>
      <c r="BE36" s="94">
        <f t="shared" ref="BE36:BE58" si="10">AA36-BD36</f>
        <v>2</v>
      </c>
      <c r="BF36" s="26"/>
      <c r="BH36" s="141">
        <v>96201562</v>
      </c>
      <c r="BI36" s="141" t="s">
        <v>2374</v>
      </c>
      <c r="BJ36" s="141" t="s">
        <v>2386</v>
      </c>
      <c r="BK36" s="141" t="s">
        <v>2387</v>
      </c>
      <c r="BL36" s="141" t="s">
        <v>2413</v>
      </c>
      <c r="BM36" s="141" t="s">
        <v>2414</v>
      </c>
      <c r="BN36" s="141" t="s">
        <v>2401</v>
      </c>
      <c r="BO36" s="141" t="s">
        <v>2402</v>
      </c>
      <c r="BP36" s="141" t="s">
        <v>2403</v>
      </c>
      <c r="BQ36" s="141" t="s">
        <v>2404</v>
      </c>
      <c r="BR36" s="141" t="s">
        <v>2448</v>
      </c>
      <c r="BS36" s="141" t="s">
        <v>2406</v>
      </c>
      <c r="BT36" s="141" t="s">
        <v>2390</v>
      </c>
      <c r="BU36" s="141" t="s">
        <v>2391</v>
      </c>
      <c r="BV36" s="141" t="s">
        <v>2392</v>
      </c>
      <c r="BW36" s="141" t="s">
        <v>2393</v>
      </c>
      <c r="BX36" s="141" t="s">
        <v>2416</v>
      </c>
      <c r="BY36" s="141" t="s">
        <v>2417</v>
      </c>
      <c r="BZ36" s="141" t="s">
        <v>2418</v>
      </c>
      <c r="CA36" s="141" t="s">
        <v>2411</v>
      </c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</row>
    <row r="37" spans="1:93" s="7" customFormat="1" x14ac:dyDescent="0.25">
      <c r="A37" s="19" t="s">
        <v>2298</v>
      </c>
      <c r="B37" s="19" t="s">
        <v>2299</v>
      </c>
      <c r="C37" s="19">
        <v>96101423</v>
      </c>
      <c r="D37" s="20" t="s">
        <v>2315</v>
      </c>
      <c r="E37" s="21" t="s">
        <v>1860</v>
      </c>
      <c r="F37" s="21" t="s">
        <v>2318</v>
      </c>
      <c r="G37" s="21" t="s">
        <v>332</v>
      </c>
      <c r="H37" s="21" t="s">
        <v>2077</v>
      </c>
      <c r="I37" s="21" t="s">
        <v>254</v>
      </c>
      <c r="J37" s="21" t="s">
        <v>255</v>
      </c>
      <c r="K37" s="21" t="s">
        <v>2328</v>
      </c>
      <c r="L37" s="21" t="s">
        <v>239</v>
      </c>
      <c r="M37" s="51" t="s">
        <v>2377</v>
      </c>
      <c r="N37" s="19"/>
      <c r="O37" s="35">
        <v>0</v>
      </c>
      <c r="P37" s="35">
        <v>0</v>
      </c>
      <c r="Q37" s="32"/>
      <c r="R37" s="22">
        <v>0</v>
      </c>
      <c r="S37" s="22">
        <v>0</v>
      </c>
      <c r="T37" s="22">
        <v>0</v>
      </c>
      <c r="U37" s="22">
        <v>1</v>
      </c>
      <c r="V37" s="60">
        <f t="shared" si="8"/>
        <v>1</v>
      </c>
      <c r="W37" s="86">
        <v>1</v>
      </c>
      <c r="X37" s="86"/>
      <c r="Y37" s="86"/>
      <c r="Z37" s="86"/>
      <c r="AA37" s="86">
        <v>1</v>
      </c>
      <c r="AB37" s="21"/>
      <c r="AC37" s="77"/>
      <c r="AD37" s="21"/>
      <c r="AE37" s="77"/>
      <c r="AF37" s="21"/>
      <c r="AG37" s="21">
        <v>1</v>
      </c>
      <c r="AH37" s="21"/>
      <c r="AI37" s="21"/>
      <c r="AJ37" s="21"/>
      <c r="AK37" s="21"/>
      <c r="AL37" s="77"/>
      <c r="AM37" s="21"/>
      <c r="AN37" s="21"/>
      <c r="AO37" s="21"/>
      <c r="AP37" s="21"/>
      <c r="AQ37" s="21"/>
      <c r="AR37" s="21"/>
      <c r="AS37" s="77"/>
      <c r="AT37" s="21"/>
      <c r="AU37" s="21"/>
      <c r="AV37" s="21"/>
      <c r="AW37" s="21"/>
      <c r="AX37" s="21"/>
      <c r="AY37" s="21"/>
      <c r="AZ37" s="77"/>
      <c r="BA37" s="21"/>
      <c r="BB37" s="21"/>
      <c r="BC37" s="21"/>
      <c r="BD37" s="144">
        <f t="shared" si="9"/>
        <v>1</v>
      </c>
      <c r="BE37" s="94">
        <f t="shared" si="10"/>
        <v>0</v>
      </c>
      <c r="BF37" s="26"/>
      <c r="BH37" s="141" t="s">
        <v>2315</v>
      </c>
      <c r="BI37" s="141" t="s">
        <v>2445</v>
      </c>
      <c r="BJ37" s="141" t="s">
        <v>2386</v>
      </c>
      <c r="BK37" s="141" t="s">
        <v>2387</v>
      </c>
      <c r="BL37" s="141" t="s">
        <v>2399</v>
      </c>
      <c r="BM37" s="141" t="s">
        <v>2400</v>
      </c>
      <c r="BN37" s="141" t="s">
        <v>2401</v>
      </c>
      <c r="BO37" s="141" t="s">
        <v>2402</v>
      </c>
      <c r="BP37" s="141" t="s">
        <v>2403</v>
      </c>
      <c r="BQ37" s="141" t="s">
        <v>2404</v>
      </c>
      <c r="BR37" s="141" t="s">
        <v>2446</v>
      </c>
      <c r="BS37" s="141" t="s">
        <v>2406</v>
      </c>
      <c r="BT37" s="141" t="s">
        <v>2390</v>
      </c>
      <c r="BU37" s="141" t="s">
        <v>2391</v>
      </c>
      <c r="BV37" s="141" t="s">
        <v>2392</v>
      </c>
      <c r="BW37" s="141" t="s">
        <v>2393</v>
      </c>
      <c r="BX37" s="141" t="s">
        <v>2407</v>
      </c>
      <c r="BY37" s="141" t="s">
        <v>2408</v>
      </c>
      <c r="BZ37" s="141" t="s">
        <v>2409</v>
      </c>
      <c r="CA37" s="141" t="s">
        <v>2452</v>
      </c>
      <c r="CB37" s="142"/>
      <c r="CC37" s="142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</row>
    <row r="38" spans="1:93" s="7" customFormat="1" x14ac:dyDescent="0.25">
      <c r="A38" s="19" t="s">
        <v>2298</v>
      </c>
      <c r="B38" s="19" t="s">
        <v>2299</v>
      </c>
      <c r="C38" s="19">
        <v>96101418</v>
      </c>
      <c r="D38" s="20" t="s">
        <v>2301</v>
      </c>
      <c r="E38" s="21" t="s">
        <v>1860</v>
      </c>
      <c r="F38" s="21" t="s">
        <v>2318</v>
      </c>
      <c r="G38" s="21" t="s">
        <v>332</v>
      </c>
      <c r="H38" s="21" t="s">
        <v>234</v>
      </c>
      <c r="I38" s="21" t="s">
        <v>254</v>
      </c>
      <c r="J38" s="21" t="s">
        <v>2083</v>
      </c>
      <c r="K38" s="21" t="s">
        <v>2325</v>
      </c>
      <c r="L38" s="21" t="s">
        <v>2068</v>
      </c>
      <c r="M38" s="19" t="s">
        <v>2331</v>
      </c>
      <c r="N38" s="19"/>
      <c r="O38" s="35">
        <v>40</v>
      </c>
      <c r="P38" s="35">
        <v>20</v>
      </c>
      <c r="Q38" s="32"/>
      <c r="R38" s="22">
        <v>20</v>
      </c>
      <c r="S38" s="22">
        <v>10</v>
      </c>
      <c r="T38" s="22">
        <v>10</v>
      </c>
      <c r="U38" s="22">
        <v>10</v>
      </c>
      <c r="V38" s="60">
        <f t="shared" si="8"/>
        <v>50</v>
      </c>
      <c r="W38" s="86"/>
      <c r="X38" s="86">
        <v>50</v>
      </c>
      <c r="Y38" s="86"/>
      <c r="Z38" s="86"/>
      <c r="AA38" s="86">
        <v>50</v>
      </c>
      <c r="AB38" s="21"/>
      <c r="AC38" s="77"/>
      <c r="AD38" s="21"/>
      <c r="AE38" s="77"/>
      <c r="AF38" s="21"/>
      <c r="AG38" s="21"/>
      <c r="AH38" s="21"/>
      <c r="AI38" s="21"/>
      <c r="AJ38" s="21"/>
      <c r="AK38" s="21"/>
      <c r="AL38" s="77"/>
      <c r="AM38" s="21"/>
      <c r="AN38" s="21">
        <v>8</v>
      </c>
      <c r="AO38" s="21">
        <v>9</v>
      </c>
      <c r="AP38" s="21">
        <v>10</v>
      </c>
      <c r="AQ38" s="21">
        <v>3</v>
      </c>
      <c r="AR38" s="21">
        <v>5</v>
      </c>
      <c r="AS38" s="77"/>
      <c r="AT38" s="21">
        <v>7</v>
      </c>
      <c r="AU38" s="21">
        <v>8</v>
      </c>
      <c r="AV38" s="21"/>
      <c r="AW38" s="21"/>
      <c r="AX38" s="21"/>
      <c r="AY38" s="21"/>
      <c r="AZ38" s="77"/>
      <c r="BA38" s="21"/>
      <c r="BB38" s="21"/>
      <c r="BC38" s="21"/>
      <c r="BD38" s="144">
        <f t="shared" si="9"/>
        <v>50</v>
      </c>
      <c r="BE38" s="94">
        <f t="shared" si="10"/>
        <v>0</v>
      </c>
      <c r="BF38" s="26"/>
      <c r="BH38" s="141" t="s">
        <v>2301</v>
      </c>
      <c r="BI38" s="141" t="s">
        <v>2398</v>
      </c>
      <c r="BJ38" s="141" t="s">
        <v>2386</v>
      </c>
      <c r="BK38" s="141" t="s">
        <v>2387</v>
      </c>
      <c r="BL38" s="141" t="s">
        <v>2399</v>
      </c>
      <c r="BM38" s="141" t="s">
        <v>2400</v>
      </c>
      <c r="BN38" s="141" t="s">
        <v>2401</v>
      </c>
      <c r="BO38" s="141" t="s">
        <v>2402</v>
      </c>
      <c r="BP38" s="141" t="s">
        <v>2403</v>
      </c>
      <c r="BQ38" s="141" t="s">
        <v>2404</v>
      </c>
      <c r="BR38" s="141" t="s">
        <v>2405</v>
      </c>
      <c r="BS38" s="141" t="s">
        <v>2406</v>
      </c>
      <c r="BT38" s="141" t="s">
        <v>2390</v>
      </c>
      <c r="BU38" s="141" t="s">
        <v>2391</v>
      </c>
      <c r="BV38" s="141" t="s">
        <v>2392</v>
      </c>
      <c r="BW38" s="141" t="s">
        <v>2393</v>
      </c>
      <c r="BX38" s="141" t="s">
        <v>2407</v>
      </c>
      <c r="BY38" s="141" t="s">
        <v>2408</v>
      </c>
      <c r="BZ38" s="141" t="s">
        <v>2409</v>
      </c>
      <c r="CA38" s="141" t="s">
        <v>2410</v>
      </c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</row>
    <row r="39" spans="1:93" s="7" customFormat="1" x14ac:dyDescent="0.25">
      <c r="A39" s="19" t="s">
        <v>2298</v>
      </c>
      <c r="B39" s="19" t="s">
        <v>2299</v>
      </c>
      <c r="C39" s="19">
        <v>96101419</v>
      </c>
      <c r="D39" s="20" t="s">
        <v>2301</v>
      </c>
      <c r="E39" s="21" t="s">
        <v>1860</v>
      </c>
      <c r="F39" s="21" t="s">
        <v>2318</v>
      </c>
      <c r="G39" s="21" t="s">
        <v>332</v>
      </c>
      <c r="H39" s="21" t="s">
        <v>2319</v>
      </c>
      <c r="I39" s="21" t="s">
        <v>254</v>
      </c>
      <c r="J39" s="21" t="s">
        <v>2083</v>
      </c>
      <c r="K39" s="21" t="s">
        <v>2325</v>
      </c>
      <c r="L39" s="21" t="s">
        <v>2068</v>
      </c>
      <c r="M39" s="19" t="s">
        <v>2332</v>
      </c>
      <c r="N39" s="19"/>
      <c r="O39" s="35">
        <v>20</v>
      </c>
      <c r="P39" s="35">
        <v>10</v>
      </c>
      <c r="Q39" s="32"/>
      <c r="R39" s="22">
        <v>10</v>
      </c>
      <c r="S39" s="22">
        <v>5</v>
      </c>
      <c r="T39" s="22">
        <v>5</v>
      </c>
      <c r="U39" s="22">
        <v>5</v>
      </c>
      <c r="V39" s="60">
        <f t="shared" si="8"/>
        <v>25</v>
      </c>
      <c r="W39" s="86"/>
      <c r="X39" s="86">
        <v>25</v>
      </c>
      <c r="Y39" s="86"/>
      <c r="Z39" s="86"/>
      <c r="AA39" s="86">
        <v>25</v>
      </c>
      <c r="AB39" s="21"/>
      <c r="AC39" s="77"/>
      <c r="AD39" s="21"/>
      <c r="AE39" s="77"/>
      <c r="AF39" s="21"/>
      <c r="AG39" s="21"/>
      <c r="AH39" s="21"/>
      <c r="AI39" s="21"/>
      <c r="AJ39" s="21"/>
      <c r="AK39" s="21"/>
      <c r="AL39" s="77"/>
      <c r="AM39" s="21"/>
      <c r="AN39" s="21">
        <v>5</v>
      </c>
      <c r="AO39" s="21">
        <v>5</v>
      </c>
      <c r="AP39" s="21">
        <v>5</v>
      </c>
      <c r="AQ39" s="21">
        <v>5</v>
      </c>
      <c r="AR39" s="21">
        <v>5</v>
      </c>
      <c r="AS39" s="77"/>
      <c r="AT39" s="21"/>
      <c r="AU39" s="21"/>
      <c r="AV39" s="21"/>
      <c r="AW39" s="21"/>
      <c r="AX39" s="21"/>
      <c r="AY39" s="21"/>
      <c r="AZ39" s="77"/>
      <c r="BA39" s="21"/>
      <c r="BB39" s="21"/>
      <c r="BC39" s="21"/>
      <c r="BD39" s="144">
        <f t="shared" si="9"/>
        <v>25</v>
      </c>
      <c r="BE39" s="94">
        <f t="shared" si="10"/>
        <v>0</v>
      </c>
      <c r="BF39" s="26"/>
      <c r="BH39" s="141" t="s">
        <v>2301</v>
      </c>
      <c r="BI39" s="141" t="s">
        <v>2398</v>
      </c>
      <c r="BJ39" s="141" t="s">
        <v>2386</v>
      </c>
      <c r="BK39" s="141" t="s">
        <v>2387</v>
      </c>
      <c r="BL39" s="141" t="s">
        <v>2399</v>
      </c>
      <c r="BM39" s="141" t="s">
        <v>2400</v>
      </c>
      <c r="BN39" s="141" t="s">
        <v>2401</v>
      </c>
      <c r="BO39" s="141" t="s">
        <v>2402</v>
      </c>
      <c r="BP39" s="141" t="s">
        <v>2403</v>
      </c>
      <c r="BQ39" s="141" t="s">
        <v>2404</v>
      </c>
      <c r="BR39" s="141" t="s">
        <v>2405</v>
      </c>
      <c r="BS39" s="141" t="s">
        <v>2406</v>
      </c>
      <c r="BT39" s="141" t="s">
        <v>2390</v>
      </c>
      <c r="BU39" s="141" t="s">
        <v>2391</v>
      </c>
      <c r="BV39" s="141" t="s">
        <v>2392</v>
      </c>
      <c r="BW39" s="141" t="s">
        <v>2393</v>
      </c>
      <c r="BX39" s="141" t="s">
        <v>2407</v>
      </c>
      <c r="BY39" s="141" t="s">
        <v>2408</v>
      </c>
      <c r="BZ39" s="141" t="s">
        <v>2409</v>
      </c>
      <c r="CA39" s="141" t="s">
        <v>2410</v>
      </c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</row>
    <row r="40" spans="1:93" s="7" customFormat="1" x14ac:dyDescent="0.25">
      <c r="A40" s="19" t="s">
        <v>2298</v>
      </c>
      <c r="B40" s="19" t="s">
        <v>2299</v>
      </c>
      <c r="C40" s="19">
        <v>96101365</v>
      </c>
      <c r="D40" s="20" t="s">
        <v>2301</v>
      </c>
      <c r="E40" s="21" t="s">
        <v>1860</v>
      </c>
      <c r="F40" s="21" t="s">
        <v>2318</v>
      </c>
      <c r="G40" s="21" t="s">
        <v>332</v>
      </c>
      <c r="H40" s="21" t="s">
        <v>234</v>
      </c>
      <c r="I40" s="21" t="s">
        <v>254</v>
      </c>
      <c r="J40" s="21" t="s">
        <v>2083</v>
      </c>
      <c r="K40" s="21" t="s">
        <v>2325</v>
      </c>
      <c r="L40" s="21" t="s">
        <v>2068</v>
      </c>
      <c r="M40" s="19" t="s">
        <v>2333</v>
      </c>
      <c r="N40" s="19"/>
      <c r="O40" s="35">
        <v>0</v>
      </c>
      <c r="P40" s="35">
        <v>0</v>
      </c>
      <c r="Q40" s="32"/>
      <c r="R40" s="22">
        <v>0</v>
      </c>
      <c r="S40" s="22">
        <v>0</v>
      </c>
      <c r="T40" s="22">
        <v>0</v>
      </c>
      <c r="U40" s="22">
        <v>5</v>
      </c>
      <c r="V40" s="60">
        <f t="shared" si="8"/>
        <v>5</v>
      </c>
      <c r="W40" s="86"/>
      <c r="X40" s="86">
        <v>5</v>
      </c>
      <c r="Y40" s="86"/>
      <c r="Z40" s="86"/>
      <c r="AA40" s="86">
        <v>5</v>
      </c>
      <c r="AB40" s="21"/>
      <c r="AC40" s="77"/>
      <c r="AD40" s="21"/>
      <c r="AE40" s="77"/>
      <c r="AF40" s="21"/>
      <c r="AG40" s="21"/>
      <c r="AH40" s="21"/>
      <c r="AI40" s="21"/>
      <c r="AJ40" s="21"/>
      <c r="AK40" s="21"/>
      <c r="AL40" s="77"/>
      <c r="AM40" s="21"/>
      <c r="AN40" s="21"/>
      <c r="AO40" s="21"/>
      <c r="AP40" s="21"/>
      <c r="AQ40" s="21"/>
      <c r="AR40" s="21">
        <v>5</v>
      </c>
      <c r="AS40" s="77"/>
      <c r="AT40" s="21"/>
      <c r="AU40" s="21"/>
      <c r="AV40" s="21"/>
      <c r="AW40" s="21"/>
      <c r="AX40" s="21"/>
      <c r="AY40" s="21"/>
      <c r="AZ40" s="77"/>
      <c r="BA40" s="21"/>
      <c r="BB40" s="21"/>
      <c r="BC40" s="21"/>
      <c r="BD40" s="144">
        <f t="shared" si="9"/>
        <v>5</v>
      </c>
      <c r="BE40" s="94">
        <f t="shared" si="10"/>
        <v>0</v>
      </c>
      <c r="BF40" s="26"/>
      <c r="BH40" s="141" t="s">
        <v>2301</v>
      </c>
      <c r="BI40" s="141" t="s">
        <v>2398</v>
      </c>
      <c r="BJ40" s="141" t="s">
        <v>2386</v>
      </c>
      <c r="BK40" s="141" t="s">
        <v>2387</v>
      </c>
      <c r="BL40" s="141" t="s">
        <v>2399</v>
      </c>
      <c r="BM40" s="141" t="s">
        <v>2400</v>
      </c>
      <c r="BN40" s="141" t="s">
        <v>2401</v>
      </c>
      <c r="BO40" s="141" t="s">
        <v>2402</v>
      </c>
      <c r="BP40" s="141" t="s">
        <v>2403</v>
      </c>
      <c r="BQ40" s="141" t="s">
        <v>2404</v>
      </c>
      <c r="BR40" s="141" t="s">
        <v>2405</v>
      </c>
      <c r="BS40" s="141" t="s">
        <v>2406</v>
      </c>
      <c r="BT40" s="141" t="s">
        <v>2390</v>
      </c>
      <c r="BU40" s="141" t="s">
        <v>2391</v>
      </c>
      <c r="BV40" s="141" t="s">
        <v>2392</v>
      </c>
      <c r="BW40" s="141" t="s">
        <v>2393</v>
      </c>
      <c r="BX40" s="141" t="s">
        <v>2407</v>
      </c>
      <c r="BY40" s="141" t="s">
        <v>2408</v>
      </c>
      <c r="BZ40" s="141" t="s">
        <v>2409</v>
      </c>
      <c r="CA40" s="141" t="s">
        <v>2410</v>
      </c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</row>
    <row r="41" spans="1:93" s="7" customFormat="1" x14ac:dyDescent="0.25">
      <c r="A41" s="19" t="s">
        <v>2298</v>
      </c>
      <c r="B41" s="19" t="s">
        <v>2299</v>
      </c>
      <c r="C41" s="19">
        <v>96101416</v>
      </c>
      <c r="D41" s="20">
        <v>96101416</v>
      </c>
      <c r="E41" s="21" t="s">
        <v>1860</v>
      </c>
      <c r="F41" s="21" t="s">
        <v>2318</v>
      </c>
      <c r="G41" s="21" t="s">
        <v>332</v>
      </c>
      <c r="H41" s="21" t="s">
        <v>234</v>
      </c>
      <c r="I41" s="21" t="s">
        <v>254</v>
      </c>
      <c r="J41" s="21" t="s">
        <v>2070</v>
      </c>
      <c r="K41" s="21" t="s">
        <v>2325</v>
      </c>
      <c r="L41" s="21" t="s">
        <v>2068</v>
      </c>
      <c r="M41" s="19" t="s">
        <v>2334</v>
      </c>
      <c r="N41" s="19"/>
      <c r="O41" s="35">
        <v>60</v>
      </c>
      <c r="P41" s="35">
        <v>30</v>
      </c>
      <c r="Q41" s="32"/>
      <c r="R41" s="22">
        <v>20</v>
      </c>
      <c r="S41" s="22">
        <v>20</v>
      </c>
      <c r="T41" s="22">
        <v>20</v>
      </c>
      <c r="U41" s="22">
        <v>10</v>
      </c>
      <c r="V41" s="60">
        <f t="shared" si="8"/>
        <v>70</v>
      </c>
      <c r="W41" s="86"/>
      <c r="X41" s="86">
        <v>12</v>
      </c>
      <c r="Y41" s="86">
        <v>58</v>
      </c>
      <c r="Z41" s="86"/>
      <c r="AA41" s="86">
        <v>70</v>
      </c>
      <c r="AB41" s="21"/>
      <c r="AC41" s="77"/>
      <c r="AD41" s="21"/>
      <c r="AE41" s="77"/>
      <c r="AF41" s="21"/>
      <c r="AG41" s="21"/>
      <c r="AH41" s="21"/>
      <c r="AI41" s="21"/>
      <c r="AJ41" s="21"/>
      <c r="AK41" s="21"/>
      <c r="AL41" s="77"/>
      <c r="AM41" s="21">
        <v>4</v>
      </c>
      <c r="AN41" s="21">
        <v>4</v>
      </c>
      <c r="AO41" s="21">
        <v>4</v>
      </c>
      <c r="AP41" s="21"/>
      <c r="AQ41" s="21"/>
      <c r="AR41" s="21"/>
      <c r="AS41" s="77"/>
      <c r="AT41" s="21"/>
      <c r="AU41" s="21"/>
      <c r="AV41" s="21">
        <v>6</v>
      </c>
      <c r="AW41" s="21">
        <v>4</v>
      </c>
      <c r="AX41" s="21">
        <v>3</v>
      </c>
      <c r="AY41" s="21">
        <v>8</v>
      </c>
      <c r="AZ41" s="77"/>
      <c r="BA41" s="21">
        <v>8</v>
      </c>
      <c r="BB41" s="21">
        <v>8</v>
      </c>
      <c r="BC41" s="21">
        <v>10</v>
      </c>
      <c r="BD41" s="144">
        <f t="shared" si="9"/>
        <v>59</v>
      </c>
      <c r="BE41" s="94">
        <f t="shared" si="10"/>
        <v>11</v>
      </c>
      <c r="BF41" s="26"/>
      <c r="BH41" s="141">
        <v>96101416</v>
      </c>
      <c r="BI41" s="141" t="s">
        <v>2334</v>
      </c>
      <c r="BJ41" s="141" t="s">
        <v>2386</v>
      </c>
      <c r="BK41" s="141" t="s">
        <v>2387</v>
      </c>
      <c r="BL41" s="141" t="s">
        <v>2399</v>
      </c>
      <c r="BM41" s="141" t="s">
        <v>2400</v>
      </c>
      <c r="BN41" s="141" t="s">
        <v>2401</v>
      </c>
      <c r="BO41" s="141" t="s">
        <v>2402</v>
      </c>
      <c r="BP41" s="141" t="s">
        <v>2403</v>
      </c>
      <c r="BQ41" s="141" t="s">
        <v>2404</v>
      </c>
      <c r="BR41" s="141" t="s">
        <v>2405</v>
      </c>
      <c r="BS41" s="141" t="s">
        <v>2406</v>
      </c>
      <c r="BT41" s="141" t="s">
        <v>2390</v>
      </c>
      <c r="BU41" s="141" t="s">
        <v>2391</v>
      </c>
      <c r="BV41" s="141" t="s">
        <v>2392</v>
      </c>
      <c r="BW41" s="141" t="s">
        <v>2393</v>
      </c>
      <c r="BX41" s="141" t="s">
        <v>2407</v>
      </c>
      <c r="BY41" s="141" t="s">
        <v>2408</v>
      </c>
      <c r="BZ41" s="141" t="s">
        <v>2409</v>
      </c>
      <c r="CA41" s="141" t="s">
        <v>2411</v>
      </c>
      <c r="CB41" s="142"/>
      <c r="CC41" s="142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</row>
    <row r="42" spans="1:93" s="7" customFormat="1" x14ac:dyDescent="0.25">
      <c r="A42" s="19" t="s">
        <v>2298</v>
      </c>
      <c r="B42" s="19" t="s">
        <v>2299</v>
      </c>
      <c r="C42" s="19">
        <v>96201436</v>
      </c>
      <c r="D42" s="20" t="s">
        <v>2302</v>
      </c>
      <c r="E42" s="21" t="s">
        <v>1860</v>
      </c>
      <c r="F42" s="21" t="s">
        <v>2320</v>
      </c>
      <c r="G42" s="21" t="s">
        <v>332</v>
      </c>
      <c r="H42" s="21" t="s">
        <v>234</v>
      </c>
      <c r="I42" s="21" t="s">
        <v>254</v>
      </c>
      <c r="J42" s="21" t="s">
        <v>2083</v>
      </c>
      <c r="K42" s="21" t="s">
        <v>2325</v>
      </c>
      <c r="L42" s="21" t="s">
        <v>2068</v>
      </c>
      <c r="M42" s="19" t="s">
        <v>2335</v>
      </c>
      <c r="N42" s="19"/>
      <c r="O42" s="35">
        <v>10</v>
      </c>
      <c r="P42" s="35">
        <v>10</v>
      </c>
      <c r="Q42" s="32"/>
      <c r="R42" s="22">
        <v>5</v>
      </c>
      <c r="S42" s="22">
        <v>5</v>
      </c>
      <c r="T42" s="22">
        <v>5</v>
      </c>
      <c r="U42" s="22">
        <v>5</v>
      </c>
      <c r="V42" s="60">
        <f t="shared" si="8"/>
        <v>20</v>
      </c>
      <c r="W42" s="86"/>
      <c r="X42" s="86">
        <v>20</v>
      </c>
      <c r="Y42" s="86"/>
      <c r="Z42" s="86"/>
      <c r="AA42" s="86">
        <v>20</v>
      </c>
      <c r="AB42" s="21"/>
      <c r="AC42" s="77"/>
      <c r="AD42" s="21"/>
      <c r="AE42" s="77"/>
      <c r="AF42" s="21"/>
      <c r="AG42" s="21"/>
      <c r="AH42" s="21"/>
      <c r="AI42" s="21"/>
      <c r="AJ42" s="21"/>
      <c r="AK42" s="21"/>
      <c r="AL42" s="77"/>
      <c r="AM42" s="21"/>
      <c r="AN42" s="21">
        <v>4</v>
      </c>
      <c r="AO42" s="21">
        <v>4</v>
      </c>
      <c r="AP42" s="21">
        <v>4</v>
      </c>
      <c r="AQ42" s="21">
        <v>4</v>
      </c>
      <c r="AR42" s="21">
        <v>4</v>
      </c>
      <c r="AS42" s="77"/>
      <c r="AT42" s="21"/>
      <c r="AU42" s="21"/>
      <c r="AV42" s="21"/>
      <c r="AW42" s="21"/>
      <c r="AX42" s="21"/>
      <c r="AY42" s="21"/>
      <c r="AZ42" s="77"/>
      <c r="BA42" s="21"/>
      <c r="BB42" s="21"/>
      <c r="BC42" s="21"/>
      <c r="BD42" s="144">
        <f t="shared" si="9"/>
        <v>20</v>
      </c>
      <c r="BE42" s="94">
        <f t="shared" si="10"/>
        <v>0</v>
      </c>
      <c r="BF42" s="26"/>
      <c r="BH42" s="141" t="s">
        <v>2302</v>
      </c>
      <c r="BI42" s="141" t="s">
        <v>2412</v>
      </c>
      <c r="BJ42" s="141" t="s">
        <v>2386</v>
      </c>
      <c r="BK42" s="141" t="s">
        <v>2387</v>
      </c>
      <c r="BL42" s="141" t="s">
        <v>2399</v>
      </c>
      <c r="BM42" s="141" t="s">
        <v>2400</v>
      </c>
      <c r="BN42" s="141" t="s">
        <v>2401</v>
      </c>
      <c r="BO42" s="141" t="s">
        <v>2402</v>
      </c>
      <c r="BP42" s="141" t="s">
        <v>2403</v>
      </c>
      <c r="BQ42" s="141" t="s">
        <v>2404</v>
      </c>
      <c r="BR42" s="141" t="s">
        <v>2405</v>
      </c>
      <c r="BS42" s="141" t="s">
        <v>2406</v>
      </c>
      <c r="BT42" s="141" t="s">
        <v>2390</v>
      </c>
      <c r="BU42" s="141" t="s">
        <v>2391</v>
      </c>
      <c r="BV42" s="141" t="s">
        <v>2392</v>
      </c>
      <c r="BW42" s="141" t="s">
        <v>2393</v>
      </c>
      <c r="BX42" s="141" t="s">
        <v>2407</v>
      </c>
      <c r="BY42" s="141" t="s">
        <v>2408</v>
      </c>
      <c r="BZ42" s="141" t="s">
        <v>2409</v>
      </c>
      <c r="CA42" s="141" t="s">
        <v>2410</v>
      </c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</row>
    <row r="43" spans="1:93" s="7" customFormat="1" x14ac:dyDescent="0.25">
      <c r="A43" s="19" t="s">
        <v>2298</v>
      </c>
      <c r="B43" s="19" t="s">
        <v>2299</v>
      </c>
      <c r="C43" s="19">
        <v>96201437</v>
      </c>
      <c r="D43" s="20" t="s">
        <v>2302</v>
      </c>
      <c r="E43" s="21" t="s">
        <v>1860</v>
      </c>
      <c r="F43" s="21" t="s">
        <v>2320</v>
      </c>
      <c r="G43" s="21" t="s">
        <v>332</v>
      </c>
      <c r="H43" s="21" t="s">
        <v>2319</v>
      </c>
      <c r="I43" s="21" t="s">
        <v>254</v>
      </c>
      <c r="J43" s="21" t="s">
        <v>2083</v>
      </c>
      <c r="K43" s="21" t="s">
        <v>2325</v>
      </c>
      <c r="L43" s="21" t="s">
        <v>2068</v>
      </c>
      <c r="M43" s="19" t="s">
        <v>2336</v>
      </c>
      <c r="N43" s="19"/>
      <c r="O43" s="35">
        <v>5</v>
      </c>
      <c r="P43" s="35">
        <v>5</v>
      </c>
      <c r="Q43" s="32"/>
      <c r="R43" s="22">
        <v>5</v>
      </c>
      <c r="S43" s="22">
        <v>5</v>
      </c>
      <c r="T43" s="22">
        <v>5</v>
      </c>
      <c r="U43" s="22">
        <v>4</v>
      </c>
      <c r="V43" s="60">
        <f t="shared" si="8"/>
        <v>19</v>
      </c>
      <c r="W43" s="86"/>
      <c r="X43" s="86">
        <v>19</v>
      </c>
      <c r="Y43" s="86"/>
      <c r="Z43" s="86"/>
      <c r="AA43" s="86">
        <v>19</v>
      </c>
      <c r="AB43" s="21"/>
      <c r="AC43" s="77"/>
      <c r="AD43" s="21"/>
      <c r="AE43" s="77"/>
      <c r="AF43" s="21"/>
      <c r="AG43" s="21"/>
      <c r="AH43" s="21"/>
      <c r="AI43" s="21"/>
      <c r="AJ43" s="21"/>
      <c r="AK43" s="21"/>
      <c r="AL43" s="77"/>
      <c r="AM43" s="21"/>
      <c r="AN43" s="21"/>
      <c r="AO43" s="21"/>
      <c r="AP43" s="21">
        <v>3</v>
      </c>
      <c r="AQ43" s="21">
        <v>3</v>
      </c>
      <c r="AR43" s="21">
        <v>6</v>
      </c>
      <c r="AS43" s="77"/>
      <c r="AT43" s="21"/>
      <c r="AU43" s="21">
        <v>7</v>
      </c>
      <c r="AV43" s="21"/>
      <c r="AW43" s="21"/>
      <c r="AX43" s="21"/>
      <c r="AY43" s="21"/>
      <c r="AZ43" s="77"/>
      <c r="BA43" s="21"/>
      <c r="BB43" s="21"/>
      <c r="BC43" s="21"/>
      <c r="BD43" s="144">
        <f t="shared" si="9"/>
        <v>19</v>
      </c>
      <c r="BE43" s="94">
        <f t="shared" si="10"/>
        <v>0</v>
      </c>
      <c r="BF43" s="26"/>
      <c r="BH43" s="141" t="s">
        <v>2302</v>
      </c>
      <c r="BI43" s="141" t="s">
        <v>2412</v>
      </c>
      <c r="BJ43" s="141" t="s">
        <v>2386</v>
      </c>
      <c r="BK43" s="141" t="s">
        <v>2387</v>
      </c>
      <c r="BL43" s="141" t="s">
        <v>2399</v>
      </c>
      <c r="BM43" s="141" t="s">
        <v>2400</v>
      </c>
      <c r="BN43" s="141" t="s">
        <v>2401</v>
      </c>
      <c r="BO43" s="141" t="s">
        <v>2402</v>
      </c>
      <c r="BP43" s="141" t="s">
        <v>2403</v>
      </c>
      <c r="BQ43" s="141" t="s">
        <v>2404</v>
      </c>
      <c r="BR43" s="141" t="s">
        <v>2405</v>
      </c>
      <c r="BS43" s="141" t="s">
        <v>2406</v>
      </c>
      <c r="BT43" s="141" t="s">
        <v>2390</v>
      </c>
      <c r="BU43" s="141" t="s">
        <v>2391</v>
      </c>
      <c r="BV43" s="141" t="s">
        <v>2392</v>
      </c>
      <c r="BW43" s="141" t="s">
        <v>2393</v>
      </c>
      <c r="BX43" s="141" t="s">
        <v>2407</v>
      </c>
      <c r="BY43" s="141" t="s">
        <v>2408</v>
      </c>
      <c r="BZ43" s="141" t="s">
        <v>2409</v>
      </c>
      <c r="CA43" s="141" t="s">
        <v>2410</v>
      </c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</row>
    <row r="44" spans="1:93" s="7" customFormat="1" x14ac:dyDescent="0.25">
      <c r="A44" s="19" t="s">
        <v>2298</v>
      </c>
      <c r="B44" s="19" t="s">
        <v>2299</v>
      </c>
      <c r="C44" s="19">
        <v>96201426</v>
      </c>
      <c r="D44" s="20">
        <v>96201426</v>
      </c>
      <c r="E44" s="21" t="s">
        <v>1860</v>
      </c>
      <c r="F44" s="21" t="s">
        <v>2320</v>
      </c>
      <c r="G44" s="21" t="s">
        <v>332</v>
      </c>
      <c r="H44" s="21" t="s">
        <v>234</v>
      </c>
      <c r="I44" s="21" t="s">
        <v>254</v>
      </c>
      <c r="J44" s="21" t="s">
        <v>2070</v>
      </c>
      <c r="K44" s="21" t="s">
        <v>2325</v>
      </c>
      <c r="L44" s="21" t="s">
        <v>2068</v>
      </c>
      <c r="M44" s="19" t="s">
        <v>2337</v>
      </c>
      <c r="N44" s="19"/>
      <c r="O44" s="35">
        <v>40</v>
      </c>
      <c r="P44" s="35">
        <v>20</v>
      </c>
      <c r="Q44" s="32"/>
      <c r="R44" s="22">
        <v>10</v>
      </c>
      <c r="S44" s="22">
        <v>5</v>
      </c>
      <c r="T44" s="22">
        <v>10</v>
      </c>
      <c r="U44" s="22">
        <v>15</v>
      </c>
      <c r="V44" s="60">
        <f t="shared" si="8"/>
        <v>40</v>
      </c>
      <c r="W44" s="86"/>
      <c r="X44" s="86">
        <v>35</v>
      </c>
      <c r="Y44" s="86"/>
      <c r="Z44" s="86"/>
      <c r="AA44" s="86">
        <v>35</v>
      </c>
      <c r="AB44" s="21"/>
      <c r="AC44" s="77"/>
      <c r="AD44" s="21"/>
      <c r="AE44" s="77"/>
      <c r="AF44" s="21"/>
      <c r="AG44" s="21"/>
      <c r="AH44" s="21"/>
      <c r="AI44" s="21"/>
      <c r="AJ44" s="21"/>
      <c r="AK44" s="21"/>
      <c r="AL44" s="77"/>
      <c r="AM44" s="21">
        <v>7</v>
      </c>
      <c r="AN44" s="21">
        <v>7</v>
      </c>
      <c r="AO44" s="21">
        <v>7</v>
      </c>
      <c r="AP44" s="21">
        <v>7</v>
      </c>
      <c r="AQ44" s="21">
        <v>7</v>
      </c>
      <c r="AR44" s="21"/>
      <c r="AS44" s="77"/>
      <c r="AT44" s="21"/>
      <c r="AU44" s="21"/>
      <c r="AV44" s="21"/>
      <c r="AW44" s="21"/>
      <c r="AX44" s="21"/>
      <c r="AY44" s="21"/>
      <c r="AZ44" s="77"/>
      <c r="BA44" s="21"/>
      <c r="BB44" s="21"/>
      <c r="BC44" s="21"/>
      <c r="BD44" s="144">
        <f t="shared" si="9"/>
        <v>35</v>
      </c>
      <c r="BE44" s="94">
        <f t="shared" si="10"/>
        <v>0</v>
      </c>
      <c r="BF44" s="26"/>
      <c r="BH44" s="141">
        <v>96201426</v>
      </c>
      <c r="BI44" s="141" t="s">
        <v>2337</v>
      </c>
      <c r="BJ44" s="141" t="s">
        <v>2386</v>
      </c>
      <c r="BK44" s="141" t="s">
        <v>2387</v>
      </c>
      <c r="BL44" s="141" t="s">
        <v>2399</v>
      </c>
      <c r="BM44" s="141" t="s">
        <v>2400</v>
      </c>
      <c r="BN44" s="141" t="s">
        <v>2401</v>
      </c>
      <c r="BO44" s="141" t="s">
        <v>2402</v>
      </c>
      <c r="BP44" s="141" t="s">
        <v>2403</v>
      </c>
      <c r="BQ44" s="141" t="s">
        <v>2404</v>
      </c>
      <c r="BR44" s="141" t="s">
        <v>2405</v>
      </c>
      <c r="BS44" s="141" t="s">
        <v>2406</v>
      </c>
      <c r="BT44" s="141" t="s">
        <v>2390</v>
      </c>
      <c r="BU44" s="141" t="s">
        <v>2391</v>
      </c>
      <c r="BV44" s="141" t="s">
        <v>2392</v>
      </c>
      <c r="BW44" s="141" t="s">
        <v>2393</v>
      </c>
      <c r="BX44" s="141" t="s">
        <v>2407</v>
      </c>
      <c r="BY44" s="141" t="s">
        <v>2408</v>
      </c>
      <c r="BZ44" s="141" t="s">
        <v>2409</v>
      </c>
      <c r="CA44" s="141" t="s">
        <v>2411</v>
      </c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</row>
    <row r="45" spans="1:93" s="7" customFormat="1" x14ac:dyDescent="0.25">
      <c r="A45" s="19" t="s">
        <v>2298</v>
      </c>
      <c r="B45" s="19" t="s">
        <v>2299</v>
      </c>
      <c r="C45" s="19">
        <v>96101567</v>
      </c>
      <c r="D45" s="20">
        <v>96101567</v>
      </c>
      <c r="E45" s="21" t="s">
        <v>1860</v>
      </c>
      <c r="F45" s="21" t="s">
        <v>2318</v>
      </c>
      <c r="G45" s="21" t="s">
        <v>332</v>
      </c>
      <c r="H45" s="21" t="s">
        <v>2319</v>
      </c>
      <c r="I45" s="21" t="s">
        <v>254</v>
      </c>
      <c r="J45" s="21" t="s">
        <v>2070</v>
      </c>
      <c r="K45" s="21" t="s">
        <v>2325</v>
      </c>
      <c r="L45" s="21" t="s">
        <v>2068</v>
      </c>
      <c r="M45" s="19" t="s">
        <v>2338</v>
      </c>
      <c r="N45" s="19"/>
      <c r="O45" s="35">
        <v>5</v>
      </c>
      <c r="P45" s="35">
        <v>5</v>
      </c>
      <c r="Q45" s="32"/>
      <c r="R45" s="22">
        <v>3</v>
      </c>
      <c r="S45" s="22">
        <v>2</v>
      </c>
      <c r="T45" s="22">
        <v>3</v>
      </c>
      <c r="U45" s="22">
        <v>2</v>
      </c>
      <c r="V45" s="60">
        <f t="shared" si="8"/>
        <v>10</v>
      </c>
      <c r="W45" s="86"/>
      <c r="X45" s="86"/>
      <c r="Y45" s="86"/>
      <c r="Z45" s="86">
        <v>10</v>
      </c>
      <c r="AA45" s="86">
        <v>10</v>
      </c>
      <c r="AB45" s="21"/>
      <c r="AC45" s="77"/>
      <c r="AD45" s="21"/>
      <c r="AE45" s="77"/>
      <c r="AF45" s="21"/>
      <c r="AG45" s="21"/>
      <c r="AH45" s="21"/>
      <c r="AI45" s="21"/>
      <c r="AJ45" s="21"/>
      <c r="AK45" s="21"/>
      <c r="AL45" s="77"/>
      <c r="AM45" s="21"/>
      <c r="AN45" s="21"/>
      <c r="AO45" s="21"/>
      <c r="AP45" s="21"/>
      <c r="AQ45" s="21"/>
      <c r="AR45" s="21"/>
      <c r="AS45" s="77"/>
      <c r="AT45" s="21"/>
      <c r="AU45" s="21"/>
      <c r="AV45" s="21"/>
      <c r="AW45" s="21"/>
      <c r="AX45" s="21">
        <v>2</v>
      </c>
      <c r="AY45" s="21">
        <v>2</v>
      </c>
      <c r="AZ45" s="77"/>
      <c r="BA45" s="21">
        <v>2</v>
      </c>
      <c r="BB45" s="21">
        <v>2</v>
      </c>
      <c r="BC45" s="21"/>
      <c r="BD45" s="144">
        <f t="shared" si="9"/>
        <v>8</v>
      </c>
      <c r="BE45" s="94">
        <f t="shared" si="10"/>
        <v>2</v>
      </c>
      <c r="BF45" s="26"/>
      <c r="BH45" s="141">
        <v>96101567</v>
      </c>
      <c r="BI45" s="141" t="s">
        <v>2338</v>
      </c>
      <c r="BJ45" s="141" t="s">
        <v>2386</v>
      </c>
      <c r="BK45" s="141" t="s">
        <v>2387</v>
      </c>
      <c r="BL45" s="141" t="s">
        <v>2413</v>
      </c>
      <c r="BM45" s="141" t="s">
        <v>2414</v>
      </c>
      <c r="BN45" s="141" t="s">
        <v>2401</v>
      </c>
      <c r="BO45" s="141" t="s">
        <v>2402</v>
      </c>
      <c r="BP45" s="141" t="s">
        <v>2403</v>
      </c>
      <c r="BQ45" s="141" t="s">
        <v>2404</v>
      </c>
      <c r="BR45" s="141" t="s">
        <v>2415</v>
      </c>
      <c r="BS45" s="141" t="s">
        <v>2406</v>
      </c>
      <c r="BT45" s="141" t="s">
        <v>2390</v>
      </c>
      <c r="BU45" s="141" t="s">
        <v>2391</v>
      </c>
      <c r="BV45" s="141" t="s">
        <v>2392</v>
      </c>
      <c r="BW45" s="141" t="s">
        <v>2393</v>
      </c>
      <c r="BX45" s="141" t="s">
        <v>2416</v>
      </c>
      <c r="BY45" s="141" t="s">
        <v>2417</v>
      </c>
      <c r="BZ45" s="141" t="s">
        <v>2418</v>
      </c>
      <c r="CA45" s="141" t="s">
        <v>2411</v>
      </c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</row>
    <row r="46" spans="1:93" s="7" customFormat="1" x14ac:dyDescent="0.25">
      <c r="A46" s="19" t="s">
        <v>2298</v>
      </c>
      <c r="B46" s="19" t="s">
        <v>2299</v>
      </c>
      <c r="C46" s="19">
        <v>96101568</v>
      </c>
      <c r="D46" s="20" t="s">
        <v>2303</v>
      </c>
      <c r="E46" s="21" t="s">
        <v>1860</v>
      </c>
      <c r="F46" s="21" t="s">
        <v>2318</v>
      </c>
      <c r="G46" s="21" t="s">
        <v>332</v>
      </c>
      <c r="H46" s="21" t="s">
        <v>234</v>
      </c>
      <c r="I46" s="21" t="s">
        <v>254</v>
      </c>
      <c r="J46" s="21" t="s">
        <v>2083</v>
      </c>
      <c r="K46" s="21" t="s">
        <v>2325</v>
      </c>
      <c r="L46" s="21" t="s">
        <v>2068</v>
      </c>
      <c r="M46" s="19" t="s">
        <v>2339</v>
      </c>
      <c r="N46" s="19"/>
      <c r="O46" s="35">
        <v>10</v>
      </c>
      <c r="P46" s="35">
        <v>5</v>
      </c>
      <c r="Q46" s="32"/>
      <c r="R46" s="22">
        <v>15</v>
      </c>
      <c r="S46" s="22">
        <v>5</v>
      </c>
      <c r="T46" s="22">
        <v>5</v>
      </c>
      <c r="U46" s="22">
        <v>5</v>
      </c>
      <c r="V46" s="60">
        <f t="shared" si="8"/>
        <v>30</v>
      </c>
      <c r="W46" s="86"/>
      <c r="X46" s="86"/>
      <c r="Y46" s="86">
        <v>10</v>
      </c>
      <c r="Z46" s="86">
        <v>20</v>
      </c>
      <c r="AA46" s="86">
        <v>30</v>
      </c>
      <c r="AB46" s="21"/>
      <c r="AC46" s="77"/>
      <c r="AD46" s="21"/>
      <c r="AE46" s="77"/>
      <c r="AF46" s="21"/>
      <c r="AG46" s="21"/>
      <c r="AH46" s="21"/>
      <c r="AI46" s="21"/>
      <c r="AJ46" s="21"/>
      <c r="AK46" s="21"/>
      <c r="AL46" s="77"/>
      <c r="AM46" s="21"/>
      <c r="AN46" s="21"/>
      <c r="AO46" s="21"/>
      <c r="AP46" s="21"/>
      <c r="AQ46" s="21"/>
      <c r="AR46" s="21"/>
      <c r="AS46" s="77"/>
      <c r="AT46" s="21"/>
      <c r="AU46" s="21"/>
      <c r="AV46" s="21">
        <v>6</v>
      </c>
      <c r="AW46" s="21">
        <v>4</v>
      </c>
      <c r="AX46" s="21">
        <v>3</v>
      </c>
      <c r="AY46" s="21">
        <v>3</v>
      </c>
      <c r="AZ46" s="77"/>
      <c r="BA46" s="21">
        <v>2</v>
      </c>
      <c r="BB46" s="21">
        <v>3</v>
      </c>
      <c r="BC46" s="21">
        <v>3</v>
      </c>
      <c r="BD46" s="144">
        <f t="shared" si="9"/>
        <v>24</v>
      </c>
      <c r="BE46" s="94">
        <f t="shared" si="10"/>
        <v>6</v>
      </c>
      <c r="BF46" s="26"/>
      <c r="BH46" s="141" t="s">
        <v>2303</v>
      </c>
      <c r="BI46" s="141" t="s">
        <v>2419</v>
      </c>
      <c r="BJ46" s="141" t="s">
        <v>2386</v>
      </c>
      <c r="BK46" s="141" t="s">
        <v>2387</v>
      </c>
      <c r="BL46" s="141" t="s">
        <v>2413</v>
      </c>
      <c r="BM46" s="141" t="s">
        <v>2414</v>
      </c>
      <c r="BN46" s="141" t="s">
        <v>2401</v>
      </c>
      <c r="BO46" s="141" t="s">
        <v>2402</v>
      </c>
      <c r="BP46" s="141" t="s">
        <v>2403</v>
      </c>
      <c r="BQ46" s="141" t="s">
        <v>2404</v>
      </c>
      <c r="BR46" s="141" t="s">
        <v>2415</v>
      </c>
      <c r="BS46" s="141" t="s">
        <v>2406</v>
      </c>
      <c r="BT46" s="141" t="s">
        <v>2390</v>
      </c>
      <c r="BU46" s="141" t="s">
        <v>2391</v>
      </c>
      <c r="BV46" s="141" t="s">
        <v>2392</v>
      </c>
      <c r="BW46" s="141" t="s">
        <v>2393</v>
      </c>
      <c r="BX46" s="141" t="s">
        <v>2416</v>
      </c>
      <c r="BY46" s="141" t="s">
        <v>2417</v>
      </c>
      <c r="BZ46" s="141" t="s">
        <v>2418</v>
      </c>
      <c r="CA46" s="141" t="s">
        <v>2410</v>
      </c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</row>
    <row r="47" spans="1:93" s="7" customFormat="1" x14ac:dyDescent="0.25">
      <c r="A47" s="19" t="s">
        <v>2298</v>
      </c>
      <c r="B47" s="19" t="s">
        <v>2299</v>
      </c>
      <c r="C47" s="19">
        <v>96101569</v>
      </c>
      <c r="D47" s="20" t="s">
        <v>2303</v>
      </c>
      <c r="E47" s="21" t="s">
        <v>1860</v>
      </c>
      <c r="F47" s="21" t="s">
        <v>2318</v>
      </c>
      <c r="G47" s="21" t="s">
        <v>332</v>
      </c>
      <c r="H47" s="21" t="s">
        <v>2319</v>
      </c>
      <c r="I47" s="21" t="s">
        <v>254</v>
      </c>
      <c r="J47" s="21" t="s">
        <v>2083</v>
      </c>
      <c r="K47" s="21" t="s">
        <v>2325</v>
      </c>
      <c r="L47" s="21" t="s">
        <v>2068</v>
      </c>
      <c r="M47" s="19" t="s">
        <v>2340</v>
      </c>
      <c r="N47" s="19"/>
      <c r="O47" s="35">
        <v>5</v>
      </c>
      <c r="P47" s="35">
        <v>5</v>
      </c>
      <c r="Q47" s="32"/>
      <c r="R47" s="22">
        <v>3</v>
      </c>
      <c r="S47" s="22">
        <v>2</v>
      </c>
      <c r="T47" s="22">
        <v>3</v>
      </c>
      <c r="U47" s="22">
        <v>2</v>
      </c>
      <c r="V47" s="60">
        <f t="shared" si="8"/>
        <v>10</v>
      </c>
      <c r="W47" s="86"/>
      <c r="X47" s="86"/>
      <c r="Y47" s="86">
        <v>10</v>
      </c>
      <c r="Z47" s="86"/>
      <c r="AA47" s="86">
        <v>10</v>
      </c>
      <c r="AB47" s="21"/>
      <c r="AC47" s="77"/>
      <c r="AD47" s="21"/>
      <c r="AE47" s="77"/>
      <c r="AF47" s="21"/>
      <c r="AG47" s="21"/>
      <c r="AH47" s="21"/>
      <c r="AI47" s="21"/>
      <c r="AJ47" s="21"/>
      <c r="AK47" s="21"/>
      <c r="AL47" s="77"/>
      <c r="AM47" s="21"/>
      <c r="AN47" s="21"/>
      <c r="AO47" s="21"/>
      <c r="AP47" s="21"/>
      <c r="AQ47" s="21"/>
      <c r="AR47" s="21"/>
      <c r="AS47" s="77"/>
      <c r="AT47" s="21"/>
      <c r="AU47" s="21"/>
      <c r="AV47" s="21">
        <v>5</v>
      </c>
      <c r="AW47" s="21">
        <v>5</v>
      </c>
      <c r="AX47" s="21"/>
      <c r="AY47" s="21"/>
      <c r="AZ47" s="77"/>
      <c r="BA47" s="21"/>
      <c r="BB47" s="21"/>
      <c r="BC47" s="21"/>
      <c r="BD47" s="144">
        <f t="shared" si="9"/>
        <v>10</v>
      </c>
      <c r="BE47" s="94">
        <f t="shared" si="10"/>
        <v>0</v>
      </c>
      <c r="BF47" s="26"/>
      <c r="BH47" s="141" t="s">
        <v>2303</v>
      </c>
      <c r="BI47" s="141" t="s">
        <v>2419</v>
      </c>
      <c r="BJ47" s="141" t="s">
        <v>2386</v>
      </c>
      <c r="BK47" s="141" t="s">
        <v>2387</v>
      </c>
      <c r="BL47" s="141" t="s">
        <v>2413</v>
      </c>
      <c r="BM47" s="141" t="s">
        <v>2414</v>
      </c>
      <c r="BN47" s="141" t="s">
        <v>2401</v>
      </c>
      <c r="BO47" s="141" t="s">
        <v>2402</v>
      </c>
      <c r="BP47" s="141" t="s">
        <v>2403</v>
      </c>
      <c r="BQ47" s="141" t="s">
        <v>2404</v>
      </c>
      <c r="BR47" s="141" t="s">
        <v>2415</v>
      </c>
      <c r="BS47" s="141" t="s">
        <v>2406</v>
      </c>
      <c r="BT47" s="141" t="s">
        <v>2390</v>
      </c>
      <c r="BU47" s="141" t="s">
        <v>2391</v>
      </c>
      <c r="BV47" s="141" t="s">
        <v>2392</v>
      </c>
      <c r="BW47" s="141" t="s">
        <v>2393</v>
      </c>
      <c r="BX47" s="141" t="s">
        <v>2416</v>
      </c>
      <c r="BY47" s="141" t="s">
        <v>2417</v>
      </c>
      <c r="BZ47" s="141" t="s">
        <v>2418</v>
      </c>
      <c r="CA47" s="141" t="s">
        <v>2410</v>
      </c>
      <c r="CB47" s="142"/>
      <c r="CC47" s="142"/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</row>
    <row r="48" spans="1:93" s="7" customFormat="1" x14ac:dyDescent="0.25">
      <c r="A48" s="19" t="s">
        <v>2298</v>
      </c>
      <c r="B48" s="19" t="s">
        <v>2299</v>
      </c>
      <c r="C48" s="19">
        <v>96101531</v>
      </c>
      <c r="D48" s="20" t="s">
        <v>2301</v>
      </c>
      <c r="E48" s="21" t="s">
        <v>1860</v>
      </c>
      <c r="F48" s="21" t="s">
        <v>2318</v>
      </c>
      <c r="G48" s="21" t="s">
        <v>332</v>
      </c>
      <c r="H48" s="21" t="s">
        <v>234</v>
      </c>
      <c r="I48" s="21" t="s">
        <v>254</v>
      </c>
      <c r="J48" s="21" t="s">
        <v>2069</v>
      </c>
      <c r="K48" s="21" t="s">
        <v>2325</v>
      </c>
      <c r="L48" s="21" t="s">
        <v>2068</v>
      </c>
      <c r="M48" s="19" t="s">
        <v>2342</v>
      </c>
      <c r="N48" s="19"/>
      <c r="O48" s="35">
        <v>0</v>
      </c>
      <c r="P48" s="35">
        <v>0</v>
      </c>
      <c r="Q48" s="32"/>
      <c r="R48" s="22">
        <v>0</v>
      </c>
      <c r="S48" s="22">
        <v>0</v>
      </c>
      <c r="T48" s="22">
        <v>0</v>
      </c>
      <c r="U48" s="22">
        <v>5</v>
      </c>
      <c r="V48" s="60">
        <f t="shared" si="8"/>
        <v>5</v>
      </c>
      <c r="W48" s="86"/>
      <c r="X48" s="86">
        <v>5</v>
      </c>
      <c r="Y48" s="86"/>
      <c r="Z48" s="86"/>
      <c r="AA48" s="86">
        <v>5</v>
      </c>
      <c r="AB48" s="21"/>
      <c r="AC48" s="77"/>
      <c r="AD48" s="21"/>
      <c r="AE48" s="77"/>
      <c r="AF48" s="21"/>
      <c r="AG48" s="21"/>
      <c r="AH48" s="21"/>
      <c r="AI48" s="21"/>
      <c r="AJ48" s="21"/>
      <c r="AK48" s="21"/>
      <c r="AL48" s="77"/>
      <c r="AM48" s="21"/>
      <c r="AN48" s="21"/>
      <c r="AO48" s="21"/>
      <c r="AP48" s="21"/>
      <c r="AQ48" s="21"/>
      <c r="AR48" s="21"/>
      <c r="AS48" s="77"/>
      <c r="AT48" s="21">
        <v>5</v>
      </c>
      <c r="AU48" s="21"/>
      <c r="AV48" s="21"/>
      <c r="AW48" s="21"/>
      <c r="AX48" s="21"/>
      <c r="AY48" s="21"/>
      <c r="AZ48" s="77"/>
      <c r="BA48" s="21"/>
      <c r="BB48" s="21"/>
      <c r="BC48" s="21"/>
      <c r="BD48" s="144">
        <f t="shared" si="9"/>
        <v>5</v>
      </c>
      <c r="BE48" s="94">
        <f t="shared" si="10"/>
        <v>0</v>
      </c>
      <c r="BF48" s="26"/>
      <c r="BH48" s="141" t="s">
        <v>2301</v>
      </c>
      <c r="BI48" s="141" t="s">
        <v>2398</v>
      </c>
      <c r="BJ48" s="141" t="s">
        <v>2386</v>
      </c>
      <c r="BK48" s="141" t="s">
        <v>2387</v>
      </c>
      <c r="BL48" s="141" t="s">
        <v>2399</v>
      </c>
      <c r="BM48" s="141" t="s">
        <v>2400</v>
      </c>
      <c r="BN48" s="141" t="s">
        <v>2401</v>
      </c>
      <c r="BO48" s="141" t="s">
        <v>2402</v>
      </c>
      <c r="BP48" s="141" t="s">
        <v>2403</v>
      </c>
      <c r="BQ48" s="141" t="s">
        <v>2404</v>
      </c>
      <c r="BR48" s="141" t="s">
        <v>2405</v>
      </c>
      <c r="BS48" s="141" t="s">
        <v>2406</v>
      </c>
      <c r="BT48" s="141" t="s">
        <v>2390</v>
      </c>
      <c r="BU48" s="141" t="s">
        <v>2391</v>
      </c>
      <c r="BV48" s="141" t="s">
        <v>2392</v>
      </c>
      <c r="BW48" s="141" t="s">
        <v>2393</v>
      </c>
      <c r="BX48" s="141" t="s">
        <v>2407</v>
      </c>
      <c r="BY48" s="141" t="s">
        <v>2408</v>
      </c>
      <c r="BZ48" s="141" t="s">
        <v>2409</v>
      </c>
      <c r="CA48" s="141" t="s">
        <v>2410</v>
      </c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</row>
    <row r="49" spans="1:93" s="7" customFormat="1" x14ac:dyDescent="0.25">
      <c r="A49" s="19" t="s">
        <v>2298</v>
      </c>
      <c r="B49" s="19" t="s">
        <v>2299</v>
      </c>
      <c r="C49" s="19">
        <v>96101566</v>
      </c>
      <c r="D49" s="20">
        <v>96101566</v>
      </c>
      <c r="E49" s="21" t="s">
        <v>1860</v>
      </c>
      <c r="F49" s="21" t="s">
        <v>2318</v>
      </c>
      <c r="G49" s="21" t="s">
        <v>332</v>
      </c>
      <c r="H49" s="21" t="s">
        <v>234</v>
      </c>
      <c r="I49" s="21" t="s">
        <v>254</v>
      </c>
      <c r="J49" s="21" t="s">
        <v>2070</v>
      </c>
      <c r="K49" s="21" t="s">
        <v>2325</v>
      </c>
      <c r="L49" s="21" t="s">
        <v>2068</v>
      </c>
      <c r="M49" s="19" t="s">
        <v>2346</v>
      </c>
      <c r="N49" s="19"/>
      <c r="O49" s="35">
        <v>5</v>
      </c>
      <c r="P49" s="35">
        <v>5</v>
      </c>
      <c r="Q49" s="32"/>
      <c r="R49" s="22">
        <v>5</v>
      </c>
      <c r="S49" s="22">
        <v>3</v>
      </c>
      <c r="T49" s="22">
        <v>5</v>
      </c>
      <c r="U49" s="22">
        <v>2</v>
      </c>
      <c r="V49" s="60">
        <f t="shared" si="8"/>
        <v>15</v>
      </c>
      <c r="W49" s="86"/>
      <c r="X49" s="86"/>
      <c r="Y49" s="86">
        <v>13</v>
      </c>
      <c r="Z49" s="86">
        <v>2</v>
      </c>
      <c r="AA49" s="86">
        <v>15</v>
      </c>
      <c r="AB49" s="21"/>
      <c r="AC49" s="77"/>
      <c r="AD49" s="21"/>
      <c r="AE49" s="77"/>
      <c r="AF49" s="21"/>
      <c r="AG49" s="21"/>
      <c r="AH49" s="21"/>
      <c r="AI49" s="21"/>
      <c r="AJ49" s="21"/>
      <c r="AK49" s="21"/>
      <c r="AL49" s="77"/>
      <c r="AM49" s="21"/>
      <c r="AN49" s="21"/>
      <c r="AO49" s="21"/>
      <c r="AP49" s="21"/>
      <c r="AQ49" s="21"/>
      <c r="AR49" s="21"/>
      <c r="AS49" s="77"/>
      <c r="AT49" s="21"/>
      <c r="AU49" s="21"/>
      <c r="AV49" s="21"/>
      <c r="AW49" s="21"/>
      <c r="AX49" s="21">
        <v>3</v>
      </c>
      <c r="AY49" s="21">
        <v>3</v>
      </c>
      <c r="AZ49" s="77"/>
      <c r="BA49" s="21">
        <v>3</v>
      </c>
      <c r="BB49" s="21">
        <v>4</v>
      </c>
      <c r="BC49" s="21"/>
      <c r="BD49" s="144">
        <f t="shared" si="9"/>
        <v>13</v>
      </c>
      <c r="BE49" s="94">
        <f t="shared" si="10"/>
        <v>2</v>
      </c>
      <c r="BF49" s="26"/>
      <c r="BH49" s="141">
        <v>96101566</v>
      </c>
      <c r="BI49" s="141" t="s">
        <v>2346</v>
      </c>
      <c r="BJ49" s="141" t="s">
        <v>2386</v>
      </c>
      <c r="BK49" s="141" t="s">
        <v>2387</v>
      </c>
      <c r="BL49" s="141" t="s">
        <v>2413</v>
      </c>
      <c r="BM49" s="141" t="s">
        <v>2414</v>
      </c>
      <c r="BN49" s="141" t="s">
        <v>2401</v>
      </c>
      <c r="BO49" s="141" t="s">
        <v>2402</v>
      </c>
      <c r="BP49" s="141" t="s">
        <v>2403</v>
      </c>
      <c r="BQ49" s="141" t="s">
        <v>2404</v>
      </c>
      <c r="BR49" s="141" t="s">
        <v>2415</v>
      </c>
      <c r="BS49" s="141" t="s">
        <v>2406</v>
      </c>
      <c r="BT49" s="141" t="s">
        <v>2390</v>
      </c>
      <c r="BU49" s="141" t="s">
        <v>2391</v>
      </c>
      <c r="BV49" s="141" t="s">
        <v>2392</v>
      </c>
      <c r="BW49" s="141" t="s">
        <v>2393</v>
      </c>
      <c r="BX49" s="141" t="s">
        <v>2416</v>
      </c>
      <c r="BY49" s="141" t="s">
        <v>2417</v>
      </c>
      <c r="BZ49" s="141" t="s">
        <v>2418</v>
      </c>
      <c r="CA49" s="141" t="s">
        <v>2411</v>
      </c>
      <c r="CB49" s="142"/>
      <c r="CC49" s="142"/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</row>
    <row r="50" spans="1:93" s="7" customFormat="1" x14ac:dyDescent="0.25">
      <c r="A50" s="19" t="s">
        <v>2298</v>
      </c>
      <c r="B50" s="19" t="s">
        <v>2299</v>
      </c>
      <c r="C50" s="19">
        <v>96101417</v>
      </c>
      <c r="D50" s="20">
        <v>96101417</v>
      </c>
      <c r="E50" s="21" t="s">
        <v>1860</v>
      </c>
      <c r="F50" s="21" t="s">
        <v>2318</v>
      </c>
      <c r="G50" s="21" t="s">
        <v>332</v>
      </c>
      <c r="H50" s="21" t="s">
        <v>2319</v>
      </c>
      <c r="I50" s="21" t="s">
        <v>254</v>
      </c>
      <c r="J50" s="21" t="s">
        <v>2070</v>
      </c>
      <c r="K50" s="21" t="s">
        <v>2325</v>
      </c>
      <c r="L50" s="21" t="s">
        <v>2068</v>
      </c>
      <c r="M50" s="19" t="s">
        <v>2347</v>
      </c>
      <c r="N50" s="19"/>
      <c r="O50" s="35">
        <v>10</v>
      </c>
      <c r="P50" s="35">
        <v>10</v>
      </c>
      <c r="Q50" s="32"/>
      <c r="R50" s="22">
        <v>5</v>
      </c>
      <c r="S50" s="22">
        <v>5</v>
      </c>
      <c r="T50" s="22">
        <v>5</v>
      </c>
      <c r="U50" s="22">
        <v>5</v>
      </c>
      <c r="V50" s="60">
        <f t="shared" si="8"/>
        <v>20</v>
      </c>
      <c r="W50" s="86"/>
      <c r="X50" s="86">
        <v>20</v>
      </c>
      <c r="Y50" s="86"/>
      <c r="Z50" s="86"/>
      <c r="AA50" s="86">
        <v>20</v>
      </c>
      <c r="AB50" s="21"/>
      <c r="AC50" s="77"/>
      <c r="AD50" s="21"/>
      <c r="AE50" s="77"/>
      <c r="AF50" s="21"/>
      <c r="AG50" s="21"/>
      <c r="AH50" s="21"/>
      <c r="AI50" s="21"/>
      <c r="AJ50" s="21"/>
      <c r="AK50" s="21"/>
      <c r="AL50" s="77"/>
      <c r="AM50" s="21">
        <v>4</v>
      </c>
      <c r="AN50" s="21">
        <v>4</v>
      </c>
      <c r="AO50" s="21">
        <v>4</v>
      </c>
      <c r="AP50" s="21">
        <v>4</v>
      </c>
      <c r="AQ50" s="21">
        <v>4</v>
      </c>
      <c r="AR50" s="21"/>
      <c r="AS50" s="77"/>
      <c r="AT50" s="21"/>
      <c r="AU50" s="21"/>
      <c r="AV50" s="21"/>
      <c r="AW50" s="21"/>
      <c r="AX50" s="21"/>
      <c r="AY50" s="21"/>
      <c r="AZ50" s="77"/>
      <c r="BA50" s="21"/>
      <c r="BB50" s="21"/>
      <c r="BC50" s="21"/>
      <c r="BD50" s="144">
        <f t="shared" si="9"/>
        <v>20</v>
      </c>
      <c r="BE50" s="94">
        <f t="shared" si="10"/>
        <v>0</v>
      </c>
      <c r="BF50" s="26"/>
      <c r="BH50" s="141">
        <v>96101417</v>
      </c>
      <c r="BI50" s="141" t="s">
        <v>2347</v>
      </c>
      <c r="BJ50" s="141" t="s">
        <v>2386</v>
      </c>
      <c r="BK50" s="141" t="s">
        <v>2387</v>
      </c>
      <c r="BL50" s="141" t="s">
        <v>2399</v>
      </c>
      <c r="BM50" s="141" t="s">
        <v>2400</v>
      </c>
      <c r="BN50" s="141" t="s">
        <v>2401</v>
      </c>
      <c r="BO50" s="141" t="s">
        <v>2402</v>
      </c>
      <c r="BP50" s="141" t="s">
        <v>2403</v>
      </c>
      <c r="BQ50" s="141" t="s">
        <v>2404</v>
      </c>
      <c r="BR50" s="141" t="s">
        <v>2405</v>
      </c>
      <c r="BS50" s="141" t="s">
        <v>2406</v>
      </c>
      <c r="BT50" s="141" t="s">
        <v>2390</v>
      </c>
      <c r="BU50" s="141" t="s">
        <v>2391</v>
      </c>
      <c r="BV50" s="141" t="s">
        <v>2392</v>
      </c>
      <c r="BW50" s="141" t="s">
        <v>2393</v>
      </c>
      <c r="BX50" s="141" t="s">
        <v>2407</v>
      </c>
      <c r="BY50" s="141" t="s">
        <v>2408</v>
      </c>
      <c r="BZ50" s="141" t="s">
        <v>2409</v>
      </c>
      <c r="CA50" s="141" t="s">
        <v>2411</v>
      </c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</row>
    <row r="51" spans="1:93" s="7" customFormat="1" x14ac:dyDescent="0.25">
      <c r="A51" s="19" t="s">
        <v>2298</v>
      </c>
      <c r="B51" s="19" t="s">
        <v>2299</v>
      </c>
      <c r="C51" s="19">
        <v>96201435</v>
      </c>
      <c r="D51" s="20">
        <v>96201435</v>
      </c>
      <c r="E51" s="21" t="s">
        <v>1860</v>
      </c>
      <c r="F51" s="21" t="s">
        <v>2320</v>
      </c>
      <c r="G51" s="21" t="s">
        <v>332</v>
      </c>
      <c r="H51" s="21" t="s">
        <v>2319</v>
      </c>
      <c r="I51" s="21" t="s">
        <v>254</v>
      </c>
      <c r="J51" s="21" t="s">
        <v>2070</v>
      </c>
      <c r="K51" s="21" t="s">
        <v>2325</v>
      </c>
      <c r="L51" s="21" t="s">
        <v>2068</v>
      </c>
      <c r="M51" s="19" t="s">
        <v>2348</v>
      </c>
      <c r="N51" s="19"/>
      <c r="O51" s="35">
        <v>20</v>
      </c>
      <c r="P51" s="35">
        <v>10</v>
      </c>
      <c r="Q51" s="32"/>
      <c r="R51" s="22">
        <v>10</v>
      </c>
      <c r="S51" s="22">
        <v>5</v>
      </c>
      <c r="T51" s="22">
        <v>5</v>
      </c>
      <c r="U51" s="22">
        <v>15</v>
      </c>
      <c r="V51" s="60">
        <f t="shared" si="8"/>
        <v>35</v>
      </c>
      <c r="W51" s="86"/>
      <c r="X51" s="86">
        <v>35</v>
      </c>
      <c r="Y51" s="86"/>
      <c r="Z51" s="86"/>
      <c r="AA51" s="86">
        <v>35</v>
      </c>
      <c r="AB51" s="21"/>
      <c r="AC51" s="77"/>
      <c r="AD51" s="21"/>
      <c r="AE51" s="77"/>
      <c r="AF51" s="21"/>
      <c r="AG51" s="21"/>
      <c r="AH51" s="21"/>
      <c r="AI51" s="21"/>
      <c r="AJ51" s="21"/>
      <c r="AK51" s="21"/>
      <c r="AL51" s="77"/>
      <c r="AM51" s="21">
        <v>5</v>
      </c>
      <c r="AN51" s="21">
        <v>5</v>
      </c>
      <c r="AO51" s="21">
        <v>5</v>
      </c>
      <c r="AP51" s="21">
        <v>5</v>
      </c>
      <c r="AQ51" s="21">
        <v>5</v>
      </c>
      <c r="AR51" s="21">
        <v>5</v>
      </c>
      <c r="AS51" s="77"/>
      <c r="AT51" s="21">
        <v>5</v>
      </c>
      <c r="AU51" s="21"/>
      <c r="AV51" s="21"/>
      <c r="AW51" s="21"/>
      <c r="AX51" s="21"/>
      <c r="AY51" s="21"/>
      <c r="AZ51" s="77"/>
      <c r="BA51" s="21"/>
      <c r="BB51" s="21"/>
      <c r="BC51" s="21"/>
      <c r="BD51" s="144">
        <f t="shared" si="9"/>
        <v>35</v>
      </c>
      <c r="BE51" s="94">
        <f t="shared" si="10"/>
        <v>0</v>
      </c>
      <c r="BF51" s="26"/>
      <c r="BH51" s="141">
        <v>96201435</v>
      </c>
      <c r="BI51" s="141" t="s">
        <v>2348</v>
      </c>
      <c r="BJ51" s="141" t="s">
        <v>2386</v>
      </c>
      <c r="BK51" s="141" t="s">
        <v>2387</v>
      </c>
      <c r="BL51" s="141" t="s">
        <v>2399</v>
      </c>
      <c r="BM51" s="141" t="s">
        <v>2400</v>
      </c>
      <c r="BN51" s="141" t="s">
        <v>2401</v>
      </c>
      <c r="BO51" s="141" t="s">
        <v>2402</v>
      </c>
      <c r="BP51" s="141" t="s">
        <v>2403</v>
      </c>
      <c r="BQ51" s="141" t="s">
        <v>2404</v>
      </c>
      <c r="BR51" s="141" t="s">
        <v>2405</v>
      </c>
      <c r="BS51" s="141" t="s">
        <v>2406</v>
      </c>
      <c r="BT51" s="141" t="s">
        <v>2390</v>
      </c>
      <c r="BU51" s="141" t="s">
        <v>2391</v>
      </c>
      <c r="BV51" s="141" t="s">
        <v>2392</v>
      </c>
      <c r="BW51" s="141" t="s">
        <v>2393</v>
      </c>
      <c r="BX51" s="141" t="s">
        <v>2407</v>
      </c>
      <c r="BY51" s="141" t="s">
        <v>2408</v>
      </c>
      <c r="BZ51" s="141" t="s">
        <v>2409</v>
      </c>
      <c r="CA51" s="141" t="s">
        <v>2411</v>
      </c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</row>
    <row r="52" spans="1:93" s="7" customFormat="1" x14ac:dyDescent="0.25">
      <c r="A52" s="19" t="s">
        <v>2298</v>
      </c>
      <c r="B52" s="19" t="s">
        <v>2299</v>
      </c>
      <c r="C52" s="19">
        <v>96101574</v>
      </c>
      <c r="D52" s="20">
        <v>96101574</v>
      </c>
      <c r="E52" s="21" t="s">
        <v>1860</v>
      </c>
      <c r="F52" s="21" t="s">
        <v>2320</v>
      </c>
      <c r="G52" s="21" t="s">
        <v>332</v>
      </c>
      <c r="H52" s="21" t="s">
        <v>234</v>
      </c>
      <c r="I52" s="21" t="s">
        <v>254</v>
      </c>
      <c r="J52" s="21" t="s">
        <v>2070</v>
      </c>
      <c r="K52" s="21" t="s">
        <v>2325</v>
      </c>
      <c r="L52" s="21" t="s">
        <v>2068</v>
      </c>
      <c r="M52" s="19" t="s">
        <v>2349</v>
      </c>
      <c r="N52" s="19"/>
      <c r="O52" s="35">
        <v>0</v>
      </c>
      <c r="P52" s="35">
        <v>0</v>
      </c>
      <c r="Q52" s="32"/>
      <c r="R52" s="22">
        <v>5</v>
      </c>
      <c r="S52" s="22">
        <v>2</v>
      </c>
      <c r="T52" s="22">
        <v>1</v>
      </c>
      <c r="U52" s="22">
        <v>0</v>
      </c>
      <c r="V52" s="60">
        <f t="shared" si="8"/>
        <v>8</v>
      </c>
      <c r="W52" s="86"/>
      <c r="X52" s="86"/>
      <c r="Y52" s="86"/>
      <c r="Z52" s="86">
        <v>8</v>
      </c>
      <c r="AA52" s="86">
        <v>8</v>
      </c>
      <c r="AB52" s="21"/>
      <c r="AC52" s="77"/>
      <c r="AD52" s="21"/>
      <c r="AE52" s="77"/>
      <c r="AF52" s="21"/>
      <c r="AG52" s="21"/>
      <c r="AH52" s="21"/>
      <c r="AI52" s="21"/>
      <c r="AJ52" s="21"/>
      <c r="AK52" s="21"/>
      <c r="AL52" s="77"/>
      <c r="AM52" s="21"/>
      <c r="AN52" s="21"/>
      <c r="AO52" s="21"/>
      <c r="AP52" s="21"/>
      <c r="AQ52" s="21"/>
      <c r="AR52" s="21"/>
      <c r="AS52" s="77"/>
      <c r="AT52" s="21"/>
      <c r="AU52" s="21"/>
      <c r="AV52" s="21"/>
      <c r="AW52" s="21"/>
      <c r="AX52" s="21">
        <v>2</v>
      </c>
      <c r="AY52" s="21">
        <v>2</v>
      </c>
      <c r="AZ52" s="77"/>
      <c r="BA52" s="21">
        <v>2</v>
      </c>
      <c r="BB52" s="21">
        <v>2</v>
      </c>
      <c r="BC52" s="21"/>
      <c r="BD52" s="144">
        <f t="shared" si="9"/>
        <v>8</v>
      </c>
      <c r="BE52" s="94">
        <f t="shared" si="10"/>
        <v>0</v>
      </c>
      <c r="BF52" s="26"/>
      <c r="BH52" s="141">
        <v>96101574</v>
      </c>
      <c r="BI52" s="141" t="s">
        <v>2349</v>
      </c>
      <c r="BJ52" s="141" t="s">
        <v>2386</v>
      </c>
      <c r="BK52" s="141" t="s">
        <v>2387</v>
      </c>
      <c r="BL52" s="141" t="s">
        <v>2413</v>
      </c>
      <c r="BM52" s="141" t="s">
        <v>2414</v>
      </c>
      <c r="BN52" s="141" t="s">
        <v>2401</v>
      </c>
      <c r="BO52" s="141" t="s">
        <v>2402</v>
      </c>
      <c r="BP52" s="141" t="s">
        <v>2403</v>
      </c>
      <c r="BQ52" s="141" t="s">
        <v>2404</v>
      </c>
      <c r="BR52" s="141" t="s">
        <v>2415</v>
      </c>
      <c r="BS52" s="141" t="s">
        <v>2406</v>
      </c>
      <c r="BT52" s="141" t="s">
        <v>2390</v>
      </c>
      <c r="BU52" s="141" t="s">
        <v>2391</v>
      </c>
      <c r="BV52" s="141" t="s">
        <v>2392</v>
      </c>
      <c r="BW52" s="141" t="s">
        <v>2393</v>
      </c>
      <c r="BX52" s="141" t="s">
        <v>2416</v>
      </c>
      <c r="BY52" s="141" t="s">
        <v>2417</v>
      </c>
      <c r="BZ52" s="141" t="s">
        <v>2418</v>
      </c>
      <c r="CA52" s="141" t="s">
        <v>2411</v>
      </c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</row>
    <row r="53" spans="1:93" s="7" customFormat="1" x14ac:dyDescent="0.25">
      <c r="A53" s="19" t="s">
        <v>2298</v>
      </c>
      <c r="B53" s="19" t="s">
        <v>2299</v>
      </c>
      <c r="C53" s="19">
        <v>96101576</v>
      </c>
      <c r="D53" s="20" t="s">
        <v>2311</v>
      </c>
      <c r="E53" s="21" t="s">
        <v>1860</v>
      </c>
      <c r="F53" s="21" t="s">
        <v>2320</v>
      </c>
      <c r="G53" s="21" t="s">
        <v>332</v>
      </c>
      <c r="H53" s="21" t="s">
        <v>234</v>
      </c>
      <c r="I53" s="21" t="s">
        <v>254</v>
      </c>
      <c r="J53" s="21" t="s">
        <v>2083</v>
      </c>
      <c r="K53" s="21" t="s">
        <v>2325</v>
      </c>
      <c r="L53" s="21" t="s">
        <v>2068</v>
      </c>
      <c r="M53" s="19" t="s">
        <v>2370</v>
      </c>
      <c r="N53" s="19"/>
      <c r="O53" s="35">
        <v>0</v>
      </c>
      <c r="P53" s="35">
        <v>0</v>
      </c>
      <c r="Q53" s="32"/>
      <c r="R53" s="22">
        <v>2</v>
      </c>
      <c r="S53" s="22">
        <v>1</v>
      </c>
      <c r="T53" s="22">
        <v>1</v>
      </c>
      <c r="U53" s="22">
        <v>1</v>
      </c>
      <c r="V53" s="60">
        <f t="shared" si="8"/>
        <v>5</v>
      </c>
      <c r="W53" s="86"/>
      <c r="X53" s="86"/>
      <c r="Y53" s="86">
        <v>5</v>
      </c>
      <c r="Z53" s="86"/>
      <c r="AA53" s="86">
        <v>5</v>
      </c>
      <c r="AB53" s="21"/>
      <c r="AC53" s="77"/>
      <c r="AD53" s="21"/>
      <c r="AE53" s="77"/>
      <c r="AF53" s="21"/>
      <c r="AG53" s="21"/>
      <c r="AH53" s="21"/>
      <c r="AI53" s="21"/>
      <c r="AJ53" s="21"/>
      <c r="AK53" s="21"/>
      <c r="AL53" s="77"/>
      <c r="AM53" s="21"/>
      <c r="AN53" s="21"/>
      <c r="AO53" s="21"/>
      <c r="AP53" s="21"/>
      <c r="AQ53" s="21"/>
      <c r="AR53" s="21"/>
      <c r="AS53" s="77"/>
      <c r="AT53" s="21"/>
      <c r="AU53" s="21"/>
      <c r="AV53" s="21">
        <v>5</v>
      </c>
      <c r="AW53" s="21"/>
      <c r="AX53" s="21"/>
      <c r="AY53" s="21"/>
      <c r="AZ53" s="77"/>
      <c r="BA53" s="21"/>
      <c r="BB53" s="21"/>
      <c r="BC53" s="21"/>
      <c r="BD53" s="144">
        <f t="shared" si="9"/>
        <v>5</v>
      </c>
      <c r="BE53" s="94">
        <f t="shared" si="10"/>
        <v>0</v>
      </c>
      <c r="BF53" s="26"/>
      <c r="BH53" s="141" t="s">
        <v>2311</v>
      </c>
      <c r="BI53" s="141" t="s">
        <v>2450</v>
      </c>
      <c r="BJ53" s="141" t="s">
        <v>2386</v>
      </c>
      <c r="BK53" s="141" t="s">
        <v>2387</v>
      </c>
      <c r="BL53" s="141" t="s">
        <v>2413</v>
      </c>
      <c r="BM53" s="141" t="s">
        <v>2414</v>
      </c>
      <c r="BN53" s="141" t="s">
        <v>2401</v>
      </c>
      <c r="BO53" s="141" t="s">
        <v>2402</v>
      </c>
      <c r="BP53" s="141" t="s">
        <v>2403</v>
      </c>
      <c r="BQ53" s="141" t="s">
        <v>2404</v>
      </c>
      <c r="BR53" s="141" t="s">
        <v>2415</v>
      </c>
      <c r="BS53" s="141" t="s">
        <v>2406</v>
      </c>
      <c r="BT53" s="141" t="s">
        <v>2390</v>
      </c>
      <c r="BU53" s="141" t="s">
        <v>2391</v>
      </c>
      <c r="BV53" s="141" t="s">
        <v>2392</v>
      </c>
      <c r="BW53" s="141" t="s">
        <v>2393</v>
      </c>
      <c r="BX53" s="141" t="s">
        <v>2416</v>
      </c>
      <c r="BY53" s="141" t="s">
        <v>2417</v>
      </c>
      <c r="BZ53" s="141" t="s">
        <v>2418</v>
      </c>
      <c r="CA53" s="141" t="s">
        <v>2410</v>
      </c>
      <c r="CB53" s="142" t="s">
        <v>2417</v>
      </c>
      <c r="CC53" s="142" t="s">
        <v>2418</v>
      </c>
      <c r="CD53" s="142" t="s">
        <v>2410</v>
      </c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</row>
    <row r="54" spans="1:93" s="7" customFormat="1" x14ac:dyDescent="0.25">
      <c r="A54" s="19" t="s">
        <v>2298</v>
      </c>
      <c r="B54" s="19" t="s">
        <v>2299</v>
      </c>
      <c r="C54" s="19">
        <v>96101577</v>
      </c>
      <c r="D54" s="20" t="s">
        <v>2311</v>
      </c>
      <c r="E54" s="21" t="s">
        <v>1860</v>
      </c>
      <c r="F54" s="21" t="s">
        <v>2320</v>
      </c>
      <c r="G54" s="21" t="s">
        <v>332</v>
      </c>
      <c r="H54" s="21" t="s">
        <v>2319</v>
      </c>
      <c r="I54" s="21" t="s">
        <v>254</v>
      </c>
      <c r="J54" s="21" t="s">
        <v>2083</v>
      </c>
      <c r="K54" s="21" t="s">
        <v>2325</v>
      </c>
      <c r="L54" s="21" t="s">
        <v>2068</v>
      </c>
      <c r="M54" s="19" t="s">
        <v>2378</v>
      </c>
      <c r="N54" s="19"/>
      <c r="O54" s="35">
        <v>0</v>
      </c>
      <c r="P54" s="35">
        <v>0</v>
      </c>
      <c r="Q54" s="32"/>
      <c r="R54" s="22">
        <v>1</v>
      </c>
      <c r="S54" s="22">
        <v>0</v>
      </c>
      <c r="T54" s="22">
        <v>0</v>
      </c>
      <c r="U54" s="22">
        <v>0</v>
      </c>
      <c r="V54" s="60">
        <f t="shared" si="8"/>
        <v>1</v>
      </c>
      <c r="W54" s="86"/>
      <c r="X54" s="86"/>
      <c r="Y54" s="86">
        <v>1</v>
      </c>
      <c r="Z54" s="86"/>
      <c r="AA54" s="86">
        <v>1</v>
      </c>
      <c r="AB54" s="21"/>
      <c r="AC54" s="77"/>
      <c r="AD54" s="21"/>
      <c r="AE54" s="77"/>
      <c r="AF54" s="21"/>
      <c r="AG54" s="21"/>
      <c r="AH54" s="21"/>
      <c r="AI54" s="21"/>
      <c r="AJ54" s="21"/>
      <c r="AK54" s="21"/>
      <c r="AL54" s="77"/>
      <c r="AM54" s="21"/>
      <c r="AN54" s="21"/>
      <c r="AO54" s="21"/>
      <c r="AP54" s="21"/>
      <c r="AQ54" s="21"/>
      <c r="AR54" s="21"/>
      <c r="AS54" s="77"/>
      <c r="AT54" s="21"/>
      <c r="AU54" s="21"/>
      <c r="AV54" s="21">
        <v>1</v>
      </c>
      <c r="AW54" s="21"/>
      <c r="AX54" s="21"/>
      <c r="AY54" s="21"/>
      <c r="AZ54" s="77"/>
      <c r="BA54" s="21"/>
      <c r="BB54" s="21"/>
      <c r="BC54" s="21"/>
      <c r="BD54" s="144">
        <f t="shared" si="9"/>
        <v>1</v>
      </c>
      <c r="BE54" s="94">
        <f t="shared" si="10"/>
        <v>0</v>
      </c>
      <c r="BF54" s="26"/>
      <c r="BH54" s="141" t="s">
        <v>2311</v>
      </c>
      <c r="BI54" s="141" t="s">
        <v>2450</v>
      </c>
      <c r="BJ54" s="141" t="s">
        <v>2386</v>
      </c>
      <c r="BK54" s="141" t="s">
        <v>2387</v>
      </c>
      <c r="BL54" s="141" t="s">
        <v>2413</v>
      </c>
      <c r="BM54" s="141" t="s">
        <v>2414</v>
      </c>
      <c r="BN54" s="141" t="s">
        <v>2401</v>
      </c>
      <c r="BO54" s="141" t="s">
        <v>2402</v>
      </c>
      <c r="BP54" s="141" t="s">
        <v>2403</v>
      </c>
      <c r="BQ54" s="141" t="s">
        <v>2404</v>
      </c>
      <c r="BR54" s="141" t="s">
        <v>2415</v>
      </c>
      <c r="BS54" s="141" t="s">
        <v>2406</v>
      </c>
      <c r="BT54" s="141" t="s">
        <v>2390</v>
      </c>
      <c r="BU54" s="141" t="s">
        <v>2391</v>
      </c>
      <c r="BV54" s="141" t="s">
        <v>2392</v>
      </c>
      <c r="BW54" s="141" t="s">
        <v>2393</v>
      </c>
      <c r="BX54" s="141" t="s">
        <v>2416</v>
      </c>
      <c r="BY54" s="141" t="s">
        <v>2417</v>
      </c>
      <c r="BZ54" s="141" t="s">
        <v>2418</v>
      </c>
      <c r="CA54" s="141" t="s">
        <v>2410</v>
      </c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</row>
    <row r="55" spans="1:93" s="7" customFormat="1" x14ac:dyDescent="0.25">
      <c r="A55" s="19" t="s">
        <v>2298</v>
      </c>
      <c r="B55" s="19" t="s">
        <v>2299</v>
      </c>
      <c r="C55" s="19">
        <v>96101571</v>
      </c>
      <c r="D55" s="20" t="s">
        <v>2303</v>
      </c>
      <c r="E55" s="21" t="s">
        <v>1860</v>
      </c>
      <c r="F55" s="21" t="s">
        <v>2318</v>
      </c>
      <c r="G55" s="21" t="s">
        <v>332</v>
      </c>
      <c r="H55" s="21" t="s">
        <v>234</v>
      </c>
      <c r="I55" s="21" t="s">
        <v>254</v>
      </c>
      <c r="J55" s="21" t="s">
        <v>2083</v>
      </c>
      <c r="K55" s="21" t="s">
        <v>2325</v>
      </c>
      <c r="L55" s="21" t="s">
        <v>2068</v>
      </c>
      <c r="M55" s="19" t="s">
        <v>2379</v>
      </c>
      <c r="N55" s="19"/>
      <c r="O55" s="35">
        <v>0</v>
      </c>
      <c r="P55" s="35">
        <v>0</v>
      </c>
      <c r="Q55" s="32"/>
      <c r="R55" s="22">
        <v>0</v>
      </c>
      <c r="S55" s="22">
        <v>0</v>
      </c>
      <c r="T55" s="22">
        <v>0</v>
      </c>
      <c r="U55" s="22">
        <v>2</v>
      </c>
      <c r="V55" s="60">
        <f t="shared" si="8"/>
        <v>2</v>
      </c>
      <c r="W55" s="86"/>
      <c r="X55" s="86"/>
      <c r="Y55" s="86">
        <v>2</v>
      </c>
      <c r="Z55" s="86"/>
      <c r="AA55" s="86">
        <v>2</v>
      </c>
      <c r="AB55" s="21"/>
      <c r="AC55" s="77"/>
      <c r="AD55" s="21"/>
      <c r="AE55" s="77"/>
      <c r="AF55" s="21"/>
      <c r="AG55" s="21"/>
      <c r="AH55" s="21"/>
      <c r="AI55" s="21"/>
      <c r="AJ55" s="21"/>
      <c r="AK55" s="21"/>
      <c r="AL55" s="77"/>
      <c r="AM55" s="21"/>
      <c r="AN55" s="21"/>
      <c r="AO55" s="21"/>
      <c r="AP55" s="21"/>
      <c r="AQ55" s="21"/>
      <c r="AR55" s="21"/>
      <c r="AS55" s="77"/>
      <c r="AT55" s="21"/>
      <c r="AU55" s="21"/>
      <c r="AV55" s="21">
        <v>2</v>
      </c>
      <c r="AW55" s="21"/>
      <c r="AX55" s="21"/>
      <c r="AY55" s="21"/>
      <c r="AZ55" s="77"/>
      <c r="BA55" s="21"/>
      <c r="BB55" s="21"/>
      <c r="BC55" s="21"/>
      <c r="BD55" s="144">
        <f t="shared" si="9"/>
        <v>2</v>
      </c>
      <c r="BE55" s="94">
        <f t="shared" si="10"/>
        <v>0</v>
      </c>
      <c r="BF55" s="26"/>
      <c r="BH55" s="141" t="s">
        <v>2303</v>
      </c>
      <c r="BI55" s="141" t="s">
        <v>2419</v>
      </c>
      <c r="BJ55" s="141" t="s">
        <v>2386</v>
      </c>
      <c r="BK55" s="141" t="s">
        <v>2387</v>
      </c>
      <c r="BL55" s="141" t="s">
        <v>2413</v>
      </c>
      <c r="BM55" s="141" t="s">
        <v>2414</v>
      </c>
      <c r="BN55" s="141" t="s">
        <v>2401</v>
      </c>
      <c r="BO55" s="141" t="s">
        <v>2402</v>
      </c>
      <c r="BP55" s="141" t="s">
        <v>2403</v>
      </c>
      <c r="BQ55" s="141" t="s">
        <v>2404</v>
      </c>
      <c r="BR55" s="141" t="s">
        <v>2415</v>
      </c>
      <c r="BS55" s="141" t="s">
        <v>2406</v>
      </c>
      <c r="BT55" s="141" t="s">
        <v>2390</v>
      </c>
      <c r="BU55" s="141" t="s">
        <v>2391</v>
      </c>
      <c r="BV55" s="141" t="s">
        <v>2392</v>
      </c>
      <c r="BW55" s="141" t="s">
        <v>2393</v>
      </c>
      <c r="BX55" s="141" t="s">
        <v>2416</v>
      </c>
      <c r="BY55" s="141" t="s">
        <v>2417</v>
      </c>
      <c r="BZ55" s="141" t="s">
        <v>2418</v>
      </c>
      <c r="CA55" s="141" t="s">
        <v>2410</v>
      </c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</row>
    <row r="56" spans="1:93" s="7" customFormat="1" x14ac:dyDescent="0.25">
      <c r="A56" s="19" t="s">
        <v>2298</v>
      </c>
      <c r="B56" s="19" t="s">
        <v>2299</v>
      </c>
      <c r="C56" s="19">
        <v>96201536</v>
      </c>
      <c r="D56" s="20" t="s">
        <v>2316</v>
      </c>
      <c r="E56" s="21" t="s">
        <v>1860</v>
      </c>
      <c r="F56" s="21" t="s">
        <v>2320</v>
      </c>
      <c r="G56" s="21" t="s">
        <v>332</v>
      </c>
      <c r="H56" s="21" t="s">
        <v>2319</v>
      </c>
      <c r="I56" s="21" t="s">
        <v>254</v>
      </c>
      <c r="J56" s="21" t="s">
        <v>2069</v>
      </c>
      <c r="K56" s="21" t="s">
        <v>2325</v>
      </c>
      <c r="L56" s="21" t="s">
        <v>2068</v>
      </c>
      <c r="M56" s="19" t="s">
        <v>2380</v>
      </c>
      <c r="N56" s="19"/>
      <c r="O56" s="35">
        <v>0</v>
      </c>
      <c r="P56" s="35">
        <v>0</v>
      </c>
      <c r="Q56" s="32"/>
      <c r="R56" s="22">
        <v>0</v>
      </c>
      <c r="S56" s="22">
        <v>0</v>
      </c>
      <c r="T56" s="22">
        <v>0</v>
      </c>
      <c r="U56" s="22">
        <v>2</v>
      </c>
      <c r="V56" s="60">
        <f t="shared" si="8"/>
        <v>2</v>
      </c>
      <c r="W56" s="86"/>
      <c r="X56" s="86">
        <v>2</v>
      </c>
      <c r="Y56" s="86"/>
      <c r="Z56" s="86"/>
      <c r="AA56" s="86">
        <v>2</v>
      </c>
      <c r="AB56" s="21"/>
      <c r="AC56" s="77"/>
      <c r="AD56" s="21"/>
      <c r="AE56" s="77"/>
      <c r="AF56" s="21"/>
      <c r="AG56" s="21"/>
      <c r="AH56" s="21"/>
      <c r="AI56" s="21"/>
      <c r="AJ56" s="21"/>
      <c r="AK56" s="21"/>
      <c r="AL56" s="77"/>
      <c r="AM56" s="21">
        <v>2</v>
      </c>
      <c r="AN56" s="21"/>
      <c r="AO56" s="21"/>
      <c r="AP56" s="21"/>
      <c r="AQ56" s="21"/>
      <c r="AR56" s="21"/>
      <c r="AS56" s="77"/>
      <c r="AT56" s="21"/>
      <c r="AU56" s="21"/>
      <c r="AV56" s="21"/>
      <c r="AW56" s="21"/>
      <c r="AX56" s="21"/>
      <c r="AY56" s="21"/>
      <c r="AZ56" s="77"/>
      <c r="BA56" s="21"/>
      <c r="BB56" s="21"/>
      <c r="BC56" s="21"/>
      <c r="BD56" s="144">
        <f t="shared" si="9"/>
        <v>2</v>
      </c>
      <c r="BE56" s="94">
        <f t="shared" si="10"/>
        <v>0</v>
      </c>
      <c r="BF56" s="26"/>
      <c r="BH56" s="141" t="s">
        <v>2316</v>
      </c>
      <c r="BI56" s="141" t="s">
        <v>2412</v>
      </c>
      <c r="BJ56" s="141" t="s">
        <v>2386</v>
      </c>
      <c r="BK56" s="141" t="s">
        <v>2387</v>
      </c>
      <c r="BL56" s="141" t="s">
        <v>2399</v>
      </c>
      <c r="BM56" s="141" t="s">
        <v>2400</v>
      </c>
      <c r="BN56" s="141" t="s">
        <v>2401</v>
      </c>
      <c r="BO56" s="141" t="s">
        <v>2402</v>
      </c>
      <c r="BP56" s="141" t="s">
        <v>2403</v>
      </c>
      <c r="BQ56" s="141" t="s">
        <v>2404</v>
      </c>
      <c r="BR56" s="141" t="s">
        <v>2405</v>
      </c>
      <c r="BS56" s="141" t="s">
        <v>2406</v>
      </c>
      <c r="BT56" s="141" t="s">
        <v>2390</v>
      </c>
      <c r="BU56" s="141" t="s">
        <v>2391</v>
      </c>
      <c r="BV56" s="141" t="s">
        <v>2392</v>
      </c>
      <c r="BW56" s="141" t="s">
        <v>2393</v>
      </c>
      <c r="BX56" s="141" t="s">
        <v>2407</v>
      </c>
      <c r="BY56" s="141" t="s">
        <v>2408</v>
      </c>
      <c r="BZ56" s="141" t="s">
        <v>2409</v>
      </c>
      <c r="CA56" s="141" t="s">
        <v>2410</v>
      </c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</row>
    <row r="57" spans="1:93" s="7" customFormat="1" x14ac:dyDescent="0.25">
      <c r="A57" s="19" t="s">
        <v>2298</v>
      </c>
      <c r="B57" s="19" t="s">
        <v>2299</v>
      </c>
      <c r="C57" s="19">
        <v>96101366</v>
      </c>
      <c r="D57" s="20" t="s">
        <v>2301</v>
      </c>
      <c r="E57" s="21" t="s">
        <v>1860</v>
      </c>
      <c r="F57" s="21" t="s">
        <v>2318</v>
      </c>
      <c r="G57" s="21" t="s">
        <v>332</v>
      </c>
      <c r="H57" s="21" t="s">
        <v>2319</v>
      </c>
      <c r="I57" s="21" t="s">
        <v>254</v>
      </c>
      <c r="J57" s="21" t="s">
        <v>2083</v>
      </c>
      <c r="K57" s="21" t="s">
        <v>2325</v>
      </c>
      <c r="L57" s="21" t="s">
        <v>2068</v>
      </c>
      <c r="M57" s="19" t="s">
        <v>2382</v>
      </c>
      <c r="N57" s="19"/>
      <c r="O57" s="35">
        <v>0</v>
      </c>
      <c r="P57" s="35">
        <v>0</v>
      </c>
      <c r="Q57" s="32"/>
      <c r="R57" s="22">
        <v>0</v>
      </c>
      <c r="S57" s="22">
        <v>0</v>
      </c>
      <c r="T57" s="22">
        <v>0</v>
      </c>
      <c r="U57" s="22">
        <v>1</v>
      </c>
      <c r="V57" s="60">
        <f t="shared" si="8"/>
        <v>1</v>
      </c>
      <c r="W57" s="86"/>
      <c r="X57" s="86">
        <v>1</v>
      </c>
      <c r="Y57" s="86"/>
      <c r="Z57" s="86"/>
      <c r="AA57" s="86">
        <v>1</v>
      </c>
      <c r="AB57" s="21"/>
      <c r="AC57" s="77"/>
      <c r="AD57" s="21"/>
      <c r="AE57" s="77"/>
      <c r="AF57" s="21"/>
      <c r="AG57" s="21"/>
      <c r="AH57" s="21"/>
      <c r="AI57" s="21"/>
      <c r="AJ57" s="21"/>
      <c r="AK57" s="21"/>
      <c r="AL57" s="77"/>
      <c r="AM57" s="21">
        <v>1</v>
      </c>
      <c r="AN57" s="21"/>
      <c r="AO57" s="21"/>
      <c r="AP57" s="21"/>
      <c r="AQ57" s="21"/>
      <c r="AR57" s="21"/>
      <c r="AS57" s="77"/>
      <c r="AT57" s="21"/>
      <c r="AU57" s="21"/>
      <c r="AV57" s="21"/>
      <c r="AW57" s="21"/>
      <c r="AX57" s="21"/>
      <c r="AY57" s="21"/>
      <c r="AZ57" s="77"/>
      <c r="BA57" s="21"/>
      <c r="BB57" s="21"/>
      <c r="BC57" s="21"/>
      <c r="BD57" s="144">
        <f t="shared" si="9"/>
        <v>1</v>
      </c>
      <c r="BE57" s="94">
        <f t="shared" si="10"/>
        <v>0</v>
      </c>
      <c r="BF57" s="26"/>
      <c r="BH57" s="141" t="s">
        <v>2301</v>
      </c>
      <c r="BI57" s="141" t="s">
        <v>2398</v>
      </c>
      <c r="BJ57" s="141" t="s">
        <v>2386</v>
      </c>
      <c r="BK57" s="141" t="s">
        <v>2387</v>
      </c>
      <c r="BL57" s="141" t="s">
        <v>2399</v>
      </c>
      <c r="BM57" s="141" t="s">
        <v>2400</v>
      </c>
      <c r="BN57" s="141" t="s">
        <v>2401</v>
      </c>
      <c r="BO57" s="141" t="s">
        <v>2402</v>
      </c>
      <c r="BP57" s="141" t="s">
        <v>2403</v>
      </c>
      <c r="BQ57" s="141" t="s">
        <v>2404</v>
      </c>
      <c r="BR57" s="141" t="s">
        <v>2405</v>
      </c>
      <c r="BS57" s="141" t="s">
        <v>2406</v>
      </c>
      <c r="BT57" s="141" t="s">
        <v>2390</v>
      </c>
      <c r="BU57" s="141" t="s">
        <v>2391</v>
      </c>
      <c r="BV57" s="141" t="s">
        <v>2392</v>
      </c>
      <c r="BW57" s="141" t="s">
        <v>2393</v>
      </c>
      <c r="BX57" s="141" t="s">
        <v>2407</v>
      </c>
      <c r="BY57" s="141" t="s">
        <v>2408</v>
      </c>
      <c r="BZ57" s="141" t="s">
        <v>2409</v>
      </c>
      <c r="CA57" s="141" t="s">
        <v>2410</v>
      </c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</row>
    <row r="58" spans="1:93" s="7" customFormat="1" x14ac:dyDescent="0.25">
      <c r="A58" s="19" t="s">
        <v>2298</v>
      </c>
      <c r="B58" s="19" t="s">
        <v>2299</v>
      </c>
      <c r="C58" s="19">
        <v>96101532</v>
      </c>
      <c r="D58" s="20" t="s">
        <v>2301</v>
      </c>
      <c r="E58" s="21" t="s">
        <v>1860</v>
      </c>
      <c r="F58" s="21" t="s">
        <v>2318</v>
      </c>
      <c r="G58" s="21" t="s">
        <v>332</v>
      </c>
      <c r="H58" s="21" t="s">
        <v>2319</v>
      </c>
      <c r="I58" s="21" t="s">
        <v>254</v>
      </c>
      <c r="J58" s="21" t="s">
        <v>2069</v>
      </c>
      <c r="K58" s="21" t="s">
        <v>2325</v>
      </c>
      <c r="L58" s="21" t="s">
        <v>2068</v>
      </c>
      <c r="M58" s="19" t="s">
        <v>2383</v>
      </c>
      <c r="N58" s="19"/>
      <c r="O58" s="35">
        <v>0</v>
      </c>
      <c r="P58" s="35">
        <v>0</v>
      </c>
      <c r="Q58" s="32"/>
      <c r="R58" s="22">
        <v>0</v>
      </c>
      <c r="S58" s="22">
        <v>0</v>
      </c>
      <c r="T58" s="22">
        <v>0</v>
      </c>
      <c r="U58" s="22">
        <v>1</v>
      </c>
      <c r="V58" s="60">
        <f t="shared" si="8"/>
        <v>1</v>
      </c>
      <c r="W58" s="86"/>
      <c r="X58" s="86">
        <v>1</v>
      </c>
      <c r="Y58" s="86"/>
      <c r="Z58" s="86"/>
      <c r="AA58" s="86">
        <v>1</v>
      </c>
      <c r="AB58" s="21"/>
      <c r="AC58" s="77"/>
      <c r="AD58" s="21"/>
      <c r="AE58" s="77"/>
      <c r="AF58" s="21"/>
      <c r="AG58" s="21"/>
      <c r="AH58" s="21"/>
      <c r="AI58" s="21"/>
      <c r="AJ58" s="21"/>
      <c r="AK58" s="21"/>
      <c r="AL58" s="77"/>
      <c r="AM58" s="21">
        <v>1</v>
      </c>
      <c r="AN58" s="21"/>
      <c r="AO58" s="21"/>
      <c r="AP58" s="21"/>
      <c r="AQ58" s="21"/>
      <c r="AR58" s="21"/>
      <c r="AS58" s="77"/>
      <c r="AT58" s="21"/>
      <c r="AU58" s="21"/>
      <c r="AV58" s="21"/>
      <c r="AW58" s="21"/>
      <c r="AX58" s="21"/>
      <c r="AY58" s="21"/>
      <c r="AZ58" s="77"/>
      <c r="BA58" s="21"/>
      <c r="BB58" s="21"/>
      <c r="BC58" s="21"/>
      <c r="BD58" s="144">
        <f t="shared" si="9"/>
        <v>1</v>
      </c>
      <c r="BE58" s="94">
        <f t="shared" si="10"/>
        <v>0</v>
      </c>
      <c r="BF58" s="26"/>
      <c r="BH58" s="141" t="s">
        <v>2301</v>
      </c>
      <c r="BI58" s="141" t="s">
        <v>2398</v>
      </c>
      <c r="BJ58" s="141" t="s">
        <v>2386</v>
      </c>
      <c r="BK58" s="141" t="s">
        <v>2387</v>
      </c>
      <c r="BL58" s="141" t="s">
        <v>2399</v>
      </c>
      <c r="BM58" s="141" t="s">
        <v>2400</v>
      </c>
      <c r="BN58" s="141" t="s">
        <v>2401</v>
      </c>
      <c r="BO58" s="141" t="s">
        <v>2402</v>
      </c>
      <c r="BP58" s="141" t="s">
        <v>2403</v>
      </c>
      <c r="BQ58" s="141" t="s">
        <v>2404</v>
      </c>
      <c r="BR58" s="141" t="s">
        <v>2405</v>
      </c>
      <c r="BS58" s="141" t="s">
        <v>2406</v>
      </c>
      <c r="BT58" s="141" t="s">
        <v>2390</v>
      </c>
      <c r="BU58" s="141" t="s">
        <v>2391</v>
      </c>
      <c r="BV58" s="141" t="s">
        <v>2392</v>
      </c>
      <c r="BW58" s="141" t="s">
        <v>2393</v>
      </c>
      <c r="BX58" s="141" t="s">
        <v>2407</v>
      </c>
      <c r="BY58" s="141" t="s">
        <v>2408</v>
      </c>
      <c r="BZ58" s="141" t="s">
        <v>2409</v>
      </c>
      <c r="CA58" s="141" t="s">
        <v>2410</v>
      </c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</row>
  </sheetData>
  <mergeCells count="1">
    <mergeCell ref="O1:P1"/>
  </mergeCells>
  <conditionalFormatting sqref="C1:C1048576">
    <cfRule type="duplicateValues" dxfId="4" priority="1"/>
  </conditionalFormatting>
  <pageMargins left="0.7" right="0.7" top="0.75" bottom="0.75" header="0.3" footer="0.3"/>
  <pageSetup scale="23" orientation="portrait" horizontalDpi="300" verticalDpi="0" r:id="rId1"/>
  <colBreaks count="2" manualBreakCount="2">
    <brk id="12" max="591" man="1"/>
    <brk id="6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98172-CED7-4996-8C91-B2C4EEDDE202}">
  <dimension ref="A1:CQ58"/>
  <sheetViews>
    <sheetView showGridLines="0" zoomScale="90" zoomScaleNormal="90" workbookViewId="0">
      <pane xSplit="4" ySplit="3" topLeftCell="W14" activePane="bottomRight" state="frozen"/>
      <selection pane="topRight" activeCell="K1" sqref="K1"/>
      <selection pane="bottomLeft" activeCell="A4" sqref="A4"/>
      <selection pane="bottomRight" activeCell="AS24" sqref="AS24"/>
    </sheetView>
  </sheetViews>
  <sheetFormatPr defaultColWidth="9.140625" defaultRowHeight="12.75" x14ac:dyDescent="0.25"/>
  <cols>
    <col min="1" max="1" width="7.5703125" style="6" customWidth="1"/>
    <col min="2" max="2" width="11.7109375" style="6" customWidth="1"/>
    <col min="3" max="3" width="9" style="6" bestFit="1" customWidth="1"/>
    <col min="4" max="4" width="11.42578125" style="6" customWidth="1"/>
    <col min="5" max="5" width="13.28515625" style="8" bestFit="1" customWidth="1"/>
    <col min="6" max="6" width="9" style="8" bestFit="1" customWidth="1"/>
    <col min="7" max="7" width="4.7109375" style="8" customWidth="1"/>
    <col min="8" max="8" width="15.5703125" style="8" bestFit="1" customWidth="1"/>
    <col min="9" max="9" width="4.5703125" style="8" bestFit="1" customWidth="1"/>
    <col min="10" max="10" width="10.28515625" style="8" bestFit="1" customWidth="1"/>
    <col min="11" max="11" width="11.140625" style="8" bestFit="1" customWidth="1"/>
    <col min="12" max="12" width="12.140625" style="8" bestFit="1" customWidth="1"/>
    <col min="13" max="13" width="34" style="6" bestFit="1" customWidth="1"/>
    <col min="14" max="14" width="8.85546875" style="6" hidden="1" customWidth="1"/>
    <col min="15" max="15" width="6.28515625" style="8" hidden="1" customWidth="1"/>
    <col min="16" max="16" width="6.140625" style="8" hidden="1" customWidth="1"/>
    <col min="17" max="17" width="7" style="8" hidden="1" customWidth="1"/>
    <col min="18" max="18" width="6.28515625" style="8" hidden="1" customWidth="1"/>
    <col min="19" max="21" width="4.85546875" style="8" hidden="1" customWidth="1"/>
    <col min="22" max="22" width="6" style="8" hidden="1" customWidth="1"/>
    <col min="23" max="23" width="6.28515625" style="8" customWidth="1"/>
    <col min="24" max="26" width="4.85546875" style="8" customWidth="1"/>
    <col min="27" max="27" width="5.42578125" style="8" customWidth="1"/>
    <col min="28" max="30" width="3" style="8" customWidth="1"/>
    <col min="31" max="31" width="2" style="8" customWidth="1"/>
    <col min="32" max="32" width="3" style="8" customWidth="1"/>
    <col min="33" max="33" width="2" style="8" customWidth="1"/>
    <col min="34" max="34" width="3" style="8" customWidth="1"/>
    <col min="35" max="35" width="3.85546875" style="8" customWidth="1"/>
    <col min="36" max="41" width="3" style="8" customWidth="1"/>
    <col min="42" max="42" width="3.85546875" style="8" customWidth="1"/>
    <col min="43" max="48" width="3" style="8" customWidth="1"/>
    <col min="49" max="49" width="3.85546875" style="8" customWidth="1"/>
    <col min="50" max="57" width="3" style="8" bestFit="1" customWidth="1"/>
    <col min="58" max="58" width="5" style="8" customWidth="1"/>
    <col min="59" max="59" width="6.140625" style="8" customWidth="1"/>
    <col min="60" max="60" width="23" style="6" customWidth="1"/>
    <col min="61" max="61" width="1.28515625" style="8" customWidth="1"/>
    <col min="62" max="62" width="10" style="6" customWidth="1"/>
    <col min="63" max="63" width="40.28515625" style="6" customWidth="1"/>
    <col min="64" max="64" width="43" style="6" customWidth="1"/>
    <col min="65" max="65" width="12.85546875" style="6" customWidth="1"/>
    <col min="66" max="66" width="10.5703125" style="6" bestFit="1" customWidth="1"/>
    <col min="67" max="67" width="37.85546875" style="6" bestFit="1" customWidth="1"/>
    <col min="68" max="68" width="15.85546875" style="6" bestFit="1" customWidth="1"/>
    <col min="69" max="69" width="40" style="6" bestFit="1" customWidth="1"/>
    <col min="70" max="70" width="13" style="6" bestFit="1" customWidth="1"/>
    <col min="71" max="71" width="39" style="6" bestFit="1" customWidth="1"/>
    <col min="72" max="72" width="10.140625" style="6" bestFit="1" customWidth="1"/>
    <col min="73" max="73" width="40.42578125" style="6" bestFit="1" customWidth="1"/>
    <col min="74" max="74" width="12.7109375" style="6" bestFit="1" customWidth="1"/>
    <col min="75" max="75" width="42.7109375" style="6" bestFit="1" customWidth="1"/>
    <col min="76" max="76" width="13.85546875" style="6" bestFit="1" customWidth="1"/>
    <col min="77" max="77" width="40.42578125" style="6" bestFit="1" customWidth="1"/>
    <col min="78" max="78" width="13.7109375" style="6" bestFit="1" customWidth="1"/>
    <col min="79" max="79" width="37.28515625" style="6" bestFit="1" customWidth="1"/>
    <col min="80" max="80" width="9.28515625" style="6" bestFit="1" customWidth="1"/>
    <col min="81" max="81" width="41.5703125" style="6" bestFit="1" customWidth="1"/>
    <col min="82" max="82" width="14" style="6" bestFit="1" customWidth="1"/>
    <col min="83" max="83" width="14.5703125" style="6" bestFit="1" customWidth="1"/>
    <col min="84" max="84" width="7.85546875" style="6" bestFit="1" customWidth="1"/>
    <col min="85" max="85" width="12.140625" style="6" bestFit="1" customWidth="1"/>
    <col min="86" max="86" width="15.140625" style="6" bestFit="1" customWidth="1"/>
    <col min="87" max="87" width="15.5703125" style="6" bestFit="1" customWidth="1"/>
    <col min="88" max="88" width="15.140625" style="6" bestFit="1" customWidth="1"/>
    <col min="89" max="89" width="15.5703125" style="6" bestFit="1" customWidth="1"/>
    <col min="90" max="90" width="12.140625" style="6" bestFit="1" customWidth="1"/>
    <col min="91" max="91" width="12.7109375" style="6" bestFit="1" customWidth="1"/>
    <col min="92" max="92" width="9.7109375" style="6" bestFit="1" customWidth="1"/>
    <col min="93" max="93" width="10.140625" style="6" bestFit="1" customWidth="1"/>
    <col min="94" max="16384" width="9.140625" style="6"/>
  </cols>
  <sheetData>
    <row r="1" spans="1:95" s="1" customFormat="1" ht="15.75" x14ac:dyDescent="0.25">
      <c r="E1" s="3"/>
      <c r="F1" s="3"/>
      <c r="G1" s="3"/>
      <c r="H1" s="3"/>
      <c r="I1" s="3"/>
      <c r="J1" s="3"/>
      <c r="K1" s="3"/>
      <c r="L1" s="3"/>
      <c r="M1" s="46"/>
      <c r="O1" s="148" t="s">
        <v>0</v>
      </c>
      <c r="P1" s="148"/>
      <c r="Q1" s="29"/>
      <c r="R1" s="36" t="s">
        <v>2385</v>
      </c>
      <c r="S1" s="37"/>
      <c r="T1" s="37"/>
      <c r="U1" s="37"/>
      <c r="V1" s="37"/>
      <c r="W1" s="49" t="s">
        <v>72</v>
      </c>
      <c r="X1" s="4"/>
      <c r="Y1" s="4"/>
      <c r="Z1" s="4"/>
      <c r="AA1" s="4"/>
      <c r="AB1" s="3"/>
      <c r="AC1" s="3"/>
      <c r="AD1" s="3"/>
      <c r="AE1" s="3"/>
      <c r="AF1" s="3"/>
      <c r="AG1" s="3"/>
      <c r="AH1" s="3"/>
      <c r="AI1" s="3" t="s">
        <v>1</v>
      </c>
      <c r="AJ1" s="3"/>
      <c r="AK1" s="3"/>
      <c r="AL1" s="3"/>
      <c r="AM1" s="3"/>
      <c r="AN1" s="3"/>
      <c r="AO1" s="3"/>
      <c r="AP1" s="3" t="s">
        <v>2</v>
      </c>
      <c r="AQ1" s="3"/>
      <c r="AR1" s="3"/>
      <c r="AS1" s="3"/>
      <c r="AT1" s="3"/>
      <c r="AU1" s="3"/>
      <c r="AV1" s="3"/>
      <c r="AW1" s="3" t="s">
        <v>3</v>
      </c>
      <c r="AX1" s="3"/>
      <c r="AY1" s="3"/>
      <c r="AZ1" s="3"/>
      <c r="BA1" s="3"/>
      <c r="BB1" s="3"/>
      <c r="BC1" s="3"/>
      <c r="BD1" s="3"/>
      <c r="BE1" s="3"/>
      <c r="BF1" s="3"/>
      <c r="BG1" s="3"/>
      <c r="BI1" s="3"/>
    </row>
    <row r="2" spans="1:95" ht="21" x14ac:dyDescent="0.25">
      <c r="A2" s="88" t="s">
        <v>2297</v>
      </c>
      <c r="M2" s="47"/>
      <c r="O2" s="33">
        <f>SUBTOTAL(9,O4:O58)</f>
        <v>1000</v>
      </c>
      <c r="P2" s="33">
        <f>SUBTOTAL(9,P4:P58)</f>
        <v>500</v>
      </c>
      <c r="Q2" s="30">
        <f>SUBTOTAL(9,Q16:Q58)</f>
        <v>0</v>
      </c>
      <c r="R2" s="39">
        <f>SUBTOTAL(9,R4:R58)</f>
        <v>491</v>
      </c>
      <c r="S2" s="39">
        <f t="shared" ref="S2:AA2" si="0">SUBTOTAL(9,S4:S58)</f>
        <v>346</v>
      </c>
      <c r="T2" s="39">
        <f t="shared" si="0"/>
        <v>368</v>
      </c>
      <c r="U2" s="39">
        <f t="shared" si="0"/>
        <v>300</v>
      </c>
      <c r="V2" s="60">
        <f t="shared" si="0"/>
        <v>1505</v>
      </c>
      <c r="W2" s="30">
        <f t="shared" si="0"/>
        <v>416</v>
      </c>
      <c r="X2" s="30">
        <f t="shared" si="0"/>
        <v>316</v>
      </c>
      <c r="Y2" s="30">
        <f t="shared" si="0"/>
        <v>314</v>
      </c>
      <c r="Z2" s="30">
        <f t="shared" si="0"/>
        <v>205</v>
      </c>
      <c r="AA2" s="30">
        <f t="shared" si="0"/>
        <v>1251</v>
      </c>
      <c r="AB2" s="44">
        <f>SUBTOTAL(9,AB4:AB58)</f>
        <v>50</v>
      </c>
      <c r="AC2" s="44">
        <f t="shared" ref="AC2:BA2" si="1">SUBTOTAL(9,AC4:AC58)</f>
        <v>50</v>
      </c>
      <c r="AD2" s="44">
        <f t="shared" si="1"/>
        <v>50</v>
      </c>
      <c r="AE2" s="87">
        <f>SUBTOTAL(9,AE16:AE58)</f>
        <v>0</v>
      </c>
      <c r="AF2" s="44">
        <f t="shared" si="1"/>
        <v>50</v>
      </c>
      <c r="AG2" s="87">
        <f>SUBTOTAL(9,AG16:AG58)</f>
        <v>0</v>
      </c>
      <c r="AH2" s="44">
        <f t="shared" si="1"/>
        <v>50</v>
      </c>
      <c r="AI2" s="44">
        <f t="shared" si="1"/>
        <v>50</v>
      </c>
      <c r="AJ2" s="44">
        <f t="shared" si="1"/>
        <v>50</v>
      </c>
      <c r="AK2" s="44">
        <f t="shared" si="1"/>
        <v>50</v>
      </c>
      <c r="AL2" s="44">
        <f t="shared" si="1"/>
        <v>50</v>
      </c>
      <c r="AM2" s="44">
        <f t="shared" si="1"/>
        <v>50</v>
      </c>
      <c r="AN2" s="87">
        <f>SUBTOTAL(9,AN16:AN58)</f>
        <v>0</v>
      </c>
      <c r="AO2" s="44">
        <f t="shared" si="1"/>
        <v>50</v>
      </c>
      <c r="AP2" s="44">
        <f t="shared" si="1"/>
        <v>50</v>
      </c>
      <c r="AQ2" s="44">
        <f t="shared" si="1"/>
        <v>50</v>
      </c>
      <c r="AR2" s="44">
        <f t="shared" si="1"/>
        <v>50</v>
      </c>
      <c r="AS2" s="44">
        <f t="shared" si="1"/>
        <v>50</v>
      </c>
      <c r="AT2" s="44">
        <f t="shared" si="1"/>
        <v>50</v>
      </c>
      <c r="AU2" s="87">
        <f>SUBTOTAL(9,AU16:AU58)</f>
        <v>0</v>
      </c>
      <c r="AV2" s="44">
        <f t="shared" si="1"/>
        <v>51</v>
      </c>
      <c r="AW2" s="44">
        <f t="shared" si="1"/>
        <v>51</v>
      </c>
      <c r="AX2" s="44">
        <f t="shared" si="1"/>
        <v>52</v>
      </c>
      <c r="AY2" s="44">
        <f t="shared" si="1"/>
        <v>52</v>
      </c>
      <c r="AZ2" s="44">
        <f t="shared" si="1"/>
        <v>52</v>
      </c>
      <c r="BA2" s="44">
        <f t="shared" si="1"/>
        <v>51</v>
      </c>
      <c r="BB2" s="87">
        <f>SUBTOTAL(9,BB16:BB58)</f>
        <v>0</v>
      </c>
      <c r="BC2" s="44">
        <f t="shared" ref="BC2:BE2" si="2">SUBTOTAL(9,BC4:BC58)</f>
        <v>50</v>
      </c>
      <c r="BD2" s="44">
        <f t="shared" si="2"/>
        <v>50</v>
      </c>
      <c r="BE2" s="44">
        <f t="shared" si="2"/>
        <v>42</v>
      </c>
      <c r="BF2" s="95">
        <f>SUBTOTAL(9,BF4:BF58)</f>
        <v>1251</v>
      </c>
      <c r="BG2" s="33">
        <f>SUBTOTAL(9,BG4:BG58)</f>
        <v>0</v>
      </c>
      <c r="BH2" s="1"/>
    </row>
    <row r="3" spans="1:95" s="1" customFormat="1" ht="30" customHeight="1" x14ac:dyDescent="0.25">
      <c r="A3" s="9" t="s">
        <v>4</v>
      </c>
      <c r="B3" s="10" t="s">
        <v>5</v>
      </c>
      <c r="C3" s="10" t="s">
        <v>6</v>
      </c>
      <c r="D3" s="11" t="s">
        <v>9</v>
      </c>
      <c r="E3" s="99" t="s">
        <v>12</v>
      </c>
      <c r="F3" s="99" t="s">
        <v>13</v>
      </c>
      <c r="G3" s="99" t="s">
        <v>14</v>
      </c>
      <c r="H3" s="99" t="s">
        <v>15</v>
      </c>
      <c r="I3" s="99" t="s">
        <v>16</v>
      </c>
      <c r="J3" s="99" t="s">
        <v>17</v>
      </c>
      <c r="K3" s="99" t="s">
        <v>19</v>
      </c>
      <c r="L3" s="99" t="s">
        <v>21</v>
      </c>
      <c r="M3" s="48" t="s">
        <v>24</v>
      </c>
      <c r="N3" s="9" t="s">
        <v>25</v>
      </c>
      <c r="O3" s="34" t="s">
        <v>2168</v>
      </c>
      <c r="P3" s="34" t="s">
        <v>2384</v>
      </c>
      <c r="Q3" s="31" t="s">
        <v>26</v>
      </c>
      <c r="R3" s="40" t="s">
        <v>27</v>
      </c>
      <c r="S3" s="40" t="s">
        <v>28</v>
      </c>
      <c r="T3" s="40" t="s">
        <v>29</v>
      </c>
      <c r="U3" s="40" t="s">
        <v>30</v>
      </c>
      <c r="V3" s="60" t="s">
        <v>32</v>
      </c>
      <c r="W3" s="143" t="s">
        <v>27</v>
      </c>
      <c r="X3" s="143" t="s">
        <v>36</v>
      </c>
      <c r="Y3" s="143" t="s">
        <v>37</v>
      </c>
      <c r="Z3" s="143" t="s">
        <v>38</v>
      </c>
      <c r="AA3" s="143" t="s">
        <v>32</v>
      </c>
      <c r="AB3" s="86">
        <v>1</v>
      </c>
      <c r="AC3" s="86">
        <v>2</v>
      </c>
      <c r="AD3" s="86">
        <v>3</v>
      </c>
      <c r="AE3" s="13">
        <v>4</v>
      </c>
      <c r="AF3" s="86">
        <v>5</v>
      </c>
      <c r="AG3" s="13">
        <v>6</v>
      </c>
      <c r="AH3" s="86">
        <v>7</v>
      </c>
      <c r="AI3" s="86">
        <v>8</v>
      </c>
      <c r="AJ3" s="86">
        <v>9</v>
      </c>
      <c r="AK3" s="86">
        <v>10</v>
      </c>
      <c r="AL3" s="86">
        <v>11</v>
      </c>
      <c r="AM3" s="86">
        <v>12</v>
      </c>
      <c r="AN3" s="13">
        <v>13</v>
      </c>
      <c r="AO3" s="86">
        <v>14</v>
      </c>
      <c r="AP3" s="86">
        <v>15</v>
      </c>
      <c r="AQ3" s="86">
        <v>16</v>
      </c>
      <c r="AR3" s="86">
        <v>17</v>
      </c>
      <c r="AS3" s="86">
        <v>18</v>
      </c>
      <c r="AT3" s="86">
        <v>19</v>
      </c>
      <c r="AU3" s="13">
        <v>20</v>
      </c>
      <c r="AV3" s="86">
        <v>21</v>
      </c>
      <c r="AW3" s="86">
        <v>22</v>
      </c>
      <c r="AX3" s="86">
        <v>23</v>
      </c>
      <c r="AY3" s="86">
        <v>24</v>
      </c>
      <c r="AZ3" s="86">
        <v>25</v>
      </c>
      <c r="BA3" s="86">
        <v>26</v>
      </c>
      <c r="BB3" s="13">
        <v>27</v>
      </c>
      <c r="BC3" s="86">
        <v>28</v>
      </c>
      <c r="BD3" s="86">
        <v>29</v>
      </c>
      <c r="BE3" s="86">
        <v>30</v>
      </c>
      <c r="BF3" s="96" t="s">
        <v>32</v>
      </c>
      <c r="BG3" s="93" t="s">
        <v>1722</v>
      </c>
      <c r="BH3" s="10" t="s">
        <v>39</v>
      </c>
      <c r="BI3" s="3"/>
      <c r="BJ3" s="26" t="s">
        <v>40</v>
      </c>
      <c r="BK3" s="26" t="s">
        <v>41</v>
      </c>
      <c r="BL3" s="18" t="s">
        <v>42</v>
      </c>
      <c r="BM3" s="18" t="s">
        <v>43</v>
      </c>
      <c r="BN3" s="18" t="s">
        <v>44</v>
      </c>
      <c r="BO3" s="18" t="s">
        <v>45</v>
      </c>
      <c r="BP3" s="18" t="s">
        <v>46</v>
      </c>
      <c r="BQ3" s="18" t="s">
        <v>47</v>
      </c>
      <c r="BR3" s="18" t="s">
        <v>48</v>
      </c>
      <c r="BS3" s="18" t="s">
        <v>49</v>
      </c>
      <c r="BT3" s="18" t="s">
        <v>50</v>
      </c>
      <c r="BU3" s="18" t="s">
        <v>51</v>
      </c>
      <c r="BV3" s="18" t="s">
        <v>52</v>
      </c>
      <c r="BW3" s="18" t="s">
        <v>53</v>
      </c>
      <c r="BX3" s="18" t="s">
        <v>54</v>
      </c>
      <c r="BY3" s="18" t="s">
        <v>55</v>
      </c>
      <c r="BZ3" s="18" t="s">
        <v>56</v>
      </c>
      <c r="CA3" s="18" t="s">
        <v>57</v>
      </c>
      <c r="CB3" s="18" t="s">
        <v>58</v>
      </c>
      <c r="CC3" s="18" t="s">
        <v>59</v>
      </c>
      <c r="CD3" s="18" t="s">
        <v>60</v>
      </c>
      <c r="CE3" s="18" t="s">
        <v>61</v>
      </c>
      <c r="CF3" s="18" t="s">
        <v>62</v>
      </c>
      <c r="CG3" s="18" t="s">
        <v>63</v>
      </c>
      <c r="CH3" s="18" t="s">
        <v>64</v>
      </c>
      <c r="CI3" s="18" t="s">
        <v>65</v>
      </c>
      <c r="CJ3" s="18" t="s">
        <v>66</v>
      </c>
      <c r="CK3" s="18" t="s">
        <v>67</v>
      </c>
      <c r="CL3" s="18" t="s">
        <v>69</v>
      </c>
      <c r="CM3" s="18" t="s">
        <v>70</v>
      </c>
    </row>
    <row r="4" spans="1:95" s="7" customFormat="1" x14ac:dyDescent="0.25">
      <c r="A4" s="19" t="s">
        <v>2298</v>
      </c>
      <c r="B4" s="19" t="s">
        <v>2299</v>
      </c>
      <c r="C4" s="19">
        <v>96100617</v>
      </c>
      <c r="D4" s="20">
        <v>96100617</v>
      </c>
      <c r="E4" s="21" t="s">
        <v>2317</v>
      </c>
      <c r="F4" s="21" t="s">
        <v>2318</v>
      </c>
      <c r="G4" s="21" t="s">
        <v>332</v>
      </c>
      <c r="H4" s="21" t="s">
        <v>234</v>
      </c>
      <c r="I4" s="21" t="s">
        <v>254</v>
      </c>
      <c r="J4" s="21" t="s">
        <v>2070</v>
      </c>
      <c r="K4" s="21" t="s">
        <v>2324</v>
      </c>
      <c r="L4" s="21" t="s">
        <v>2068</v>
      </c>
      <c r="M4" s="19" t="s">
        <v>2329</v>
      </c>
      <c r="N4" s="19"/>
      <c r="O4" s="35">
        <v>40</v>
      </c>
      <c r="P4" s="35">
        <v>10</v>
      </c>
      <c r="Q4" s="32"/>
      <c r="R4" s="22">
        <v>20</v>
      </c>
      <c r="S4" s="22">
        <v>5</v>
      </c>
      <c r="T4" s="22">
        <v>10</v>
      </c>
      <c r="U4" s="22">
        <v>5</v>
      </c>
      <c r="V4" s="60">
        <f t="shared" ref="V4:V35" si="3">SUM(R4:U4)</f>
        <v>40</v>
      </c>
      <c r="W4" s="86"/>
      <c r="X4" s="86"/>
      <c r="Y4" s="86">
        <v>3</v>
      </c>
      <c r="Z4" s="86">
        <v>24</v>
      </c>
      <c r="AA4" s="86">
        <v>27</v>
      </c>
      <c r="AB4" s="21"/>
      <c r="AC4" s="21"/>
      <c r="AD4" s="21"/>
      <c r="AE4" s="77"/>
      <c r="AF4" s="21"/>
      <c r="AG4" s="77"/>
      <c r="AH4" s="21"/>
      <c r="AI4" s="21"/>
      <c r="AJ4" s="21"/>
      <c r="AK4" s="21"/>
      <c r="AL4" s="21"/>
      <c r="AM4" s="21"/>
      <c r="AN4" s="77"/>
      <c r="AO4" s="21"/>
      <c r="AP4" s="21"/>
      <c r="AQ4" s="21"/>
      <c r="AR4" s="21"/>
      <c r="AS4" s="21"/>
      <c r="AT4" s="21"/>
      <c r="AU4" s="77"/>
      <c r="AV4" s="21"/>
      <c r="AW4" s="21"/>
      <c r="AX4" s="21"/>
      <c r="AY4" s="21">
        <v>5</v>
      </c>
      <c r="AZ4" s="21">
        <v>5</v>
      </c>
      <c r="BA4" s="21">
        <v>5</v>
      </c>
      <c r="BB4" s="77"/>
      <c r="BC4" s="21">
        <v>4</v>
      </c>
      <c r="BD4" s="21">
        <v>4</v>
      </c>
      <c r="BE4" s="21">
        <v>4</v>
      </c>
      <c r="BF4" s="144">
        <f t="shared" ref="BF4:BF20" si="4">SUM(AB4:BE4)</f>
        <v>27</v>
      </c>
      <c r="BG4" s="94">
        <f>AA4-BF4</f>
        <v>0</v>
      </c>
      <c r="BH4" s="26"/>
      <c r="BJ4" s="141">
        <v>96100617</v>
      </c>
      <c r="BK4" s="141" t="s">
        <v>2329</v>
      </c>
      <c r="BL4" s="141" t="s">
        <v>2386</v>
      </c>
      <c r="BM4" s="141" t="s">
        <v>2387</v>
      </c>
      <c r="BN4" s="141"/>
      <c r="BO4" s="141"/>
      <c r="BP4" s="141"/>
      <c r="BQ4" s="141"/>
      <c r="BR4" s="141" t="s">
        <v>2388</v>
      </c>
      <c r="BS4" s="141" t="s">
        <v>2389</v>
      </c>
      <c r="BT4" s="141"/>
      <c r="BU4" s="141"/>
      <c r="BV4" s="141" t="s">
        <v>2390</v>
      </c>
      <c r="BW4" s="141" t="s">
        <v>2391</v>
      </c>
      <c r="BX4" s="141" t="s">
        <v>2392</v>
      </c>
      <c r="BY4" s="141" t="s">
        <v>2393</v>
      </c>
      <c r="BZ4" s="141"/>
      <c r="CA4" s="141"/>
      <c r="CB4" s="141" t="s">
        <v>2394</v>
      </c>
      <c r="CC4" s="141" t="s">
        <v>2395</v>
      </c>
      <c r="CD4" s="142"/>
      <c r="CE4" s="142"/>
      <c r="CF4" s="142"/>
      <c r="CG4" s="142"/>
      <c r="CH4" s="142"/>
      <c r="CI4" s="142"/>
      <c r="CJ4" s="142"/>
      <c r="CK4" s="142"/>
      <c r="CL4" s="142"/>
      <c r="CM4" s="142"/>
      <c r="CN4" s="142"/>
      <c r="CO4" s="142"/>
      <c r="CP4" s="142"/>
      <c r="CQ4" s="142"/>
    </row>
    <row r="5" spans="1:95" s="7" customFormat="1" x14ac:dyDescent="0.25">
      <c r="A5" s="19" t="s">
        <v>2298</v>
      </c>
      <c r="B5" s="19" t="s">
        <v>2299</v>
      </c>
      <c r="C5" s="19">
        <v>96100619</v>
      </c>
      <c r="D5" s="20" t="s">
        <v>2300</v>
      </c>
      <c r="E5" s="21" t="s">
        <v>2317</v>
      </c>
      <c r="F5" s="21" t="s">
        <v>2318</v>
      </c>
      <c r="G5" s="21" t="s">
        <v>332</v>
      </c>
      <c r="H5" s="21" t="s">
        <v>234</v>
      </c>
      <c r="I5" s="21" t="s">
        <v>254</v>
      </c>
      <c r="J5" s="21" t="s">
        <v>255</v>
      </c>
      <c r="K5" s="21" t="s">
        <v>2324</v>
      </c>
      <c r="L5" s="21" t="s">
        <v>239</v>
      </c>
      <c r="M5" s="19" t="s">
        <v>2330</v>
      </c>
      <c r="N5" s="19"/>
      <c r="O5" s="35">
        <v>51</v>
      </c>
      <c r="P5" s="35">
        <v>12</v>
      </c>
      <c r="Q5" s="32"/>
      <c r="R5" s="22">
        <v>20</v>
      </c>
      <c r="S5" s="22">
        <v>10</v>
      </c>
      <c r="T5" s="22">
        <v>10</v>
      </c>
      <c r="U5" s="22">
        <v>5</v>
      </c>
      <c r="V5" s="60">
        <f t="shared" si="3"/>
        <v>45</v>
      </c>
      <c r="W5" s="86"/>
      <c r="X5" s="86"/>
      <c r="Y5" s="86">
        <v>37</v>
      </c>
      <c r="Z5" s="86"/>
      <c r="AA5" s="86">
        <v>37</v>
      </c>
      <c r="AB5" s="21"/>
      <c r="AC5" s="21"/>
      <c r="AD5" s="21"/>
      <c r="AE5" s="77"/>
      <c r="AF5" s="21"/>
      <c r="AG5" s="77"/>
      <c r="AH5" s="21"/>
      <c r="AI5" s="21"/>
      <c r="AJ5" s="21"/>
      <c r="AK5" s="21"/>
      <c r="AL5" s="21"/>
      <c r="AM5" s="21"/>
      <c r="AN5" s="77"/>
      <c r="AO5" s="21"/>
      <c r="AP5" s="21"/>
      <c r="AQ5" s="145">
        <v>12</v>
      </c>
      <c r="AR5" s="145">
        <v>13</v>
      </c>
      <c r="AS5" s="145">
        <v>12</v>
      </c>
      <c r="AT5" s="21"/>
      <c r="AU5" s="77"/>
      <c r="AV5" s="21"/>
      <c r="AW5" s="21"/>
      <c r="AX5" s="21"/>
      <c r="AY5" s="21"/>
      <c r="AZ5" s="21"/>
      <c r="BA5" s="21"/>
      <c r="BB5" s="77"/>
      <c r="BC5" s="21"/>
      <c r="BD5" s="21"/>
      <c r="BE5" s="21"/>
      <c r="BF5" s="144">
        <f t="shared" si="4"/>
        <v>37</v>
      </c>
      <c r="BG5" s="94">
        <f t="shared" ref="BG5:BG58" si="5">AA5-BF5</f>
        <v>0</v>
      </c>
      <c r="BH5" s="26"/>
      <c r="BJ5" s="141" t="s">
        <v>2300</v>
      </c>
      <c r="BK5" s="141" t="s">
        <v>2396</v>
      </c>
      <c r="BL5" s="141" t="s">
        <v>2386</v>
      </c>
      <c r="BM5" s="141" t="s">
        <v>2387</v>
      </c>
      <c r="BN5" s="141"/>
      <c r="BO5" s="141"/>
      <c r="BP5" s="141"/>
      <c r="BQ5" s="141"/>
      <c r="BR5" s="141" t="s">
        <v>2388</v>
      </c>
      <c r="BS5" s="141" t="s">
        <v>2389</v>
      </c>
      <c r="BT5" s="141"/>
      <c r="BU5" s="141"/>
      <c r="BV5" s="141" t="s">
        <v>2390</v>
      </c>
      <c r="BW5" s="141" t="s">
        <v>2391</v>
      </c>
      <c r="BX5" s="141" t="s">
        <v>2392</v>
      </c>
      <c r="BY5" s="141" t="s">
        <v>2393</v>
      </c>
      <c r="BZ5" s="141"/>
      <c r="CA5" s="141"/>
      <c r="CB5" s="141" t="s">
        <v>2394</v>
      </c>
      <c r="CC5" s="141" t="s">
        <v>2397</v>
      </c>
      <c r="CD5" s="142"/>
      <c r="CE5" s="142"/>
      <c r="CF5" s="142"/>
      <c r="CG5" s="142"/>
      <c r="CH5" s="142"/>
      <c r="CI5" s="142"/>
      <c r="CJ5" s="142"/>
      <c r="CK5" s="142"/>
      <c r="CL5" s="142"/>
      <c r="CM5" s="142"/>
      <c r="CN5" s="142"/>
      <c r="CO5" s="142"/>
      <c r="CP5" s="142"/>
      <c r="CQ5" s="142"/>
    </row>
    <row r="6" spans="1:95" s="7" customFormat="1" x14ac:dyDescent="0.25">
      <c r="A6" s="19" t="s">
        <v>2298</v>
      </c>
      <c r="B6" s="19" t="s">
        <v>2299</v>
      </c>
      <c r="C6" s="19">
        <v>96100618</v>
      </c>
      <c r="D6" s="20" t="s">
        <v>2304</v>
      </c>
      <c r="E6" s="21" t="s">
        <v>2317</v>
      </c>
      <c r="F6" s="21" t="s">
        <v>2318</v>
      </c>
      <c r="G6" s="21" t="s">
        <v>332</v>
      </c>
      <c r="H6" s="21" t="s">
        <v>234</v>
      </c>
      <c r="I6" s="21" t="s">
        <v>254</v>
      </c>
      <c r="J6" s="21" t="s">
        <v>2083</v>
      </c>
      <c r="K6" s="21" t="s">
        <v>2324</v>
      </c>
      <c r="L6" s="21" t="s">
        <v>2068</v>
      </c>
      <c r="M6" s="19" t="s">
        <v>2341</v>
      </c>
      <c r="N6" s="19"/>
      <c r="O6" s="35">
        <v>40</v>
      </c>
      <c r="P6" s="35">
        <v>15</v>
      </c>
      <c r="Q6" s="32"/>
      <c r="R6" s="22">
        <v>20</v>
      </c>
      <c r="S6" s="22">
        <v>10</v>
      </c>
      <c r="T6" s="22">
        <v>5</v>
      </c>
      <c r="U6" s="22">
        <v>5</v>
      </c>
      <c r="V6" s="60">
        <f t="shared" si="3"/>
        <v>40</v>
      </c>
      <c r="W6" s="86"/>
      <c r="X6" s="86"/>
      <c r="Y6" s="86">
        <v>25</v>
      </c>
      <c r="Z6" s="86">
        <v>11</v>
      </c>
      <c r="AA6" s="86">
        <v>36</v>
      </c>
      <c r="AB6" s="21"/>
      <c r="AC6" s="21"/>
      <c r="AD6" s="21"/>
      <c r="AE6" s="77"/>
      <c r="AF6" s="21"/>
      <c r="AG6" s="77"/>
      <c r="AH6" s="21"/>
      <c r="AI6" s="21"/>
      <c r="AJ6" s="21"/>
      <c r="AK6" s="21"/>
      <c r="AL6" s="21"/>
      <c r="AM6" s="21"/>
      <c r="AN6" s="77"/>
      <c r="AO6" s="21"/>
      <c r="AP6" s="21">
        <v>10</v>
      </c>
      <c r="AQ6" s="21"/>
      <c r="AR6" s="21"/>
      <c r="AS6" s="21">
        <v>2</v>
      </c>
      <c r="AT6" s="21">
        <v>13</v>
      </c>
      <c r="AU6" s="77"/>
      <c r="AV6" s="21"/>
      <c r="AW6" s="21">
        <v>5</v>
      </c>
      <c r="AX6" s="21">
        <v>6</v>
      </c>
      <c r="AY6" s="21"/>
      <c r="AZ6" s="21"/>
      <c r="BA6" s="21"/>
      <c r="BB6" s="77"/>
      <c r="BC6" s="21"/>
      <c r="BD6" s="21"/>
      <c r="BE6" s="21"/>
      <c r="BF6" s="144">
        <f t="shared" si="4"/>
        <v>36</v>
      </c>
      <c r="BG6" s="94">
        <f t="shared" si="5"/>
        <v>0</v>
      </c>
      <c r="BH6" s="26"/>
      <c r="BJ6" s="141" t="s">
        <v>2304</v>
      </c>
      <c r="BK6" s="141" t="s">
        <v>2396</v>
      </c>
      <c r="BL6" s="141" t="s">
        <v>2386</v>
      </c>
      <c r="BM6" s="141" t="s">
        <v>2387</v>
      </c>
      <c r="BN6" s="141"/>
      <c r="BO6" s="141"/>
      <c r="BP6" s="141"/>
      <c r="BQ6" s="141"/>
      <c r="BR6" s="141" t="s">
        <v>2388</v>
      </c>
      <c r="BS6" s="141" t="s">
        <v>2389</v>
      </c>
      <c r="BT6" s="141"/>
      <c r="BU6" s="141"/>
      <c r="BV6" s="141" t="s">
        <v>2390</v>
      </c>
      <c r="BW6" s="141" t="s">
        <v>2391</v>
      </c>
      <c r="BX6" s="141" t="s">
        <v>2392</v>
      </c>
      <c r="BY6" s="141" t="s">
        <v>2393</v>
      </c>
      <c r="BZ6" s="141"/>
      <c r="CA6" s="141"/>
      <c r="CB6" s="141" t="s">
        <v>2394</v>
      </c>
      <c r="CC6" s="141" t="s">
        <v>2420</v>
      </c>
      <c r="CD6" s="142"/>
      <c r="CE6" s="142"/>
      <c r="CF6" s="142"/>
      <c r="CG6" s="142"/>
      <c r="CH6" s="142"/>
      <c r="CI6" s="142"/>
      <c r="CJ6" s="142"/>
      <c r="CK6" s="142"/>
      <c r="CL6" s="142"/>
      <c r="CM6" s="142"/>
      <c r="CN6" s="142"/>
      <c r="CO6" s="142"/>
      <c r="CP6" s="142"/>
      <c r="CQ6" s="142"/>
    </row>
    <row r="7" spans="1:95" s="7" customFormat="1" x14ac:dyDescent="0.25">
      <c r="A7" s="19" t="s">
        <v>2298</v>
      </c>
      <c r="B7" s="19" t="s">
        <v>2299</v>
      </c>
      <c r="C7" s="19">
        <v>96200761</v>
      </c>
      <c r="D7" s="20" t="s">
        <v>2305</v>
      </c>
      <c r="E7" s="21" t="s">
        <v>2321</v>
      </c>
      <c r="F7" s="21" t="s">
        <v>2320</v>
      </c>
      <c r="G7" s="21" t="s">
        <v>260</v>
      </c>
      <c r="H7" s="21" t="s">
        <v>2322</v>
      </c>
      <c r="I7" s="21" t="s">
        <v>254</v>
      </c>
      <c r="J7" s="21" t="s">
        <v>255</v>
      </c>
      <c r="K7" s="21" t="s">
        <v>2324</v>
      </c>
      <c r="L7" s="21" t="s">
        <v>239</v>
      </c>
      <c r="M7" s="19" t="s">
        <v>2343</v>
      </c>
      <c r="N7" s="19"/>
      <c r="O7" s="35">
        <v>2</v>
      </c>
      <c r="P7" s="35">
        <v>0</v>
      </c>
      <c r="Q7" s="32"/>
      <c r="R7" s="22">
        <v>1</v>
      </c>
      <c r="S7" s="22">
        <v>1</v>
      </c>
      <c r="T7" s="22">
        <v>0</v>
      </c>
      <c r="U7" s="22">
        <v>0</v>
      </c>
      <c r="V7" s="60">
        <f t="shared" si="3"/>
        <v>2</v>
      </c>
      <c r="W7" s="86"/>
      <c r="X7" s="86"/>
      <c r="Y7" s="86">
        <v>2</v>
      </c>
      <c r="Z7" s="86"/>
      <c r="AA7" s="86">
        <v>2</v>
      </c>
      <c r="AB7" s="21"/>
      <c r="AC7" s="21"/>
      <c r="AD7" s="21"/>
      <c r="AE7" s="77"/>
      <c r="AF7" s="21"/>
      <c r="AG7" s="77"/>
      <c r="AH7" s="21"/>
      <c r="AI7" s="21"/>
      <c r="AJ7" s="21"/>
      <c r="AK7" s="21"/>
      <c r="AL7" s="21"/>
      <c r="AM7" s="21"/>
      <c r="AN7" s="77"/>
      <c r="AO7" s="21"/>
      <c r="AP7" s="21"/>
      <c r="AQ7" s="145">
        <v>2</v>
      </c>
      <c r="AR7" s="145"/>
      <c r="AS7" s="21"/>
      <c r="AT7" s="21"/>
      <c r="AU7" s="77"/>
      <c r="AV7" s="21"/>
      <c r="AW7" s="21"/>
      <c r="AX7" s="21"/>
      <c r="AY7" s="21"/>
      <c r="AZ7" s="21"/>
      <c r="BA7" s="21"/>
      <c r="BB7" s="77"/>
      <c r="BC7" s="21"/>
      <c r="BD7" s="21"/>
      <c r="BE7" s="21"/>
      <c r="BF7" s="144">
        <f t="shared" si="4"/>
        <v>2</v>
      </c>
      <c r="BG7" s="94">
        <f t="shared" si="5"/>
        <v>0</v>
      </c>
      <c r="BH7" s="26"/>
      <c r="BJ7" s="141" t="s">
        <v>2305</v>
      </c>
      <c r="BK7" s="141" t="s">
        <v>2421</v>
      </c>
      <c r="BL7" s="141" t="s">
        <v>2386</v>
      </c>
      <c r="BM7" s="141" t="s">
        <v>2387</v>
      </c>
      <c r="BN7" s="141"/>
      <c r="BO7" s="141"/>
      <c r="BP7" s="141"/>
      <c r="BQ7" s="141"/>
      <c r="BR7" s="141" t="s">
        <v>2388</v>
      </c>
      <c r="BS7" s="141" t="s">
        <v>2389</v>
      </c>
      <c r="BT7" s="141"/>
      <c r="BU7" s="141"/>
      <c r="BV7" s="141" t="s">
        <v>2390</v>
      </c>
      <c r="BW7" s="141" t="s">
        <v>2391</v>
      </c>
      <c r="BX7" s="141" t="s">
        <v>2422</v>
      </c>
      <c r="BY7" s="141" t="s">
        <v>2423</v>
      </c>
      <c r="BZ7" s="141"/>
      <c r="CA7" s="141"/>
      <c r="CB7" s="141" t="s">
        <v>2394</v>
      </c>
      <c r="CC7" s="141" t="s">
        <v>2397</v>
      </c>
      <c r="CD7" s="142"/>
      <c r="CE7" s="142"/>
      <c r="CF7" s="142"/>
      <c r="CG7" s="142"/>
      <c r="CH7" s="142"/>
      <c r="CI7" s="142"/>
      <c r="CJ7" s="142"/>
      <c r="CK7" s="142"/>
      <c r="CL7" s="142"/>
      <c r="CM7" s="142"/>
      <c r="CN7" s="142"/>
      <c r="CO7" s="142"/>
      <c r="CP7" s="142"/>
      <c r="CQ7" s="142"/>
    </row>
    <row r="8" spans="1:95" s="7" customFormat="1" x14ac:dyDescent="0.25">
      <c r="A8" s="19" t="s">
        <v>2298</v>
      </c>
      <c r="B8" s="19" t="s">
        <v>2299</v>
      </c>
      <c r="C8" s="19">
        <v>96209886</v>
      </c>
      <c r="D8" s="20">
        <v>96209886</v>
      </c>
      <c r="E8" s="21" t="s">
        <v>2321</v>
      </c>
      <c r="F8" s="21" t="s">
        <v>2320</v>
      </c>
      <c r="G8" s="21" t="s">
        <v>260</v>
      </c>
      <c r="H8" s="21" t="s">
        <v>234</v>
      </c>
      <c r="I8" s="21" t="s">
        <v>254</v>
      </c>
      <c r="J8" s="21" t="s">
        <v>2070</v>
      </c>
      <c r="K8" s="21" t="s">
        <v>2324</v>
      </c>
      <c r="L8" s="21" t="s">
        <v>2068</v>
      </c>
      <c r="M8" s="19" t="s">
        <v>2344</v>
      </c>
      <c r="N8" s="19"/>
      <c r="O8" s="35">
        <v>5</v>
      </c>
      <c r="P8" s="35">
        <v>2</v>
      </c>
      <c r="Q8" s="32"/>
      <c r="R8" s="22">
        <v>5</v>
      </c>
      <c r="S8" s="22">
        <v>2</v>
      </c>
      <c r="T8" s="22">
        <v>3</v>
      </c>
      <c r="U8" s="22">
        <v>0</v>
      </c>
      <c r="V8" s="60">
        <f t="shared" si="3"/>
        <v>10</v>
      </c>
      <c r="W8" s="86"/>
      <c r="X8" s="86"/>
      <c r="Y8" s="86">
        <v>10</v>
      </c>
      <c r="Z8" s="86"/>
      <c r="AA8" s="86">
        <v>10</v>
      </c>
      <c r="AB8" s="21"/>
      <c r="AC8" s="21"/>
      <c r="AD8" s="21"/>
      <c r="AE8" s="77"/>
      <c r="AF8" s="21"/>
      <c r="AG8" s="77"/>
      <c r="AH8" s="21"/>
      <c r="AI8" s="21"/>
      <c r="AJ8" s="21"/>
      <c r="AK8" s="21"/>
      <c r="AL8" s="21"/>
      <c r="AM8" s="21"/>
      <c r="AN8" s="77"/>
      <c r="AO8" s="21"/>
      <c r="AP8" s="21"/>
      <c r="AQ8" s="21"/>
      <c r="AR8" s="21"/>
      <c r="AS8" s="21"/>
      <c r="AT8" s="21"/>
      <c r="AU8" s="77"/>
      <c r="AV8" s="21"/>
      <c r="AW8" s="21"/>
      <c r="AX8" s="21"/>
      <c r="AY8" s="21"/>
      <c r="AZ8" s="21"/>
      <c r="BA8" s="21"/>
      <c r="BB8" s="77"/>
      <c r="BC8" s="21">
        <v>2</v>
      </c>
      <c r="BD8" s="21">
        <v>4</v>
      </c>
      <c r="BE8" s="21">
        <v>4</v>
      </c>
      <c r="BF8" s="144">
        <f t="shared" si="4"/>
        <v>10</v>
      </c>
      <c r="BG8" s="94">
        <f t="shared" si="5"/>
        <v>0</v>
      </c>
      <c r="BH8" s="26"/>
      <c r="BJ8" s="141">
        <v>96209886</v>
      </c>
      <c r="BK8" s="141" t="s">
        <v>2344</v>
      </c>
      <c r="BL8" s="141" t="s">
        <v>2386</v>
      </c>
      <c r="BM8" s="141" t="s">
        <v>2387</v>
      </c>
      <c r="BN8" s="141"/>
      <c r="BO8" s="141"/>
      <c r="BP8" s="141"/>
      <c r="BQ8" s="141"/>
      <c r="BR8" s="141" t="s">
        <v>2388</v>
      </c>
      <c r="BS8" s="141" t="s">
        <v>2389</v>
      </c>
      <c r="BT8" s="141"/>
      <c r="BU8" s="141"/>
      <c r="BV8" s="141" t="s">
        <v>2390</v>
      </c>
      <c r="BW8" s="141" t="s">
        <v>2391</v>
      </c>
      <c r="BX8" s="141" t="s">
        <v>2422</v>
      </c>
      <c r="BY8" s="141" t="s">
        <v>2423</v>
      </c>
      <c r="BZ8" s="141"/>
      <c r="CA8" s="141"/>
      <c r="CB8" s="141" t="s">
        <v>2424</v>
      </c>
      <c r="CC8" s="141" t="s">
        <v>2395</v>
      </c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  <c r="CO8" s="142"/>
      <c r="CP8" s="142"/>
      <c r="CQ8" s="142"/>
    </row>
    <row r="9" spans="1:95" s="7" customFormat="1" x14ac:dyDescent="0.25">
      <c r="A9" s="19" t="s">
        <v>2298</v>
      </c>
      <c r="B9" s="19" t="s">
        <v>2299</v>
      </c>
      <c r="C9" s="19">
        <v>96102857</v>
      </c>
      <c r="D9" s="20">
        <v>96102857</v>
      </c>
      <c r="E9" s="21" t="s">
        <v>2321</v>
      </c>
      <c r="F9" s="21" t="s">
        <v>2318</v>
      </c>
      <c r="G9" s="21" t="s">
        <v>260</v>
      </c>
      <c r="H9" s="21" t="s">
        <v>234</v>
      </c>
      <c r="I9" s="21" t="s">
        <v>254</v>
      </c>
      <c r="J9" s="21" t="s">
        <v>2070</v>
      </c>
      <c r="K9" s="21" t="s">
        <v>2324</v>
      </c>
      <c r="L9" s="21" t="s">
        <v>2068</v>
      </c>
      <c r="M9" s="19" t="s">
        <v>2345</v>
      </c>
      <c r="N9" s="19"/>
      <c r="O9" s="35">
        <v>100</v>
      </c>
      <c r="P9" s="35">
        <v>20</v>
      </c>
      <c r="Q9" s="32"/>
      <c r="R9" s="22">
        <v>0</v>
      </c>
      <c r="S9" s="22">
        <v>10</v>
      </c>
      <c r="T9" s="22">
        <v>20</v>
      </c>
      <c r="U9" s="22">
        <v>20</v>
      </c>
      <c r="V9" s="60">
        <f t="shared" si="3"/>
        <v>50</v>
      </c>
      <c r="W9" s="86"/>
      <c r="X9" s="86"/>
      <c r="Y9" s="86">
        <v>5</v>
      </c>
      <c r="Z9" s="86"/>
      <c r="AA9" s="86">
        <v>5</v>
      </c>
      <c r="AB9" s="21"/>
      <c r="AC9" s="21"/>
      <c r="AD9" s="21"/>
      <c r="AE9" s="77"/>
      <c r="AF9" s="21"/>
      <c r="AG9" s="77"/>
      <c r="AH9" s="21"/>
      <c r="AI9" s="21"/>
      <c r="AJ9" s="21"/>
      <c r="AK9" s="21"/>
      <c r="AL9" s="21"/>
      <c r="AM9" s="21"/>
      <c r="AN9" s="77"/>
      <c r="AO9" s="21"/>
      <c r="AP9" s="21"/>
      <c r="AQ9" s="21"/>
      <c r="AR9" s="21"/>
      <c r="AS9" s="21"/>
      <c r="AT9" s="21"/>
      <c r="AU9" s="77"/>
      <c r="AV9" s="21"/>
      <c r="AW9" s="21"/>
      <c r="AX9" s="21">
        <v>1</v>
      </c>
      <c r="AY9" s="21">
        <v>2</v>
      </c>
      <c r="AZ9" s="21">
        <v>2</v>
      </c>
      <c r="BA9" s="21"/>
      <c r="BB9" s="77"/>
      <c r="BC9" s="21"/>
      <c r="BD9" s="21"/>
      <c r="BE9" s="21"/>
      <c r="BF9" s="144">
        <f t="shared" si="4"/>
        <v>5</v>
      </c>
      <c r="BG9" s="94">
        <f t="shared" si="5"/>
        <v>0</v>
      </c>
      <c r="BH9" s="26"/>
      <c r="BJ9" s="141">
        <v>96102857</v>
      </c>
      <c r="BK9" s="141" t="s">
        <v>2345</v>
      </c>
      <c r="BL9" s="141" t="s">
        <v>2386</v>
      </c>
      <c r="BM9" s="141" t="s">
        <v>2387</v>
      </c>
      <c r="BN9" s="141"/>
      <c r="BO9" s="141"/>
      <c r="BP9" s="141"/>
      <c r="BQ9" s="141"/>
      <c r="BR9" s="141" t="s">
        <v>2388</v>
      </c>
      <c r="BS9" s="141" t="s">
        <v>2389</v>
      </c>
      <c r="BT9" s="141"/>
      <c r="BU9" s="141"/>
      <c r="BV9" s="141" t="s">
        <v>2390</v>
      </c>
      <c r="BW9" s="141" t="s">
        <v>2391</v>
      </c>
      <c r="BX9" s="141" t="s">
        <v>2422</v>
      </c>
      <c r="BY9" s="141" t="s">
        <v>2423</v>
      </c>
      <c r="BZ9" s="141"/>
      <c r="CA9" s="141"/>
      <c r="CB9" s="141" t="s">
        <v>2424</v>
      </c>
      <c r="CC9" s="141" t="s">
        <v>2395</v>
      </c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142"/>
      <c r="CP9" s="142"/>
      <c r="CQ9" s="142"/>
    </row>
    <row r="10" spans="1:95" s="7" customFormat="1" x14ac:dyDescent="0.25">
      <c r="A10" s="19" t="s">
        <v>2298</v>
      </c>
      <c r="B10" s="19" t="s">
        <v>2299</v>
      </c>
      <c r="C10" s="19">
        <v>96102177</v>
      </c>
      <c r="D10" s="20">
        <v>96102177</v>
      </c>
      <c r="E10" s="21" t="s">
        <v>2317</v>
      </c>
      <c r="F10" s="21" t="s">
        <v>2318</v>
      </c>
      <c r="G10" s="21" t="s">
        <v>332</v>
      </c>
      <c r="H10" s="21" t="s">
        <v>234</v>
      </c>
      <c r="I10" s="21" t="s">
        <v>254</v>
      </c>
      <c r="J10" s="21" t="s">
        <v>2070</v>
      </c>
      <c r="K10" s="21" t="s">
        <v>2324</v>
      </c>
      <c r="L10" s="21" t="s">
        <v>2068</v>
      </c>
      <c r="M10" s="19" t="s">
        <v>2350</v>
      </c>
      <c r="N10" s="19"/>
      <c r="O10" s="35">
        <v>5</v>
      </c>
      <c r="P10" s="35">
        <v>0</v>
      </c>
      <c r="Q10" s="32"/>
      <c r="R10" s="22">
        <v>5</v>
      </c>
      <c r="S10" s="22">
        <v>5</v>
      </c>
      <c r="T10" s="22">
        <v>5</v>
      </c>
      <c r="U10" s="22">
        <v>0</v>
      </c>
      <c r="V10" s="60">
        <f t="shared" si="3"/>
        <v>15</v>
      </c>
      <c r="W10" s="86"/>
      <c r="X10" s="86"/>
      <c r="Y10" s="86"/>
      <c r="Z10" s="86"/>
      <c r="AA10" s="86">
        <v>0</v>
      </c>
      <c r="AB10" s="21"/>
      <c r="AC10" s="21"/>
      <c r="AD10" s="21"/>
      <c r="AE10" s="77"/>
      <c r="AF10" s="21"/>
      <c r="AG10" s="77"/>
      <c r="AH10" s="21"/>
      <c r="AI10" s="21"/>
      <c r="AJ10" s="21"/>
      <c r="AK10" s="21"/>
      <c r="AL10" s="21"/>
      <c r="AM10" s="21"/>
      <c r="AN10" s="77"/>
      <c r="AO10" s="21"/>
      <c r="AP10" s="21"/>
      <c r="AQ10" s="21"/>
      <c r="AR10" s="21"/>
      <c r="AS10" s="21"/>
      <c r="AT10" s="21"/>
      <c r="AU10" s="77"/>
      <c r="AV10" s="21"/>
      <c r="AW10" s="21"/>
      <c r="AX10" s="21"/>
      <c r="AY10" s="21"/>
      <c r="AZ10" s="21"/>
      <c r="BA10" s="21"/>
      <c r="BB10" s="77"/>
      <c r="BC10" s="21"/>
      <c r="BD10" s="21"/>
      <c r="BE10" s="21"/>
      <c r="BF10" s="144">
        <f t="shared" si="4"/>
        <v>0</v>
      </c>
      <c r="BG10" s="94">
        <f t="shared" si="5"/>
        <v>0</v>
      </c>
      <c r="BH10" s="26"/>
      <c r="BJ10" s="141">
        <v>96102177</v>
      </c>
      <c r="BK10" s="141" t="s">
        <v>2350</v>
      </c>
      <c r="BL10" s="141" t="s">
        <v>2386</v>
      </c>
      <c r="BM10" s="141" t="s">
        <v>2387</v>
      </c>
      <c r="BN10" s="141"/>
      <c r="BO10" s="141"/>
      <c r="BP10" s="141"/>
      <c r="BQ10" s="141"/>
      <c r="BR10" s="141" t="s">
        <v>2388</v>
      </c>
      <c r="BS10" s="141" t="s">
        <v>2389</v>
      </c>
      <c r="BT10" s="141"/>
      <c r="BU10" s="141"/>
      <c r="BV10" s="141" t="s">
        <v>2390</v>
      </c>
      <c r="BW10" s="141" t="s">
        <v>2391</v>
      </c>
      <c r="BX10" s="141" t="s">
        <v>2392</v>
      </c>
      <c r="BY10" s="141" t="s">
        <v>2393</v>
      </c>
      <c r="BZ10" s="141"/>
      <c r="CA10" s="141"/>
      <c r="CB10" s="141" t="s">
        <v>2425</v>
      </c>
      <c r="CC10" s="141" t="s">
        <v>2395</v>
      </c>
      <c r="CD10" s="142"/>
      <c r="CE10" s="142"/>
      <c r="CF10" s="142"/>
      <c r="CG10" s="142"/>
      <c r="CH10" s="142"/>
      <c r="CI10" s="142"/>
      <c r="CJ10" s="142"/>
      <c r="CK10" s="142"/>
      <c r="CL10" s="142"/>
      <c r="CM10" s="142"/>
      <c r="CN10" s="142"/>
      <c r="CO10" s="142"/>
      <c r="CP10" s="142"/>
      <c r="CQ10" s="142"/>
    </row>
    <row r="11" spans="1:95" s="7" customFormat="1" x14ac:dyDescent="0.25">
      <c r="A11" s="19" t="s">
        <v>2298</v>
      </c>
      <c r="B11" s="19" t="s">
        <v>2299</v>
      </c>
      <c r="C11" s="19">
        <v>96200622</v>
      </c>
      <c r="D11" s="20">
        <v>96200622</v>
      </c>
      <c r="E11" s="21" t="s">
        <v>2321</v>
      </c>
      <c r="F11" s="21" t="s">
        <v>2320</v>
      </c>
      <c r="G11" s="21" t="s">
        <v>260</v>
      </c>
      <c r="H11" s="21" t="s">
        <v>234</v>
      </c>
      <c r="I11" s="21" t="s">
        <v>254</v>
      </c>
      <c r="J11" s="21" t="s">
        <v>2070</v>
      </c>
      <c r="K11" s="21" t="s">
        <v>2324</v>
      </c>
      <c r="L11" s="21" t="s">
        <v>2068</v>
      </c>
      <c r="M11" s="19" t="s">
        <v>2368</v>
      </c>
      <c r="N11" s="19"/>
      <c r="O11" s="35">
        <v>1</v>
      </c>
      <c r="P11" s="35">
        <v>0</v>
      </c>
      <c r="Q11" s="32"/>
      <c r="R11" s="22">
        <v>1</v>
      </c>
      <c r="S11" s="22">
        <v>1</v>
      </c>
      <c r="T11" s="22">
        <v>0</v>
      </c>
      <c r="U11" s="22">
        <v>0</v>
      </c>
      <c r="V11" s="60">
        <f t="shared" si="3"/>
        <v>2</v>
      </c>
      <c r="W11" s="86"/>
      <c r="X11" s="86"/>
      <c r="Y11" s="86"/>
      <c r="Z11" s="86"/>
      <c r="AA11" s="86">
        <v>0</v>
      </c>
      <c r="AB11" s="21"/>
      <c r="AC11" s="21"/>
      <c r="AD11" s="21"/>
      <c r="AE11" s="77"/>
      <c r="AF11" s="21"/>
      <c r="AG11" s="77"/>
      <c r="AH11" s="21"/>
      <c r="AI11" s="21"/>
      <c r="AJ11" s="21"/>
      <c r="AK11" s="21"/>
      <c r="AL11" s="21"/>
      <c r="AM11" s="21"/>
      <c r="AN11" s="77"/>
      <c r="AO11" s="21"/>
      <c r="AP11" s="21"/>
      <c r="AQ11" s="21"/>
      <c r="AR11" s="21"/>
      <c r="AS11" s="21"/>
      <c r="AT11" s="21"/>
      <c r="AU11" s="77"/>
      <c r="AV11" s="21"/>
      <c r="AW11" s="21"/>
      <c r="AX11" s="21"/>
      <c r="AY11" s="21"/>
      <c r="AZ11" s="21"/>
      <c r="BA11" s="21"/>
      <c r="BB11" s="77"/>
      <c r="BC11" s="21"/>
      <c r="BD11" s="21"/>
      <c r="BE11" s="21"/>
      <c r="BF11" s="144">
        <f t="shared" si="4"/>
        <v>0</v>
      </c>
      <c r="BG11" s="94">
        <f t="shared" si="5"/>
        <v>0</v>
      </c>
      <c r="BH11" s="26"/>
      <c r="BJ11" s="141">
        <v>96200622</v>
      </c>
      <c r="BK11" s="141" t="s">
        <v>2368</v>
      </c>
      <c r="BL11" s="141" t="s">
        <v>2386</v>
      </c>
      <c r="BM11" s="141" t="s">
        <v>2387</v>
      </c>
      <c r="BN11" s="141"/>
      <c r="BO11" s="141"/>
      <c r="BP11" s="141"/>
      <c r="BQ11" s="141"/>
      <c r="BR11" s="141" t="s">
        <v>2388</v>
      </c>
      <c r="BS11" s="141" t="s">
        <v>2389</v>
      </c>
      <c r="BT11" s="141"/>
      <c r="BU11" s="141"/>
      <c r="BV11" s="141" t="s">
        <v>2390</v>
      </c>
      <c r="BW11" s="141" t="s">
        <v>2391</v>
      </c>
      <c r="BX11" s="141" t="s">
        <v>2422</v>
      </c>
      <c r="BY11" s="141" t="s">
        <v>2423</v>
      </c>
      <c r="BZ11" s="141"/>
      <c r="CA11" s="141"/>
      <c r="CB11" s="141" t="s">
        <v>2394</v>
      </c>
      <c r="CC11" s="141" t="s">
        <v>2395</v>
      </c>
      <c r="CD11" s="142"/>
      <c r="CE11" s="142" t="s">
        <v>2394</v>
      </c>
      <c r="CF11" s="142" t="s">
        <v>2395</v>
      </c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2"/>
    </row>
    <row r="12" spans="1:95" s="7" customFormat="1" x14ac:dyDescent="0.25">
      <c r="A12" s="19" t="s">
        <v>2298</v>
      </c>
      <c r="B12" s="19" t="s">
        <v>2299</v>
      </c>
      <c r="C12" s="19">
        <v>96200762</v>
      </c>
      <c r="D12" s="20">
        <v>96200762</v>
      </c>
      <c r="E12" s="21" t="s">
        <v>2321</v>
      </c>
      <c r="F12" s="21" t="s">
        <v>2320</v>
      </c>
      <c r="G12" s="21" t="s">
        <v>260</v>
      </c>
      <c r="H12" s="21" t="s">
        <v>2322</v>
      </c>
      <c r="I12" s="21" t="s">
        <v>254</v>
      </c>
      <c r="J12" s="21" t="s">
        <v>2070</v>
      </c>
      <c r="K12" s="21" t="s">
        <v>2324</v>
      </c>
      <c r="L12" s="21" t="s">
        <v>2068</v>
      </c>
      <c r="M12" s="19" t="s">
        <v>2369</v>
      </c>
      <c r="N12" s="19"/>
      <c r="O12" s="35">
        <v>2</v>
      </c>
      <c r="P12" s="35">
        <v>0</v>
      </c>
      <c r="Q12" s="32"/>
      <c r="R12" s="22">
        <v>1</v>
      </c>
      <c r="S12" s="22">
        <v>0</v>
      </c>
      <c r="T12" s="22">
        <v>1</v>
      </c>
      <c r="U12" s="22">
        <v>0</v>
      </c>
      <c r="V12" s="60">
        <f t="shared" si="3"/>
        <v>2</v>
      </c>
      <c r="W12" s="86"/>
      <c r="X12" s="86"/>
      <c r="Y12" s="86"/>
      <c r="Z12" s="86"/>
      <c r="AA12" s="86">
        <v>0</v>
      </c>
      <c r="AB12" s="21"/>
      <c r="AC12" s="21"/>
      <c r="AD12" s="21"/>
      <c r="AE12" s="77"/>
      <c r="AF12" s="21"/>
      <c r="AG12" s="77"/>
      <c r="AH12" s="21"/>
      <c r="AI12" s="21"/>
      <c r="AJ12" s="21"/>
      <c r="AK12" s="21"/>
      <c r="AL12" s="21"/>
      <c r="AM12" s="21"/>
      <c r="AN12" s="77"/>
      <c r="AO12" s="21"/>
      <c r="AP12" s="21"/>
      <c r="AQ12" s="21"/>
      <c r="AR12" s="21"/>
      <c r="AS12" s="21"/>
      <c r="AT12" s="21"/>
      <c r="AU12" s="77"/>
      <c r="AV12" s="21"/>
      <c r="AW12" s="21"/>
      <c r="AX12" s="21"/>
      <c r="AY12" s="21"/>
      <c r="AZ12" s="21"/>
      <c r="BA12" s="21"/>
      <c r="BB12" s="77"/>
      <c r="BC12" s="21"/>
      <c r="BD12" s="21"/>
      <c r="BE12" s="21"/>
      <c r="BF12" s="144">
        <f t="shared" si="4"/>
        <v>0</v>
      </c>
      <c r="BG12" s="94">
        <f t="shared" si="5"/>
        <v>0</v>
      </c>
      <c r="BH12" s="26"/>
      <c r="BJ12" s="141">
        <v>96200762</v>
      </c>
      <c r="BK12" s="141" t="s">
        <v>2369</v>
      </c>
      <c r="BL12" s="141" t="s">
        <v>2386</v>
      </c>
      <c r="BM12" s="141" t="s">
        <v>2387</v>
      </c>
      <c r="BN12" s="141"/>
      <c r="BO12" s="141"/>
      <c r="BP12" s="141"/>
      <c r="BQ12" s="141"/>
      <c r="BR12" s="141" t="s">
        <v>2388</v>
      </c>
      <c r="BS12" s="141" t="s">
        <v>2389</v>
      </c>
      <c r="BT12" s="141"/>
      <c r="BU12" s="141"/>
      <c r="BV12" s="141" t="s">
        <v>2390</v>
      </c>
      <c r="BW12" s="141" t="s">
        <v>2391</v>
      </c>
      <c r="BX12" s="141" t="s">
        <v>2422</v>
      </c>
      <c r="BY12" s="141" t="s">
        <v>2423</v>
      </c>
      <c r="BZ12" s="141"/>
      <c r="CA12" s="141"/>
      <c r="CB12" s="141" t="s">
        <v>2394</v>
      </c>
      <c r="CC12" s="141" t="s">
        <v>2395</v>
      </c>
      <c r="CD12" s="142"/>
      <c r="CE12" s="142" t="s">
        <v>2394</v>
      </c>
      <c r="CF12" s="142" t="s">
        <v>2395</v>
      </c>
      <c r="CG12" s="142"/>
      <c r="CH12" s="142"/>
      <c r="CI12" s="142"/>
      <c r="CJ12" s="142"/>
      <c r="CK12" s="142"/>
      <c r="CL12" s="142"/>
      <c r="CM12" s="142"/>
      <c r="CN12" s="142"/>
      <c r="CO12" s="142"/>
      <c r="CP12" s="142"/>
      <c r="CQ12" s="142"/>
    </row>
    <row r="13" spans="1:95" s="7" customFormat="1" x14ac:dyDescent="0.25">
      <c r="A13" s="19" t="s">
        <v>2298</v>
      </c>
      <c r="B13" s="19" t="s">
        <v>2299</v>
      </c>
      <c r="C13" s="19">
        <v>96259887</v>
      </c>
      <c r="D13" s="20" t="s">
        <v>2305</v>
      </c>
      <c r="E13" s="21" t="s">
        <v>2321</v>
      </c>
      <c r="F13" s="21" t="s">
        <v>2320</v>
      </c>
      <c r="G13" s="21" t="s">
        <v>260</v>
      </c>
      <c r="H13" s="21" t="s">
        <v>234</v>
      </c>
      <c r="I13" s="21" t="s">
        <v>254</v>
      </c>
      <c r="J13" s="21" t="s">
        <v>255</v>
      </c>
      <c r="K13" s="21" t="s">
        <v>2324</v>
      </c>
      <c r="L13" s="21" t="s">
        <v>239</v>
      </c>
      <c r="M13" s="19" t="s">
        <v>2375</v>
      </c>
      <c r="N13" s="19"/>
      <c r="O13" s="35">
        <v>2</v>
      </c>
      <c r="P13" s="35">
        <v>1</v>
      </c>
      <c r="Q13" s="32"/>
      <c r="R13" s="22">
        <v>2</v>
      </c>
      <c r="S13" s="22">
        <v>1</v>
      </c>
      <c r="T13" s="22">
        <v>1</v>
      </c>
      <c r="U13" s="22">
        <v>1</v>
      </c>
      <c r="V13" s="60">
        <f t="shared" si="3"/>
        <v>5</v>
      </c>
      <c r="W13" s="86"/>
      <c r="X13" s="86"/>
      <c r="Y13" s="86">
        <v>5</v>
      </c>
      <c r="Z13" s="86"/>
      <c r="AA13" s="86">
        <v>5</v>
      </c>
      <c r="AB13" s="21"/>
      <c r="AC13" s="21"/>
      <c r="AD13" s="21"/>
      <c r="AE13" s="77"/>
      <c r="AF13" s="21"/>
      <c r="AG13" s="77"/>
      <c r="AH13" s="21"/>
      <c r="AI13" s="21"/>
      <c r="AJ13" s="21"/>
      <c r="AK13" s="21"/>
      <c r="AL13" s="21"/>
      <c r="AM13" s="21"/>
      <c r="AN13" s="77"/>
      <c r="AO13" s="21"/>
      <c r="AP13" s="21"/>
      <c r="AQ13" s="145">
        <v>2</v>
      </c>
      <c r="AR13" s="145">
        <v>3</v>
      </c>
      <c r="AS13" s="21"/>
      <c r="AT13" s="21"/>
      <c r="AU13" s="77"/>
      <c r="AV13" s="21"/>
      <c r="AW13" s="21"/>
      <c r="AX13" s="21"/>
      <c r="AY13" s="21"/>
      <c r="AZ13" s="21"/>
      <c r="BA13" s="21"/>
      <c r="BB13" s="77"/>
      <c r="BC13" s="21"/>
      <c r="BD13" s="21"/>
      <c r="BE13" s="21"/>
      <c r="BF13" s="144">
        <f t="shared" si="4"/>
        <v>5</v>
      </c>
      <c r="BG13" s="94">
        <f t="shared" si="5"/>
        <v>0</v>
      </c>
      <c r="BH13" s="26"/>
      <c r="BJ13" s="141" t="s">
        <v>2305</v>
      </c>
      <c r="BK13" s="141" t="s">
        <v>2421</v>
      </c>
      <c r="BL13" s="141" t="s">
        <v>2386</v>
      </c>
      <c r="BM13" s="141" t="s">
        <v>2387</v>
      </c>
      <c r="BN13" s="141"/>
      <c r="BO13" s="141"/>
      <c r="BP13" s="141"/>
      <c r="BQ13" s="141"/>
      <c r="BR13" s="141" t="s">
        <v>2388</v>
      </c>
      <c r="BS13" s="141" t="s">
        <v>2389</v>
      </c>
      <c r="BT13" s="141"/>
      <c r="BU13" s="141"/>
      <c r="BV13" s="141" t="s">
        <v>2390</v>
      </c>
      <c r="BW13" s="141" t="s">
        <v>2391</v>
      </c>
      <c r="BX13" s="141" t="s">
        <v>2422</v>
      </c>
      <c r="BY13" s="141" t="s">
        <v>2423</v>
      </c>
      <c r="BZ13" s="141"/>
      <c r="CA13" s="141"/>
      <c r="CB13" s="141" t="s">
        <v>2394</v>
      </c>
      <c r="CC13" s="141" t="s">
        <v>2397</v>
      </c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</row>
    <row r="14" spans="1:95" s="7" customFormat="1" x14ac:dyDescent="0.25">
      <c r="A14" s="19" t="s">
        <v>2298</v>
      </c>
      <c r="B14" s="19" t="s">
        <v>2299</v>
      </c>
      <c r="C14" s="19">
        <v>96109877</v>
      </c>
      <c r="D14" s="20" t="s">
        <v>2314</v>
      </c>
      <c r="E14" s="21" t="s">
        <v>2321</v>
      </c>
      <c r="F14" s="21" t="s">
        <v>2318</v>
      </c>
      <c r="G14" s="21" t="s">
        <v>332</v>
      </c>
      <c r="H14" s="21" t="s">
        <v>234</v>
      </c>
      <c r="I14" s="21" t="s">
        <v>254</v>
      </c>
      <c r="J14" s="21" t="s">
        <v>255</v>
      </c>
      <c r="K14" s="21" t="s">
        <v>2324</v>
      </c>
      <c r="L14" s="21" t="s">
        <v>239</v>
      </c>
      <c r="M14" s="51" t="s">
        <v>2376</v>
      </c>
      <c r="N14" s="19"/>
      <c r="O14" s="35">
        <v>2</v>
      </c>
      <c r="P14" s="35">
        <v>0</v>
      </c>
      <c r="Q14" s="32"/>
      <c r="R14" s="22">
        <v>1</v>
      </c>
      <c r="S14" s="22">
        <v>1</v>
      </c>
      <c r="T14" s="22">
        <v>1</v>
      </c>
      <c r="U14" s="22">
        <v>0</v>
      </c>
      <c r="V14" s="60">
        <f t="shared" si="3"/>
        <v>3</v>
      </c>
      <c r="W14" s="86"/>
      <c r="X14" s="86"/>
      <c r="Y14" s="86">
        <v>3</v>
      </c>
      <c r="Z14" s="86"/>
      <c r="AA14" s="86">
        <v>3</v>
      </c>
      <c r="AB14" s="21"/>
      <c r="AC14" s="21"/>
      <c r="AD14" s="21"/>
      <c r="AE14" s="77"/>
      <c r="AF14" s="21"/>
      <c r="AG14" s="77"/>
      <c r="AH14" s="21"/>
      <c r="AI14" s="21"/>
      <c r="AJ14" s="21"/>
      <c r="AK14" s="21"/>
      <c r="AL14" s="21"/>
      <c r="AM14" s="21"/>
      <c r="AN14" s="77"/>
      <c r="AO14" s="21"/>
      <c r="AP14" s="21"/>
      <c r="AQ14" s="145">
        <v>1</v>
      </c>
      <c r="AR14" s="145">
        <v>2</v>
      </c>
      <c r="AS14" s="21"/>
      <c r="AT14" s="21"/>
      <c r="AU14" s="77"/>
      <c r="AV14" s="21"/>
      <c r="AW14" s="21"/>
      <c r="AX14" s="21"/>
      <c r="AY14" s="21"/>
      <c r="AZ14" s="21"/>
      <c r="BA14" s="21"/>
      <c r="BB14" s="77"/>
      <c r="BC14" s="21"/>
      <c r="BD14" s="21"/>
      <c r="BE14" s="21"/>
      <c r="BF14" s="144">
        <f t="shared" si="4"/>
        <v>3</v>
      </c>
      <c r="BG14" s="94">
        <f t="shared" si="5"/>
        <v>0</v>
      </c>
      <c r="BH14" s="26"/>
      <c r="BJ14" s="141" t="s">
        <v>2314</v>
      </c>
      <c r="BK14" s="141" t="s">
        <v>2454</v>
      </c>
      <c r="BL14" s="141" t="s">
        <v>2386</v>
      </c>
      <c r="BM14" s="141" t="s">
        <v>2387</v>
      </c>
      <c r="BN14" s="141"/>
      <c r="BO14" s="141"/>
      <c r="BP14" s="141"/>
      <c r="BQ14" s="141"/>
      <c r="BR14" s="141" t="s">
        <v>2388</v>
      </c>
      <c r="BS14" s="141" t="s">
        <v>2389</v>
      </c>
      <c r="BT14" s="141"/>
      <c r="BU14" s="141"/>
      <c r="BV14" s="141" t="s">
        <v>2390</v>
      </c>
      <c r="BW14" s="141" t="s">
        <v>2391</v>
      </c>
      <c r="BX14" s="141" t="s">
        <v>2392</v>
      </c>
      <c r="BY14" s="141" t="s">
        <v>2393</v>
      </c>
      <c r="BZ14" s="141"/>
      <c r="CA14" s="141"/>
      <c r="CB14" s="141" t="s">
        <v>2455</v>
      </c>
      <c r="CC14" s="141" t="s">
        <v>2397</v>
      </c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</row>
    <row r="15" spans="1:95" s="7" customFormat="1" x14ac:dyDescent="0.25">
      <c r="A15" s="19" t="s">
        <v>2298</v>
      </c>
      <c r="B15" s="19" t="s">
        <v>2299</v>
      </c>
      <c r="C15" s="19">
        <v>96104192</v>
      </c>
      <c r="D15" s="20">
        <v>96104192</v>
      </c>
      <c r="E15" s="21" t="s">
        <v>2321</v>
      </c>
      <c r="F15" s="21" t="s">
        <v>2318</v>
      </c>
      <c r="G15" s="21" t="s">
        <v>260</v>
      </c>
      <c r="H15" s="21" t="s">
        <v>234</v>
      </c>
      <c r="I15" s="21" t="s">
        <v>254</v>
      </c>
      <c r="J15" s="21" t="s">
        <v>2070</v>
      </c>
      <c r="K15" s="21" t="s">
        <v>2324</v>
      </c>
      <c r="L15" s="21" t="s">
        <v>2068</v>
      </c>
      <c r="M15" s="19" t="s">
        <v>2381</v>
      </c>
      <c r="N15" s="19"/>
      <c r="O15" s="35">
        <v>0</v>
      </c>
      <c r="P15" s="35">
        <v>0</v>
      </c>
      <c r="Q15" s="32"/>
      <c r="R15" s="22">
        <v>50</v>
      </c>
      <c r="S15" s="22">
        <v>0</v>
      </c>
      <c r="T15" s="22">
        <v>0</v>
      </c>
      <c r="U15" s="22">
        <v>0</v>
      </c>
      <c r="V15" s="60">
        <f t="shared" si="3"/>
        <v>50</v>
      </c>
      <c r="W15" s="86"/>
      <c r="X15" s="86"/>
      <c r="Y15" s="86"/>
      <c r="Z15" s="86">
        <v>40</v>
      </c>
      <c r="AA15" s="86">
        <v>40</v>
      </c>
      <c r="AB15" s="21"/>
      <c r="AC15" s="21"/>
      <c r="AD15" s="21"/>
      <c r="AE15" s="77"/>
      <c r="AF15" s="21"/>
      <c r="AG15" s="77"/>
      <c r="AH15" s="21"/>
      <c r="AI15" s="21"/>
      <c r="AJ15" s="21"/>
      <c r="AK15" s="21"/>
      <c r="AL15" s="21"/>
      <c r="AM15" s="21"/>
      <c r="AN15" s="77"/>
      <c r="AO15" s="21"/>
      <c r="AP15" s="21"/>
      <c r="AQ15" s="21"/>
      <c r="AR15" s="21"/>
      <c r="AS15" s="21"/>
      <c r="AT15" s="21"/>
      <c r="AU15" s="77"/>
      <c r="AV15" s="21"/>
      <c r="AW15" s="21"/>
      <c r="AX15" s="21">
        <v>10</v>
      </c>
      <c r="AY15" s="21">
        <v>10</v>
      </c>
      <c r="AZ15" s="21">
        <v>10</v>
      </c>
      <c r="BA15" s="21">
        <v>10</v>
      </c>
      <c r="BB15" s="77"/>
      <c r="BC15" s="21"/>
      <c r="BD15" s="21"/>
      <c r="BE15" s="21"/>
      <c r="BF15" s="144">
        <f t="shared" si="4"/>
        <v>40</v>
      </c>
      <c r="BG15" s="94">
        <f t="shared" si="5"/>
        <v>0</v>
      </c>
      <c r="BH15" s="26"/>
      <c r="BJ15" s="141">
        <v>96104192</v>
      </c>
      <c r="BK15" s="141" t="s">
        <v>2381</v>
      </c>
      <c r="BL15" s="141" t="s">
        <v>2386</v>
      </c>
      <c r="BM15" s="141" t="s">
        <v>2387</v>
      </c>
      <c r="BN15" s="141"/>
      <c r="BO15" s="141"/>
      <c r="BP15" s="141"/>
      <c r="BQ15" s="141"/>
      <c r="BR15" s="141" t="s">
        <v>2388</v>
      </c>
      <c r="BS15" s="141" t="s">
        <v>2389</v>
      </c>
      <c r="BT15" s="141"/>
      <c r="BU15" s="141"/>
      <c r="BV15" s="141" t="s">
        <v>2390</v>
      </c>
      <c r="BW15" s="141" t="s">
        <v>2391</v>
      </c>
      <c r="BX15" s="141" t="s">
        <v>2422</v>
      </c>
      <c r="BY15" s="141" t="s">
        <v>2423</v>
      </c>
      <c r="BZ15" s="141"/>
      <c r="CA15" s="141"/>
      <c r="CB15" s="141" t="s">
        <v>2455</v>
      </c>
      <c r="CC15" s="141" t="s">
        <v>2395</v>
      </c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  <c r="CP15" s="142"/>
      <c r="CQ15" s="142"/>
    </row>
    <row r="16" spans="1:95" s="7" customFormat="1" x14ac:dyDescent="0.25">
      <c r="A16" s="19" t="s">
        <v>2298</v>
      </c>
      <c r="B16" s="19" t="s">
        <v>2299</v>
      </c>
      <c r="C16" s="19">
        <v>96101846</v>
      </c>
      <c r="D16" s="20">
        <v>96101846</v>
      </c>
      <c r="E16" s="21" t="s">
        <v>2323</v>
      </c>
      <c r="F16" s="21" t="s">
        <v>2318</v>
      </c>
      <c r="G16" s="21" t="s">
        <v>332</v>
      </c>
      <c r="H16" s="21" t="s">
        <v>234</v>
      </c>
      <c r="I16" s="21" t="s">
        <v>254</v>
      </c>
      <c r="J16" s="21" t="s">
        <v>2070</v>
      </c>
      <c r="K16" s="21" t="s">
        <v>2326</v>
      </c>
      <c r="L16" s="21" t="s">
        <v>2068</v>
      </c>
      <c r="M16" s="19" t="s">
        <v>2351</v>
      </c>
      <c r="N16" s="19"/>
      <c r="O16" s="35">
        <v>60</v>
      </c>
      <c r="P16" s="35">
        <v>20</v>
      </c>
      <c r="Q16" s="32"/>
      <c r="R16" s="22">
        <v>10</v>
      </c>
      <c r="S16" s="22">
        <v>15</v>
      </c>
      <c r="T16" s="22">
        <v>15</v>
      </c>
      <c r="U16" s="22">
        <v>10</v>
      </c>
      <c r="V16" s="60">
        <f t="shared" si="3"/>
        <v>50</v>
      </c>
      <c r="W16" s="86"/>
      <c r="X16" s="86"/>
      <c r="Y16" s="86">
        <v>50</v>
      </c>
      <c r="Z16" s="86"/>
      <c r="AA16" s="86">
        <v>50</v>
      </c>
      <c r="AB16" s="21"/>
      <c r="AC16" s="21"/>
      <c r="AD16" s="21"/>
      <c r="AE16" s="77"/>
      <c r="AF16" s="21"/>
      <c r="AG16" s="77"/>
      <c r="AH16" s="21"/>
      <c r="AI16" s="21"/>
      <c r="AJ16" s="21"/>
      <c r="AK16" s="21"/>
      <c r="AL16" s="21"/>
      <c r="AM16" s="21"/>
      <c r="AN16" s="77"/>
      <c r="AO16" s="21"/>
      <c r="AP16" s="21"/>
      <c r="AQ16" s="21"/>
      <c r="AR16" s="21"/>
      <c r="AS16" s="21"/>
      <c r="AT16" s="21"/>
      <c r="AU16" s="77"/>
      <c r="AV16" s="21">
        <v>6</v>
      </c>
      <c r="AW16" s="21">
        <v>4</v>
      </c>
      <c r="AX16" s="21">
        <v>4</v>
      </c>
      <c r="AY16" s="21">
        <v>4</v>
      </c>
      <c r="AZ16" s="21">
        <v>4</v>
      </c>
      <c r="BA16" s="21">
        <v>4</v>
      </c>
      <c r="BB16" s="77"/>
      <c r="BC16" s="21">
        <v>12</v>
      </c>
      <c r="BD16" s="21">
        <v>6</v>
      </c>
      <c r="BE16" s="21">
        <v>6</v>
      </c>
      <c r="BF16" s="144">
        <f t="shared" si="4"/>
        <v>50</v>
      </c>
      <c r="BG16" s="94">
        <f t="shared" si="5"/>
        <v>0</v>
      </c>
      <c r="BH16" s="26"/>
      <c r="BJ16" s="141">
        <v>96101846</v>
      </c>
      <c r="BK16" s="141" t="s">
        <v>2351</v>
      </c>
      <c r="BL16" s="141" t="s">
        <v>2386</v>
      </c>
      <c r="BM16" s="141" t="s">
        <v>2387</v>
      </c>
      <c r="BN16" s="141" t="s">
        <v>2426</v>
      </c>
      <c r="BO16" s="141" t="s">
        <v>2427</v>
      </c>
      <c r="BP16" s="141" t="s">
        <v>2401</v>
      </c>
      <c r="BQ16" s="141" t="s">
        <v>2402</v>
      </c>
      <c r="BR16" s="141" t="s">
        <v>2428</v>
      </c>
      <c r="BS16" s="141" t="s">
        <v>2429</v>
      </c>
      <c r="BT16" s="141" t="s">
        <v>2430</v>
      </c>
      <c r="BU16" s="141" t="s">
        <v>2406</v>
      </c>
      <c r="BV16" s="141" t="s">
        <v>2390</v>
      </c>
      <c r="BW16" s="141" t="s">
        <v>2391</v>
      </c>
      <c r="BX16" s="141" t="s">
        <v>2392</v>
      </c>
      <c r="BY16" s="141" t="s">
        <v>2393</v>
      </c>
      <c r="BZ16" s="141" t="s">
        <v>2431</v>
      </c>
      <c r="CA16" s="141" t="s">
        <v>2432</v>
      </c>
      <c r="CB16" s="141" t="s">
        <v>2433</v>
      </c>
      <c r="CC16" s="141" t="s">
        <v>2434</v>
      </c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  <c r="CP16" s="142"/>
      <c r="CQ16" s="142"/>
    </row>
    <row r="17" spans="1:95" s="7" customFormat="1" x14ac:dyDescent="0.25">
      <c r="A17" s="19" t="s">
        <v>2298</v>
      </c>
      <c r="B17" s="19" t="s">
        <v>2299</v>
      </c>
      <c r="C17" s="19">
        <v>96101847</v>
      </c>
      <c r="D17" s="20" t="s">
        <v>2306</v>
      </c>
      <c r="E17" s="21" t="s">
        <v>2323</v>
      </c>
      <c r="F17" s="21" t="s">
        <v>2318</v>
      </c>
      <c r="G17" s="21" t="s">
        <v>332</v>
      </c>
      <c r="H17" s="21" t="s">
        <v>234</v>
      </c>
      <c r="I17" s="21" t="s">
        <v>254</v>
      </c>
      <c r="J17" s="21" t="s">
        <v>2083</v>
      </c>
      <c r="K17" s="21" t="s">
        <v>2326</v>
      </c>
      <c r="L17" s="21" t="s">
        <v>2068</v>
      </c>
      <c r="M17" s="19" t="s">
        <v>2352</v>
      </c>
      <c r="N17" s="19"/>
      <c r="O17" s="35">
        <v>0</v>
      </c>
      <c r="P17" s="35">
        <v>0</v>
      </c>
      <c r="Q17" s="32"/>
      <c r="R17" s="22">
        <v>0</v>
      </c>
      <c r="S17" s="22">
        <v>5</v>
      </c>
      <c r="T17" s="22">
        <v>0</v>
      </c>
      <c r="U17" s="22">
        <v>0</v>
      </c>
      <c r="V17" s="60">
        <f t="shared" si="3"/>
        <v>5</v>
      </c>
      <c r="W17" s="86"/>
      <c r="X17" s="86"/>
      <c r="Y17" s="86">
        <v>5</v>
      </c>
      <c r="Z17" s="86"/>
      <c r="AA17" s="86">
        <v>5</v>
      </c>
      <c r="AB17" s="21"/>
      <c r="AC17" s="21"/>
      <c r="AD17" s="21"/>
      <c r="AE17" s="77"/>
      <c r="AF17" s="21"/>
      <c r="AG17" s="77"/>
      <c r="AH17" s="21"/>
      <c r="AI17" s="21"/>
      <c r="AJ17" s="21"/>
      <c r="AK17" s="21"/>
      <c r="AL17" s="21"/>
      <c r="AM17" s="21"/>
      <c r="AN17" s="77"/>
      <c r="AO17" s="21"/>
      <c r="AP17" s="21"/>
      <c r="AQ17" s="21"/>
      <c r="AR17" s="21"/>
      <c r="AS17" s="21">
        <v>3</v>
      </c>
      <c r="AT17" s="21">
        <v>2</v>
      </c>
      <c r="AU17" s="77"/>
      <c r="AV17" s="21"/>
      <c r="AW17" s="21"/>
      <c r="AX17" s="21"/>
      <c r="AY17" s="21"/>
      <c r="AZ17" s="21"/>
      <c r="BA17" s="21"/>
      <c r="BB17" s="77"/>
      <c r="BC17" s="21"/>
      <c r="BD17" s="21"/>
      <c r="BE17" s="21"/>
      <c r="BF17" s="144">
        <f t="shared" si="4"/>
        <v>5</v>
      </c>
      <c r="BG17" s="94">
        <f t="shared" si="5"/>
        <v>0</v>
      </c>
      <c r="BH17" s="26"/>
      <c r="BJ17" s="141" t="s">
        <v>2306</v>
      </c>
      <c r="BK17" s="141" t="s">
        <v>2435</v>
      </c>
      <c r="BL17" s="141" t="s">
        <v>2386</v>
      </c>
      <c r="BM17" s="141" t="s">
        <v>2387</v>
      </c>
      <c r="BN17" s="141" t="s">
        <v>2426</v>
      </c>
      <c r="BO17" s="141" t="s">
        <v>2427</v>
      </c>
      <c r="BP17" s="141" t="s">
        <v>2401</v>
      </c>
      <c r="BQ17" s="141" t="s">
        <v>2402</v>
      </c>
      <c r="BR17" s="141" t="s">
        <v>2428</v>
      </c>
      <c r="BS17" s="141" t="s">
        <v>2429</v>
      </c>
      <c r="BT17" s="141" t="s">
        <v>2430</v>
      </c>
      <c r="BU17" s="141" t="s">
        <v>2406</v>
      </c>
      <c r="BV17" s="141" t="s">
        <v>2390</v>
      </c>
      <c r="BW17" s="141" t="s">
        <v>2391</v>
      </c>
      <c r="BX17" s="141" t="s">
        <v>2392</v>
      </c>
      <c r="BY17" s="141" t="s">
        <v>2393</v>
      </c>
      <c r="BZ17" s="141" t="s">
        <v>2431</v>
      </c>
      <c r="CA17" s="141" t="s">
        <v>2432</v>
      </c>
      <c r="CB17" s="141" t="s">
        <v>2433</v>
      </c>
      <c r="CC17" s="141" t="s">
        <v>2436</v>
      </c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</row>
    <row r="18" spans="1:95" s="7" customFormat="1" x14ac:dyDescent="0.25">
      <c r="A18" s="19" t="s">
        <v>2298</v>
      </c>
      <c r="B18" s="19" t="s">
        <v>2299</v>
      </c>
      <c r="C18" s="19">
        <v>96101849</v>
      </c>
      <c r="D18" s="20">
        <v>96101849</v>
      </c>
      <c r="E18" s="21" t="s">
        <v>2323</v>
      </c>
      <c r="F18" s="21" t="s">
        <v>2318</v>
      </c>
      <c r="G18" s="21" t="s">
        <v>332</v>
      </c>
      <c r="H18" s="21" t="s">
        <v>234</v>
      </c>
      <c r="I18" s="21" t="s">
        <v>254</v>
      </c>
      <c r="J18" s="21" t="s">
        <v>2070</v>
      </c>
      <c r="K18" s="21" t="s">
        <v>2326</v>
      </c>
      <c r="L18" s="21" t="s">
        <v>2068</v>
      </c>
      <c r="M18" s="19" t="s">
        <v>2353</v>
      </c>
      <c r="N18" s="19"/>
      <c r="O18" s="35">
        <v>30</v>
      </c>
      <c r="P18" s="35">
        <v>10</v>
      </c>
      <c r="Q18" s="32"/>
      <c r="R18" s="22">
        <v>5</v>
      </c>
      <c r="S18" s="22">
        <v>5</v>
      </c>
      <c r="T18" s="22">
        <v>10</v>
      </c>
      <c r="U18" s="22">
        <v>10</v>
      </c>
      <c r="V18" s="60">
        <f t="shared" si="3"/>
        <v>30</v>
      </c>
      <c r="W18" s="86"/>
      <c r="X18" s="86"/>
      <c r="Y18" s="86"/>
      <c r="Z18" s="86">
        <v>10</v>
      </c>
      <c r="AA18" s="86">
        <v>10</v>
      </c>
      <c r="AB18" s="21"/>
      <c r="AC18" s="21"/>
      <c r="AD18" s="21"/>
      <c r="AE18" s="77"/>
      <c r="AF18" s="21"/>
      <c r="AG18" s="77"/>
      <c r="AH18" s="21"/>
      <c r="AI18" s="21"/>
      <c r="AJ18" s="21"/>
      <c r="AK18" s="21"/>
      <c r="AL18" s="21"/>
      <c r="AM18" s="21"/>
      <c r="AN18" s="77"/>
      <c r="AO18" s="21"/>
      <c r="AP18" s="21"/>
      <c r="AQ18" s="21"/>
      <c r="AR18" s="21"/>
      <c r="AS18" s="21"/>
      <c r="AT18" s="21"/>
      <c r="AU18" s="77"/>
      <c r="AV18" s="21"/>
      <c r="AW18" s="21"/>
      <c r="AX18" s="21"/>
      <c r="AY18" s="21"/>
      <c r="AZ18" s="21"/>
      <c r="BA18" s="21"/>
      <c r="BB18" s="77"/>
      <c r="BC18" s="21">
        <v>5</v>
      </c>
      <c r="BD18" s="21">
        <v>5</v>
      </c>
      <c r="BE18" s="21"/>
      <c r="BF18" s="144">
        <f t="shared" si="4"/>
        <v>10</v>
      </c>
      <c r="BG18" s="94">
        <f t="shared" si="5"/>
        <v>0</v>
      </c>
      <c r="BH18" s="26"/>
      <c r="BJ18" s="141">
        <v>96101849</v>
      </c>
      <c r="BK18" s="141" t="s">
        <v>2353</v>
      </c>
      <c r="BL18" s="141" t="s">
        <v>2386</v>
      </c>
      <c r="BM18" s="141" t="s">
        <v>2387</v>
      </c>
      <c r="BN18" s="141" t="s">
        <v>2437</v>
      </c>
      <c r="BO18" s="141" t="s">
        <v>2438</v>
      </c>
      <c r="BP18" s="141" t="s">
        <v>2401</v>
      </c>
      <c r="BQ18" s="141" t="s">
        <v>2402</v>
      </c>
      <c r="BR18" s="141" t="s">
        <v>2428</v>
      </c>
      <c r="BS18" s="141" t="s">
        <v>2429</v>
      </c>
      <c r="BT18" s="141" t="s">
        <v>2439</v>
      </c>
      <c r="BU18" s="141" t="s">
        <v>2406</v>
      </c>
      <c r="BV18" s="141" t="s">
        <v>2390</v>
      </c>
      <c r="BW18" s="141" t="s">
        <v>2391</v>
      </c>
      <c r="BX18" s="141" t="s">
        <v>2392</v>
      </c>
      <c r="BY18" s="141" t="s">
        <v>2393</v>
      </c>
      <c r="BZ18" s="141" t="s">
        <v>2440</v>
      </c>
      <c r="CA18" s="141" t="s">
        <v>2441</v>
      </c>
      <c r="CB18" s="141" t="s">
        <v>2442</v>
      </c>
      <c r="CC18" s="141" t="s">
        <v>2434</v>
      </c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  <c r="CP18" s="142"/>
      <c r="CQ18" s="142"/>
    </row>
    <row r="19" spans="1:95" s="7" customFormat="1" x14ac:dyDescent="0.25">
      <c r="A19" s="19" t="s">
        <v>2298</v>
      </c>
      <c r="B19" s="19" t="s">
        <v>2299</v>
      </c>
      <c r="C19" s="19">
        <v>96101855</v>
      </c>
      <c r="D19" s="20">
        <v>96101855</v>
      </c>
      <c r="E19" s="21" t="s">
        <v>2323</v>
      </c>
      <c r="F19" s="21" t="s">
        <v>2318</v>
      </c>
      <c r="G19" s="21" t="s">
        <v>332</v>
      </c>
      <c r="H19" s="21" t="s">
        <v>234</v>
      </c>
      <c r="I19" s="21" t="s">
        <v>254</v>
      </c>
      <c r="J19" s="21" t="s">
        <v>2070</v>
      </c>
      <c r="K19" s="21" t="s">
        <v>2327</v>
      </c>
      <c r="L19" s="21" t="s">
        <v>2068</v>
      </c>
      <c r="M19" s="19" t="s">
        <v>2354</v>
      </c>
      <c r="N19" s="19"/>
      <c r="O19" s="35">
        <v>40</v>
      </c>
      <c r="P19" s="35">
        <v>5</v>
      </c>
      <c r="Q19" s="32"/>
      <c r="R19" s="22">
        <v>5</v>
      </c>
      <c r="S19" s="22">
        <v>10</v>
      </c>
      <c r="T19" s="22">
        <v>10</v>
      </c>
      <c r="U19" s="22">
        <v>10</v>
      </c>
      <c r="V19" s="60">
        <f t="shared" si="3"/>
        <v>35</v>
      </c>
      <c r="W19" s="86"/>
      <c r="X19" s="86"/>
      <c r="Y19" s="86"/>
      <c r="Z19" s="86">
        <v>35</v>
      </c>
      <c r="AA19" s="86">
        <v>35</v>
      </c>
      <c r="AB19" s="21"/>
      <c r="AC19" s="21"/>
      <c r="AD19" s="21"/>
      <c r="AE19" s="77"/>
      <c r="AF19" s="21"/>
      <c r="AG19" s="77"/>
      <c r="AH19" s="21"/>
      <c r="AI19" s="21"/>
      <c r="AJ19" s="21"/>
      <c r="AK19" s="21"/>
      <c r="AL19" s="21"/>
      <c r="AM19" s="21"/>
      <c r="AN19" s="77"/>
      <c r="AO19" s="21"/>
      <c r="AP19" s="21"/>
      <c r="AQ19" s="21"/>
      <c r="AR19" s="21"/>
      <c r="AS19" s="21"/>
      <c r="AT19" s="21"/>
      <c r="AU19" s="77"/>
      <c r="AV19" s="21"/>
      <c r="AW19" s="21"/>
      <c r="AX19" s="21">
        <v>3</v>
      </c>
      <c r="AY19" s="21">
        <v>6</v>
      </c>
      <c r="AZ19" s="21">
        <v>6</v>
      </c>
      <c r="BA19" s="21">
        <v>6</v>
      </c>
      <c r="BB19" s="77"/>
      <c r="BC19" s="21">
        <v>3</v>
      </c>
      <c r="BD19" s="21">
        <v>7</v>
      </c>
      <c r="BE19" s="21">
        <v>4</v>
      </c>
      <c r="BF19" s="144">
        <f t="shared" si="4"/>
        <v>35</v>
      </c>
      <c r="BG19" s="94">
        <f t="shared" si="5"/>
        <v>0</v>
      </c>
      <c r="BH19" s="26"/>
      <c r="BJ19" s="141">
        <v>96101855</v>
      </c>
      <c r="BK19" s="141" t="s">
        <v>2354</v>
      </c>
      <c r="BL19" s="141" t="s">
        <v>2386</v>
      </c>
      <c r="BM19" s="141" t="s">
        <v>2387</v>
      </c>
      <c r="BN19" s="141" t="s">
        <v>2426</v>
      </c>
      <c r="BO19" s="141" t="s">
        <v>2427</v>
      </c>
      <c r="BP19" s="141" t="s">
        <v>2401</v>
      </c>
      <c r="BQ19" s="141" t="s">
        <v>2402</v>
      </c>
      <c r="BR19" s="141" t="s">
        <v>2428</v>
      </c>
      <c r="BS19" s="141" t="s">
        <v>2429</v>
      </c>
      <c r="BT19" s="141" t="s">
        <v>2443</v>
      </c>
      <c r="BU19" s="141" t="s">
        <v>2406</v>
      </c>
      <c r="BV19" s="141" t="s">
        <v>2390</v>
      </c>
      <c r="BW19" s="141" t="s">
        <v>2391</v>
      </c>
      <c r="BX19" s="141" t="s">
        <v>2392</v>
      </c>
      <c r="BY19" s="141" t="s">
        <v>2393</v>
      </c>
      <c r="BZ19" s="141" t="s">
        <v>2431</v>
      </c>
      <c r="CA19" s="141" t="s">
        <v>2432</v>
      </c>
      <c r="CB19" s="141" t="s">
        <v>2433</v>
      </c>
      <c r="CC19" s="141" t="s">
        <v>2434</v>
      </c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  <c r="CP19" s="142"/>
      <c r="CQ19" s="142"/>
    </row>
    <row r="20" spans="1:95" s="7" customFormat="1" x14ac:dyDescent="0.25">
      <c r="A20" s="19" t="s">
        <v>2298</v>
      </c>
      <c r="B20" s="19" t="s">
        <v>2299</v>
      </c>
      <c r="C20" s="19">
        <v>96101860</v>
      </c>
      <c r="D20" s="20">
        <v>96101860</v>
      </c>
      <c r="E20" s="21" t="s">
        <v>2323</v>
      </c>
      <c r="F20" s="21" t="s">
        <v>2318</v>
      </c>
      <c r="G20" s="21" t="s">
        <v>332</v>
      </c>
      <c r="H20" s="21" t="s">
        <v>234</v>
      </c>
      <c r="I20" s="21" t="s">
        <v>254</v>
      </c>
      <c r="J20" s="21" t="s">
        <v>2070</v>
      </c>
      <c r="K20" s="21" t="s">
        <v>2327</v>
      </c>
      <c r="L20" s="21" t="s">
        <v>2068</v>
      </c>
      <c r="M20" s="19" t="s">
        <v>2355</v>
      </c>
      <c r="N20" s="19"/>
      <c r="O20" s="35">
        <v>20</v>
      </c>
      <c r="P20" s="35">
        <v>5</v>
      </c>
      <c r="Q20" s="32"/>
      <c r="R20" s="22">
        <v>5</v>
      </c>
      <c r="S20" s="22">
        <v>5</v>
      </c>
      <c r="T20" s="22">
        <v>5</v>
      </c>
      <c r="U20" s="22">
        <v>5</v>
      </c>
      <c r="V20" s="60">
        <f t="shared" si="3"/>
        <v>20</v>
      </c>
      <c r="W20" s="86"/>
      <c r="X20" s="86"/>
      <c r="Y20" s="86"/>
      <c r="Z20" s="86"/>
      <c r="AA20" s="86">
        <v>0</v>
      </c>
      <c r="AB20" s="21"/>
      <c r="AC20" s="21"/>
      <c r="AD20" s="21"/>
      <c r="AE20" s="77"/>
      <c r="AF20" s="21"/>
      <c r="AG20" s="77"/>
      <c r="AH20" s="21"/>
      <c r="AI20" s="21"/>
      <c r="AJ20" s="21"/>
      <c r="AK20" s="21"/>
      <c r="AL20" s="21"/>
      <c r="AM20" s="21"/>
      <c r="AN20" s="77"/>
      <c r="AO20" s="21"/>
      <c r="AP20" s="21"/>
      <c r="AQ20" s="21"/>
      <c r="AR20" s="21"/>
      <c r="AS20" s="21"/>
      <c r="AT20" s="21"/>
      <c r="AU20" s="77"/>
      <c r="AV20" s="21"/>
      <c r="AW20" s="21"/>
      <c r="AX20" s="21"/>
      <c r="AY20" s="21"/>
      <c r="AZ20" s="21"/>
      <c r="BA20" s="21"/>
      <c r="BB20" s="77"/>
      <c r="BC20" s="21"/>
      <c r="BD20" s="21"/>
      <c r="BE20" s="21"/>
      <c r="BF20" s="144">
        <f t="shared" si="4"/>
        <v>0</v>
      </c>
      <c r="BG20" s="94">
        <f t="shared" si="5"/>
        <v>0</v>
      </c>
      <c r="BH20" s="26"/>
      <c r="BJ20" s="141">
        <v>96101860</v>
      </c>
      <c r="BK20" s="141" t="s">
        <v>2355</v>
      </c>
      <c r="BL20" s="141" t="s">
        <v>2386</v>
      </c>
      <c r="BM20" s="141" t="s">
        <v>2387</v>
      </c>
      <c r="BN20" s="141" t="s">
        <v>2437</v>
      </c>
      <c r="BO20" s="141" t="s">
        <v>2438</v>
      </c>
      <c r="BP20" s="141" t="s">
        <v>2401</v>
      </c>
      <c r="BQ20" s="141" t="s">
        <v>2402</v>
      </c>
      <c r="BR20" s="141" t="s">
        <v>2428</v>
      </c>
      <c r="BS20" s="141" t="s">
        <v>2429</v>
      </c>
      <c r="BT20" s="141" t="s">
        <v>2444</v>
      </c>
      <c r="BU20" s="141" t="s">
        <v>2406</v>
      </c>
      <c r="BV20" s="141" t="s">
        <v>2390</v>
      </c>
      <c r="BW20" s="141" t="s">
        <v>2391</v>
      </c>
      <c r="BX20" s="141" t="s">
        <v>2392</v>
      </c>
      <c r="BY20" s="141" t="s">
        <v>2393</v>
      </c>
      <c r="BZ20" s="141" t="s">
        <v>2440</v>
      </c>
      <c r="CA20" s="141" t="s">
        <v>2441</v>
      </c>
      <c r="CB20" s="141" t="s">
        <v>2442</v>
      </c>
      <c r="CC20" s="141" t="s">
        <v>2434</v>
      </c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  <c r="CP20" s="142"/>
      <c r="CQ20" s="142"/>
    </row>
    <row r="21" spans="1:95" s="7" customFormat="1" x14ac:dyDescent="0.25">
      <c r="A21" s="19" t="s">
        <v>2298</v>
      </c>
      <c r="B21" s="19" t="s">
        <v>2299</v>
      </c>
      <c r="C21" s="19">
        <v>96101368</v>
      </c>
      <c r="D21" s="20" t="s">
        <v>2307</v>
      </c>
      <c r="E21" s="21" t="s">
        <v>1860</v>
      </c>
      <c r="F21" s="21" t="s">
        <v>2318</v>
      </c>
      <c r="G21" s="21" t="s">
        <v>332</v>
      </c>
      <c r="H21" s="21" t="s">
        <v>234</v>
      </c>
      <c r="I21" s="21" t="s">
        <v>254</v>
      </c>
      <c r="J21" s="21" t="s">
        <v>2083</v>
      </c>
      <c r="K21" s="21" t="s">
        <v>2328</v>
      </c>
      <c r="L21" s="21" t="s">
        <v>2068</v>
      </c>
      <c r="M21" s="19" t="s">
        <v>2356</v>
      </c>
      <c r="N21" s="19"/>
      <c r="O21" s="35">
        <v>70</v>
      </c>
      <c r="P21" s="35">
        <v>50</v>
      </c>
      <c r="Q21" s="32"/>
      <c r="R21" s="22">
        <v>50</v>
      </c>
      <c r="S21" s="22">
        <v>35</v>
      </c>
      <c r="T21" s="22">
        <v>40</v>
      </c>
      <c r="U21" s="22">
        <v>21</v>
      </c>
      <c r="V21" s="60">
        <f t="shared" si="3"/>
        <v>146</v>
      </c>
      <c r="W21" s="86">
        <v>126</v>
      </c>
      <c r="X21" s="86"/>
      <c r="Y21" s="86"/>
      <c r="Z21" s="86"/>
      <c r="AA21" s="86">
        <v>126</v>
      </c>
      <c r="AB21" s="21">
        <v>20</v>
      </c>
      <c r="AC21" s="21">
        <v>20</v>
      </c>
      <c r="AD21" s="21">
        <v>20</v>
      </c>
      <c r="AE21" s="77"/>
      <c r="AF21" s="21">
        <v>20</v>
      </c>
      <c r="AG21" s="77"/>
      <c r="AH21" s="21">
        <v>20</v>
      </c>
      <c r="AI21" s="21">
        <v>13</v>
      </c>
      <c r="AJ21" s="21">
        <v>13</v>
      </c>
      <c r="AK21" s="21"/>
      <c r="AL21" s="21"/>
      <c r="AM21" s="21"/>
      <c r="AN21" s="77"/>
      <c r="AO21" s="21"/>
      <c r="AP21" s="21"/>
      <c r="AQ21" s="21"/>
      <c r="AR21" s="21"/>
      <c r="AS21" s="21"/>
      <c r="AT21" s="21"/>
      <c r="AU21" s="77"/>
      <c r="AV21" s="21"/>
      <c r="AW21" s="21"/>
      <c r="AX21" s="21"/>
      <c r="AY21" s="21"/>
      <c r="AZ21" s="21"/>
      <c r="BA21" s="21"/>
      <c r="BB21" s="77"/>
      <c r="BC21" s="21"/>
      <c r="BD21" s="21"/>
      <c r="BE21" s="21"/>
      <c r="BF21" s="144">
        <f>SUM(AB21:BE21)</f>
        <v>126</v>
      </c>
      <c r="BG21" s="94">
        <f t="shared" si="5"/>
        <v>0</v>
      </c>
      <c r="BH21" s="26"/>
      <c r="BJ21" s="141" t="s">
        <v>2307</v>
      </c>
      <c r="BK21" s="141" t="s">
        <v>2445</v>
      </c>
      <c r="BL21" s="141" t="s">
        <v>2386</v>
      </c>
      <c r="BM21" s="141" t="s">
        <v>2387</v>
      </c>
      <c r="BN21" s="141" t="s">
        <v>2399</v>
      </c>
      <c r="BO21" s="141" t="s">
        <v>2400</v>
      </c>
      <c r="BP21" s="141" t="s">
        <v>2401</v>
      </c>
      <c r="BQ21" s="141" t="s">
        <v>2402</v>
      </c>
      <c r="BR21" s="141" t="s">
        <v>2403</v>
      </c>
      <c r="BS21" s="141" t="s">
        <v>2404</v>
      </c>
      <c r="BT21" s="141" t="s">
        <v>2446</v>
      </c>
      <c r="BU21" s="141" t="s">
        <v>2406</v>
      </c>
      <c r="BV21" s="141" t="s">
        <v>2390</v>
      </c>
      <c r="BW21" s="141" t="s">
        <v>2391</v>
      </c>
      <c r="BX21" s="141" t="s">
        <v>2392</v>
      </c>
      <c r="BY21" s="141" t="s">
        <v>2393</v>
      </c>
      <c r="BZ21" s="141" t="s">
        <v>2407</v>
      </c>
      <c r="CA21" s="141" t="s">
        <v>2408</v>
      </c>
      <c r="CB21" s="141" t="s">
        <v>2409</v>
      </c>
      <c r="CC21" s="141" t="s">
        <v>2410</v>
      </c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</row>
    <row r="22" spans="1:95" s="7" customFormat="1" x14ac:dyDescent="0.25">
      <c r="A22" s="19" t="s">
        <v>2298</v>
      </c>
      <c r="B22" s="19" t="s">
        <v>2299</v>
      </c>
      <c r="C22" s="19">
        <v>96101421</v>
      </c>
      <c r="D22" s="20">
        <v>96101421</v>
      </c>
      <c r="E22" s="21" t="s">
        <v>1860</v>
      </c>
      <c r="F22" s="21" t="s">
        <v>2318</v>
      </c>
      <c r="G22" s="21" t="s">
        <v>332</v>
      </c>
      <c r="H22" s="21" t="s">
        <v>234</v>
      </c>
      <c r="I22" s="21" t="s">
        <v>254</v>
      </c>
      <c r="J22" s="21" t="s">
        <v>2070</v>
      </c>
      <c r="K22" s="21" t="s">
        <v>2328</v>
      </c>
      <c r="L22" s="21" t="s">
        <v>2068</v>
      </c>
      <c r="M22" s="19" t="s">
        <v>2357</v>
      </c>
      <c r="N22" s="19"/>
      <c r="O22" s="35">
        <v>100</v>
      </c>
      <c r="P22" s="35">
        <v>60</v>
      </c>
      <c r="Q22" s="32"/>
      <c r="R22" s="22">
        <v>50</v>
      </c>
      <c r="S22" s="22">
        <v>50</v>
      </c>
      <c r="T22" s="22">
        <v>50</v>
      </c>
      <c r="U22" s="22">
        <v>50</v>
      </c>
      <c r="V22" s="60">
        <f t="shared" si="3"/>
        <v>200</v>
      </c>
      <c r="W22" s="86">
        <v>75</v>
      </c>
      <c r="X22" s="86">
        <v>75</v>
      </c>
      <c r="Y22" s="86"/>
      <c r="Z22" s="86"/>
      <c r="AA22" s="86">
        <v>150</v>
      </c>
      <c r="AB22" s="21">
        <v>10</v>
      </c>
      <c r="AC22" s="21">
        <v>10</v>
      </c>
      <c r="AD22" s="21">
        <v>10</v>
      </c>
      <c r="AE22" s="77"/>
      <c r="AF22" s="21">
        <v>10</v>
      </c>
      <c r="AG22" s="77"/>
      <c r="AH22" s="21">
        <v>10</v>
      </c>
      <c r="AI22" s="21">
        <v>12</v>
      </c>
      <c r="AJ22" s="21">
        <v>13</v>
      </c>
      <c r="AK22" s="21"/>
      <c r="AL22" s="21">
        <v>10</v>
      </c>
      <c r="AM22" s="21">
        <v>10</v>
      </c>
      <c r="AN22" s="77"/>
      <c r="AO22" s="21">
        <v>10</v>
      </c>
      <c r="AP22" s="21"/>
      <c r="AQ22" s="21"/>
      <c r="AR22" s="21"/>
      <c r="AS22" s="21">
        <v>10</v>
      </c>
      <c r="AT22" s="21">
        <v>8</v>
      </c>
      <c r="AU22" s="77"/>
      <c r="AV22" s="21">
        <v>9</v>
      </c>
      <c r="AW22" s="21">
        <v>11</v>
      </c>
      <c r="AX22" s="21">
        <v>5</v>
      </c>
      <c r="AY22" s="21"/>
      <c r="AZ22" s="21"/>
      <c r="BA22" s="21"/>
      <c r="BB22" s="77"/>
      <c r="BC22" s="21"/>
      <c r="BD22" s="21"/>
      <c r="BE22" s="21">
        <v>2</v>
      </c>
      <c r="BF22" s="144">
        <f t="shared" ref="BF22:BF58" si="6">SUM(AB22:BE22)</f>
        <v>150</v>
      </c>
      <c r="BG22" s="94">
        <f t="shared" si="5"/>
        <v>0</v>
      </c>
      <c r="BH22" s="26"/>
      <c r="BJ22" s="141">
        <v>96101421</v>
      </c>
      <c r="BK22" s="141" t="s">
        <v>2357</v>
      </c>
      <c r="BL22" s="141" t="s">
        <v>2386</v>
      </c>
      <c r="BM22" s="141" t="s">
        <v>2387</v>
      </c>
      <c r="BN22" s="141" t="s">
        <v>2399</v>
      </c>
      <c r="BO22" s="141" t="s">
        <v>2400</v>
      </c>
      <c r="BP22" s="141" t="s">
        <v>2401</v>
      </c>
      <c r="BQ22" s="141" t="s">
        <v>2402</v>
      </c>
      <c r="BR22" s="141" t="s">
        <v>2403</v>
      </c>
      <c r="BS22" s="141" t="s">
        <v>2404</v>
      </c>
      <c r="BT22" s="141" t="s">
        <v>2446</v>
      </c>
      <c r="BU22" s="141" t="s">
        <v>2406</v>
      </c>
      <c r="BV22" s="141" t="s">
        <v>2390</v>
      </c>
      <c r="BW22" s="141" t="s">
        <v>2391</v>
      </c>
      <c r="BX22" s="141" t="s">
        <v>2392</v>
      </c>
      <c r="BY22" s="141" t="s">
        <v>2393</v>
      </c>
      <c r="BZ22" s="141" t="s">
        <v>2407</v>
      </c>
      <c r="CA22" s="141" t="s">
        <v>2408</v>
      </c>
      <c r="CB22" s="141" t="s">
        <v>2409</v>
      </c>
      <c r="CC22" s="141" t="s">
        <v>2411</v>
      </c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</row>
    <row r="23" spans="1:95" s="7" customFormat="1" x14ac:dyDescent="0.25">
      <c r="A23" s="19" t="s">
        <v>2298</v>
      </c>
      <c r="B23" s="19" t="s">
        <v>2299</v>
      </c>
      <c r="C23" s="19">
        <v>96201441</v>
      </c>
      <c r="D23" s="20" t="s">
        <v>2308</v>
      </c>
      <c r="E23" s="21" t="s">
        <v>1860</v>
      </c>
      <c r="F23" s="21" t="s">
        <v>2320</v>
      </c>
      <c r="G23" s="21" t="s">
        <v>332</v>
      </c>
      <c r="H23" s="21" t="s">
        <v>234</v>
      </c>
      <c r="I23" s="21" t="s">
        <v>254</v>
      </c>
      <c r="J23" s="21" t="s">
        <v>2083</v>
      </c>
      <c r="K23" s="21" t="s">
        <v>2328</v>
      </c>
      <c r="L23" s="21" t="s">
        <v>2068</v>
      </c>
      <c r="M23" s="19" t="s">
        <v>2358</v>
      </c>
      <c r="N23" s="19"/>
      <c r="O23" s="35">
        <v>10</v>
      </c>
      <c r="P23" s="35">
        <v>10</v>
      </c>
      <c r="Q23" s="32"/>
      <c r="R23" s="22">
        <v>10</v>
      </c>
      <c r="S23" s="22">
        <v>5</v>
      </c>
      <c r="T23" s="22">
        <v>10</v>
      </c>
      <c r="U23" s="22">
        <v>5</v>
      </c>
      <c r="V23" s="60">
        <f t="shared" si="3"/>
        <v>30</v>
      </c>
      <c r="W23" s="86">
        <v>30</v>
      </c>
      <c r="X23" s="86"/>
      <c r="Y23" s="86"/>
      <c r="Z23" s="86"/>
      <c r="AA23" s="86">
        <v>30</v>
      </c>
      <c r="AB23" s="21">
        <v>5</v>
      </c>
      <c r="AC23" s="21">
        <v>5</v>
      </c>
      <c r="AD23" s="21">
        <v>5</v>
      </c>
      <c r="AE23" s="77"/>
      <c r="AF23" s="21">
        <v>5</v>
      </c>
      <c r="AG23" s="77"/>
      <c r="AH23" s="21">
        <v>5</v>
      </c>
      <c r="AI23" s="21">
        <v>5</v>
      </c>
      <c r="AJ23" s="21"/>
      <c r="AK23" s="21"/>
      <c r="AL23" s="21"/>
      <c r="AM23" s="21"/>
      <c r="AN23" s="77"/>
      <c r="AO23" s="21"/>
      <c r="AP23" s="21"/>
      <c r="AQ23" s="21"/>
      <c r="AR23" s="21"/>
      <c r="AS23" s="21"/>
      <c r="AT23" s="21"/>
      <c r="AU23" s="77"/>
      <c r="AV23" s="21"/>
      <c r="AW23" s="21"/>
      <c r="AX23" s="21"/>
      <c r="AY23" s="21"/>
      <c r="AZ23" s="21"/>
      <c r="BA23" s="21"/>
      <c r="BB23" s="77"/>
      <c r="BC23" s="21"/>
      <c r="BD23" s="21"/>
      <c r="BE23" s="21"/>
      <c r="BF23" s="144">
        <f t="shared" si="6"/>
        <v>30</v>
      </c>
      <c r="BG23" s="94">
        <f t="shared" si="5"/>
        <v>0</v>
      </c>
      <c r="BH23" s="26"/>
      <c r="BJ23" s="141" t="s">
        <v>2308</v>
      </c>
      <c r="BK23" s="141" t="s">
        <v>2447</v>
      </c>
      <c r="BL23" s="141" t="s">
        <v>2386</v>
      </c>
      <c r="BM23" s="141" t="s">
        <v>2387</v>
      </c>
      <c r="BN23" s="141" t="s">
        <v>2399</v>
      </c>
      <c r="BO23" s="141" t="s">
        <v>2400</v>
      </c>
      <c r="BP23" s="141" t="s">
        <v>2401</v>
      </c>
      <c r="BQ23" s="141" t="s">
        <v>2402</v>
      </c>
      <c r="BR23" s="141" t="s">
        <v>2403</v>
      </c>
      <c r="BS23" s="141" t="s">
        <v>2404</v>
      </c>
      <c r="BT23" s="141" t="s">
        <v>2446</v>
      </c>
      <c r="BU23" s="141" t="s">
        <v>2406</v>
      </c>
      <c r="BV23" s="141" t="s">
        <v>2390</v>
      </c>
      <c r="BW23" s="141" t="s">
        <v>2391</v>
      </c>
      <c r="BX23" s="141" t="s">
        <v>2392</v>
      </c>
      <c r="BY23" s="141" t="s">
        <v>2393</v>
      </c>
      <c r="BZ23" s="141" t="s">
        <v>2407</v>
      </c>
      <c r="CA23" s="141" t="s">
        <v>2408</v>
      </c>
      <c r="CB23" s="141" t="s">
        <v>2409</v>
      </c>
      <c r="CC23" s="141" t="s">
        <v>2410</v>
      </c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  <c r="CP23" s="142"/>
      <c r="CQ23" s="142"/>
    </row>
    <row r="24" spans="1:95" s="7" customFormat="1" x14ac:dyDescent="0.25">
      <c r="A24" s="19" t="s">
        <v>2298</v>
      </c>
      <c r="B24" s="19" t="s">
        <v>2299</v>
      </c>
      <c r="C24" s="19">
        <v>96101548</v>
      </c>
      <c r="D24" s="20">
        <v>96101548</v>
      </c>
      <c r="E24" s="21" t="s">
        <v>1860</v>
      </c>
      <c r="F24" s="21" t="s">
        <v>2318</v>
      </c>
      <c r="G24" s="21" t="s">
        <v>332</v>
      </c>
      <c r="H24" s="21" t="s">
        <v>234</v>
      </c>
      <c r="I24" s="21" t="s">
        <v>254</v>
      </c>
      <c r="J24" s="21" t="s">
        <v>2070</v>
      </c>
      <c r="K24" s="21" t="s">
        <v>2328</v>
      </c>
      <c r="L24" s="21" t="s">
        <v>2068</v>
      </c>
      <c r="M24" s="19" t="s">
        <v>2359</v>
      </c>
      <c r="N24" s="19"/>
      <c r="O24" s="35">
        <v>40</v>
      </c>
      <c r="P24" s="35">
        <v>20</v>
      </c>
      <c r="Q24" s="32"/>
      <c r="R24" s="22">
        <v>20</v>
      </c>
      <c r="S24" s="22">
        <v>20</v>
      </c>
      <c r="T24" s="22">
        <v>10</v>
      </c>
      <c r="U24" s="22">
        <v>10</v>
      </c>
      <c r="V24" s="60">
        <f t="shared" si="3"/>
        <v>60</v>
      </c>
      <c r="W24" s="86"/>
      <c r="X24" s="86"/>
      <c r="Y24" s="86">
        <v>25</v>
      </c>
      <c r="Z24" s="86">
        <v>25</v>
      </c>
      <c r="AA24" s="86">
        <v>50</v>
      </c>
      <c r="AB24" s="21"/>
      <c r="AC24" s="21"/>
      <c r="AD24" s="21"/>
      <c r="AE24" s="77"/>
      <c r="AF24" s="21"/>
      <c r="AG24" s="77"/>
      <c r="AH24" s="21"/>
      <c r="AI24" s="21"/>
      <c r="AJ24" s="21"/>
      <c r="AK24" s="21"/>
      <c r="AL24" s="21"/>
      <c r="AM24" s="21"/>
      <c r="AN24" s="77"/>
      <c r="AO24" s="21"/>
      <c r="AP24" s="21"/>
      <c r="AQ24" s="21"/>
      <c r="AR24" s="21"/>
      <c r="AS24" s="21"/>
      <c r="AT24" s="21"/>
      <c r="AU24" s="77"/>
      <c r="AV24" s="21"/>
      <c r="AW24" s="21">
        <v>2</v>
      </c>
      <c r="AX24" s="21">
        <v>6</v>
      </c>
      <c r="AY24" s="21">
        <v>5</v>
      </c>
      <c r="AZ24" s="21">
        <v>6</v>
      </c>
      <c r="BA24" s="21">
        <v>5</v>
      </c>
      <c r="BB24" s="77"/>
      <c r="BC24" s="21">
        <v>8</v>
      </c>
      <c r="BD24" s="21">
        <v>10</v>
      </c>
      <c r="BE24" s="21">
        <v>8</v>
      </c>
      <c r="BF24" s="144">
        <f t="shared" si="6"/>
        <v>50</v>
      </c>
      <c r="BG24" s="94">
        <f t="shared" si="5"/>
        <v>0</v>
      </c>
      <c r="BH24" s="26"/>
      <c r="BJ24" s="141">
        <v>96101548</v>
      </c>
      <c r="BK24" s="141" t="s">
        <v>2359</v>
      </c>
      <c r="BL24" s="141" t="s">
        <v>2386</v>
      </c>
      <c r="BM24" s="141" t="s">
        <v>2387</v>
      </c>
      <c r="BN24" s="141" t="s">
        <v>2413</v>
      </c>
      <c r="BO24" s="141" t="s">
        <v>2414</v>
      </c>
      <c r="BP24" s="141" t="s">
        <v>2401</v>
      </c>
      <c r="BQ24" s="141" t="s">
        <v>2402</v>
      </c>
      <c r="BR24" s="141" t="s">
        <v>2403</v>
      </c>
      <c r="BS24" s="141" t="s">
        <v>2404</v>
      </c>
      <c r="BT24" s="141" t="s">
        <v>2448</v>
      </c>
      <c r="BU24" s="141" t="s">
        <v>2406</v>
      </c>
      <c r="BV24" s="141" t="s">
        <v>2390</v>
      </c>
      <c r="BW24" s="141" t="s">
        <v>2391</v>
      </c>
      <c r="BX24" s="141" t="s">
        <v>2392</v>
      </c>
      <c r="BY24" s="141" t="s">
        <v>2393</v>
      </c>
      <c r="BZ24" s="141" t="s">
        <v>2416</v>
      </c>
      <c r="CA24" s="141" t="s">
        <v>2417</v>
      </c>
      <c r="CB24" s="141" t="s">
        <v>2418</v>
      </c>
      <c r="CC24" s="141" t="s">
        <v>2411</v>
      </c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</row>
    <row r="25" spans="1:95" s="7" customFormat="1" x14ac:dyDescent="0.25">
      <c r="A25" s="19" t="s">
        <v>2298</v>
      </c>
      <c r="B25" s="19" t="s">
        <v>2299</v>
      </c>
      <c r="C25" s="19">
        <v>96201440</v>
      </c>
      <c r="D25" s="20">
        <v>96201440</v>
      </c>
      <c r="E25" s="21" t="s">
        <v>1860</v>
      </c>
      <c r="F25" s="21" t="s">
        <v>2320</v>
      </c>
      <c r="G25" s="21" t="s">
        <v>332</v>
      </c>
      <c r="H25" s="21" t="s">
        <v>234</v>
      </c>
      <c r="I25" s="21" t="s">
        <v>254</v>
      </c>
      <c r="J25" s="21" t="s">
        <v>2070</v>
      </c>
      <c r="K25" s="21" t="s">
        <v>2328</v>
      </c>
      <c r="L25" s="21" t="s">
        <v>2068</v>
      </c>
      <c r="M25" s="19" t="s">
        <v>2360</v>
      </c>
      <c r="N25" s="19"/>
      <c r="O25" s="35">
        <v>40</v>
      </c>
      <c r="P25" s="35">
        <v>30</v>
      </c>
      <c r="Q25" s="32"/>
      <c r="R25" s="22">
        <v>20</v>
      </c>
      <c r="S25" s="22">
        <v>20</v>
      </c>
      <c r="T25" s="22">
        <v>20</v>
      </c>
      <c r="U25" s="22">
        <v>10</v>
      </c>
      <c r="V25" s="60">
        <f t="shared" si="3"/>
        <v>70</v>
      </c>
      <c r="W25" s="86">
        <v>55</v>
      </c>
      <c r="X25" s="86"/>
      <c r="Y25" s="86"/>
      <c r="Z25" s="86"/>
      <c r="AA25" s="86">
        <v>55</v>
      </c>
      <c r="AB25" s="21">
        <v>10</v>
      </c>
      <c r="AC25" s="21">
        <v>10</v>
      </c>
      <c r="AD25" s="21">
        <v>10</v>
      </c>
      <c r="AE25" s="77"/>
      <c r="AF25" s="21">
        <v>5</v>
      </c>
      <c r="AG25" s="77"/>
      <c r="AH25" s="21">
        <v>10</v>
      </c>
      <c r="AI25" s="21">
        <v>5</v>
      </c>
      <c r="AJ25" s="21"/>
      <c r="AK25" s="21">
        <v>5</v>
      </c>
      <c r="AL25" s="21"/>
      <c r="AM25" s="21"/>
      <c r="AN25" s="77"/>
      <c r="AO25" s="21"/>
      <c r="AP25" s="21"/>
      <c r="AQ25" s="21"/>
      <c r="AR25" s="21"/>
      <c r="AS25" s="21"/>
      <c r="AT25" s="21"/>
      <c r="AU25" s="77"/>
      <c r="AV25" s="21"/>
      <c r="AW25" s="21"/>
      <c r="AX25" s="21"/>
      <c r="AY25" s="21"/>
      <c r="AZ25" s="21"/>
      <c r="BA25" s="21"/>
      <c r="BB25" s="77"/>
      <c r="BC25" s="21"/>
      <c r="BD25" s="21"/>
      <c r="BE25" s="21"/>
      <c r="BF25" s="144">
        <f t="shared" si="6"/>
        <v>55</v>
      </c>
      <c r="BG25" s="94">
        <f t="shared" si="5"/>
        <v>0</v>
      </c>
      <c r="BH25" s="26"/>
      <c r="BJ25" s="141">
        <v>96201440</v>
      </c>
      <c r="BK25" s="141" t="s">
        <v>2360</v>
      </c>
      <c r="BL25" s="141" t="s">
        <v>2386</v>
      </c>
      <c r="BM25" s="141" t="s">
        <v>2387</v>
      </c>
      <c r="BN25" s="141" t="s">
        <v>2399</v>
      </c>
      <c r="BO25" s="141" t="s">
        <v>2400</v>
      </c>
      <c r="BP25" s="141" t="s">
        <v>2401</v>
      </c>
      <c r="BQ25" s="141" t="s">
        <v>2402</v>
      </c>
      <c r="BR25" s="141" t="s">
        <v>2403</v>
      </c>
      <c r="BS25" s="141" t="s">
        <v>2404</v>
      </c>
      <c r="BT25" s="141" t="s">
        <v>2446</v>
      </c>
      <c r="BU25" s="141" t="s">
        <v>2406</v>
      </c>
      <c r="BV25" s="141" t="s">
        <v>2390</v>
      </c>
      <c r="BW25" s="141" t="s">
        <v>2391</v>
      </c>
      <c r="BX25" s="141" t="s">
        <v>2392</v>
      </c>
      <c r="BY25" s="141" t="s">
        <v>2393</v>
      </c>
      <c r="BZ25" s="141" t="s">
        <v>2407</v>
      </c>
      <c r="CA25" s="141" t="s">
        <v>2408</v>
      </c>
      <c r="CB25" s="141" t="s">
        <v>2409</v>
      </c>
      <c r="CC25" s="141" t="s">
        <v>2411</v>
      </c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42"/>
      <c r="CQ25" s="142"/>
    </row>
    <row r="26" spans="1:95" s="7" customFormat="1" x14ac:dyDescent="0.25">
      <c r="A26" s="19" t="s">
        <v>2298</v>
      </c>
      <c r="B26" s="19" t="s">
        <v>2299</v>
      </c>
      <c r="C26" s="19">
        <v>96201442</v>
      </c>
      <c r="D26" s="20" t="s">
        <v>2308</v>
      </c>
      <c r="E26" s="21" t="s">
        <v>1860</v>
      </c>
      <c r="F26" s="21" t="s">
        <v>2320</v>
      </c>
      <c r="G26" s="21" t="s">
        <v>332</v>
      </c>
      <c r="H26" s="21" t="s">
        <v>2319</v>
      </c>
      <c r="I26" s="21" t="s">
        <v>254</v>
      </c>
      <c r="J26" s="21" t="s">
        <v>2083</v>
      </c>
      <c r="K26" s="21" t="s">
        <v>2328</v>
      </c>
      <c r="L26" s="21" t="s">
        <v>2068</v>
      </c>
      <c r="M26" s="19" t="s">
        <v>2361</v>
      </c>
      <c r="N26" s="19"/>
      <c r="O26" s="35">
        <v>10</v>
      </c>
      <c r="P26" s="35">
        <v>10</v>
      </c>
      <c r="Q26" s="32"/>
      <c r="R26" s="22">
        <v>5</v>
      </c>
      <c r="S26" s="22">
        <v>10</v>
      </c>
      <c r="T26" s="22">
        <v>5</v>
      </c>
      <c r="U26" s="22">
        <v>5</v>
      </c>
      <c r="V26" s="60">
        <f t="shared" si="3"/>
        <v>25</v>
      </c>
      <c r="W26" s="86">
        <v>25</v>
      </c>
      <c r="X26" s="86"/>
      <c r="Y26" s="86"/>
      <c r="Z26" s="86"/>
      <c r="AA26" s="86">
        <v>25</v>
      </c>
      <c r="AB26" s="21"/>
      <c r="AC26" s="21"/>
      <c r="AD26" s="21"/>
      <c r="AE26" s="77"/>
      <c r="AF26" s="21"/>
      <c r="AG26" s="77"/>
      <c r="AH26" s="21"/>
      <c r="AI26" s="21">
        <v>10</v>
      </c>
      <c r="AJ26" s="21">
        <v>10</v>
      </c>
      <c r="AK26" s="21">
        <v>5</v>
      </c>
      <c r="AL26" s="21"/>
      <c r="AM26" s="21"/>
      <c r="AN26" s="77"/>
      <c r="AO26" s="21"/>
      <c r="AP26" s="21"/>
      <c r="AQ26" s="21"/>
      <c r="AR26" s="21"/>
      <c r="AS26" s="21"/>
      <c r="AT26" s="21"/>
      <c r="AU26" s="77"/>
      <c r="AV26" s="21"/>
      <c r="AW26" s="21"/>
      <c r="AX26" s="21"/>
      <c r="AY26" s="21"/>
      <c r="AZ26" s="21"/>
      <c r="BA26" s="21"/>
      <c r="BB26" s="77"/>
      <c r="BC26" s="21"/>
      <c r="BD26" s="21"/>
      <c r="BE26" s="21"/>
      <c r="BF26" s="144">
        <f t="shared" si="6"/>
        <v>25</v>
      </c>
      <c r="BG26" s="94">
        <f t="shared" si="5"/>
        <v>0</v>
      </c>
      <c r="BH26" s="26"/>
      <c r="BJ26" s="141" t="s">
        <v>2308</v>
      </c>
      <c r="BK26" s="141" t="s">
        <v>2447</v>
      </c>
      <c r="BL26" s="141" t="s">
        <v>2386</v>
      </c>
      <c r="BM26" s="141" t="s">
        <v>2387</v>
      </c>
      <c r="BN26" s="141" t="s">
        <v>2399</v>
      </c>
      <c r="BO26" s="141" t="s">
        <v>2400</v>
      </c>
      <c r="BP26" s="141" t="s">
        <v>2401</v>
      </c>
      <c r="BQ26" s="141" t="s">
        <v>2402</v>
      </c>
      <c r="BR26" s="141" t="s">
        <v>2403</v>
      </c>
      <c r="BS26" s="141" t="s">
        <v>2404</v>
      </c>
      <c r="BT26" s="141" t="s">
        <v>2446</v>
      </c>
      <c r="BU26" s="141" t="s">
        <v>2406</v>
      </c>
      <c r="BV26" s="141" t="s">
        <v>2390</v>
      </c>
      <c r="BW26" s="141" t="s">
        <v>2391</v>
      </c>
      <c r="BX26" s="141" t="s">
        <v>2392</v>
      </c>
      <c r="BY26" s="141" t="s">
        <v>2393</v>
      </c>
      <c r="BZ26" s="141" t="s">
        <v>2407</v>
      </c>
      <c r="CA26" s="141" t="s">
        <v>2408</v>
      </c>
      <c r="CB26" s="141" t="s">
        <v>2409</v>
      </c>
      <c r="CC26" s="141" t="s">
        <v>2410</v>
      </c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</row>
    <row r="27" spans="1:95" s="7" customFormat="1" x14ac:dyDescent="0.25">
      <c r="A27" s="19" t="s">
        <v>2298</v>
      </c>
      <c r="B27" s="19" t="s">
        <v>2299</v>
      </c>
      <c r="C27" s="19">
        <v>96101550</v>
      </c>
      <c r="D27" s="20" t="s">
        <v>2309</v>
      </c>
      <c r="E27" s="21" t="s">
        <v>1860</v>
      </c>
      <c r="F27" s="21" t="s">
        <v>2318</v>
      </c>
      <c r="G27" s="21" t="s">
        <v>332</v>
      </c>
      <c r="H27" s="21" t="s">
        <v>234</v>
      </c>
      <c r="I27" s="21" t="s">
        <v>254</v>
      </c>
      <c r="J27" s="21" t="s">
        <v>2083</v>
      </c>
      <c r="K27" s="21" t="s">
        <v>2328</v>
      </c>
      <c r="L27" s="21" t="s">
        <v>2068</v>
      </c>
      <c r="M27" s="19" t="s">
        <v>2362</v>
      </c>
      <c r="N27" s="19"/>
      <c r="O27" s="35">
        <v>15</v>
      </c>
      <c r="P27" s="35">
        <v>20</v>
      </c>
      <c r="Q27" s="32"/>
      <c r="R27" s="22">
        <v>10</v>
      </c>
      <c r="S27" s="22">
        <v>5</v>
      </c>
      <c r="T27" s="22">
        <v>5</v>
      </c>
      <c r="U27" s="22">
        <v>0</v>
      </c>
      <c r="V27" s="60">
        <f t="shared" si="3"/>
        <v>20</v>
      </c>
      <c r="W27" s="86"/>
      <c r="X27" s="86"/>
      <c r="Y27" s="86">
        <v>20</v>
      </c>
      <c r="Z27" s="86"/>
      <c r="AA27" s="86">
        <v>20</v>
      </c>
      <c r="AB27" s="21"/>
      <c r="AC27" s="21"/>
      <c r="AD27" s="21"/>
      <c r="AE27" s="77"/>
      <c r="AF27" s="21"/>
      <c r="AG27" s="77"/>
      <c r="AH27" s="21"/>
      <c r="AI27" s="21"/>
      <c r="AJ27" s="21"/>
      <c r="AK27" s="21"/>
      <c r="AL27" s="21"/>
      <c r="AM27" s="21"/>
      <c r="AN27" s="77"/>
      <c r="AO27" s="21"/>
      <c r="AP27" s="21"/>
      <c r="AQ27" s="21"/>
      <c r="AR27" s="21"/>
      <c r="AS27" s="21">
        <v>5</v>
      </c>
      <c r="AT27" s="21">
        <v>5</v>
      </c>
      <c r="AU27" s="77"/>
      <c r="AV27" s="21">
        <v>5</v>
      </c>
      <c r="AW27" s="21">
        <v>5</v>
      </c>
      <c r="AX27" s="21"/>
      <c r="AY27" s="21"/>
      <c r="AZ27" s="21"/>
      <c r="BA27" s="21"/>
      <c r="BB27" s="77"/>
      <c r="BC27" s="21"/>
      <c r="BD27" s="21"/>
      <c r="BE27" s="21"/>
      <c r="BF27" s="144">
        <f t="shared" si="6"/>
        <v>20</v>
      </c>
      <c r="BG27" s="94">
        <f t="shared" si="5"/>
        <v>0</v>
      </c>
      <c r="BH27" s="26"/>
      <c r="BJ27" s="141" t="s">
        <v>2309</v>
      </c>
      <c r="BK27" s="141" t="s">
        <v>2449</v>
      </c>
      <c r="BL27" s="141" t="s">
        <v>2386</v>
      </c>
      <c r="BM27" s="141" t="s">
        <v>2387</v>
      </c>
      <c r="BN27" s="141" t="s">
        <v>2413</v>
      </c>
      <c r="BO27" s="141" t="s">
        <v>2414</v>
      </c>
      <c r="BP27" s="141" t="s">
        <v>2401</v>
      </c>
      <c r="BQ27" s="141" t="s">
        <v>2402</v>
      </c>
      <c r="BR27" s="141" t="s">
        <v>2403</v>
      </c>
      <c r="BS27" s="141" t="s">
        <v>2404</v>
      </c>
      <c r="BT27" s="141" t="s">
        <v>2448</v>
      </c>
      <c r="BU27" s="141" t="s">
        <v>2406</v>
      </c>
      <c r="BV27" s="141" t="s">
        <v>2390</v>
      </c>
      <c r="BW27" s="141" t="s">
        <v>2391</v>
      </c>
      <c r="BX27" s="141" t="s">
        <v>2392</v>
      </c>
      <c r="BY27" s="141" t="s">
        <v>2393</v>
      </c>
      <c r="BZ27" s="141" t="s">
        <v>2416</v>
      </c>
      <c r="CA27" s="141" t="s">
        <v>2417</v>
      </c>
      <c r="CB27" s="141" t="s">
        <v>2418</v>
      </c>
      <c r="CC27" s="141" t="s">
        <v>2410</v>
      </c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</row>
    <row r="28" spans="1:95" s="7" customFormat="1" x14ac:dyDescent="0.25">
      <c r="A28" s="19" t="s">
        <v>2298</v>
      </c>
      <c r="B28" s="19" t="s">
        <v>2299</v>
      </c>
      <c r="C28" s="19">
        <v>96101551</v>
      </c>
      <c r="D28" s="20" t="s">
        <v>2309</v>
      </c>
      <c r="E28" s="21" t="s">
        <v>1860</v>
      </c>
      <c r="F28" s="21" t="s">
        <v>2318</v>
      </c>
      <c r="G28" s="21" t="s">
        <v>332</v>
      </c>
      <c r="H28" s="21" t="s">
        <v>2319</v>
      </c>
      <c r="I28" s="21" t="s">
        <v>254</v>
      </c>
      <c r="J28" s="21" t="s">
        <v>2083</v>
      </c>
      <c r="K28" s="21" t="s">
        <v>2328</v>
      </c>
      <c r="L28" s="21" t="s">
        <v>2068</v>
      </c>
      <c r="M28" s="19" t="s">
        <v>2363</v>
      </c>
      <c r="N28" s="19"/>
      <c r="O28" s="35">
        <v>15</v>
      </c>
      <c r="P28" s="35">
        <v>20</v>
      </c>
      <c r="Q28" s="32"/>
      <c r="R28" s="22">
        <v>10</v>
      </c>
      <c r="S28" s="22">
        <v>5</v>
      </c>
      <c r="T28" s="22">
        <v>5</v>
      </c>
      <c r="U28" s="22">
        <v>0</v>
      </c>
      <c r="V28" s="60">
        <f t="shared" si="3"/>
        <v>20</v>
      </c>
      <c r="W28" s="86"/>
      <c r="X28" s="86"/>
      <c r="Y28" s="86">
        <v>20</v>
      </c>
      <c r="Z28" s="86"/>
      <c r="AA28" s="86">
        <v>20</v>
      </c>
      <c r="AB28" s="21"/>
      <c r="AC28" s="21"/>
      <c r="AD28" s="21"/>
      <c r="AE28" s="77"/>
      <c r="AF28" s="21"/>
      <c r="AG28" s="77"/>
      <c r="AH28" s="21"/>
      <c r="AI28" s="21"/>
      <c r="AJ28" s="21"/>
      <c r="AK28" s="21"/>
      <c r="AL28" s="21"/>
      <c r="AM28" s="21"/>
      <c r="AN28" s="77"/>
      <c r="AO28" s="21"/>
      <c r="AP28" s="21"/>
      <c r="AQ28" s="21"/>
      <c r="AR28" s="21"/>
      <c r="AS28" s="21"/>
      <c r="AT28" s="21">
        <v>7</v>
      </c>
      <c r="AU28" s="77"/>
      <c r="AV28" s="21">
        <v>7</v>
      </c>
      <c r="AW28" s="21">
        <v>6</v>
      </c>
      <c r="AX28" s="21"/>
      <c r="AY28" s="21"/>
      <c r="AZ28" s="21"/>
      <c r="BA28" s="21"/>
      <c r="BB28" s="77"/>
      <c r="BC28" s="21"/>
      <c r="BD28" s="21"/>
      <c r="BE28" s="21"/>
      <c r="BF28" s="144">
        <f t="shared" si="6"/>
        <v>20</v>
      </c>
      <c r="BG28" s="94">
        <f t="shared" si="5"/>
        <v>0</v>
      </c>
      <c r="BH28" s="26"/>
      <c r="BJ28" s="141" t="s">
        <v>2309</v>
      </c>
      <c r="BK28" s="141" t="s">
        <v>2449</v>
      </c>
      <c r="BL28" s="141" t="s">
        <v>2386</v>
      </c>
      <c r="BM28" s="141" t="s">
        <v>2387</v>
      </c>
      <c r="BN28" s="141" t="s">
        <v>2413</v>
      </c>
      <c r="BO28" s="141" t="s">
        <v>2414</v>
      </c>
      <c r="BP28" s="141" t="s">
        <v>2401</v>
      </c>
      <c r="BQ28" s="141" t="s">
        <v>2402</v>
      </c>
      <c r="BR28" s="141" t="s">
        <v>2403</v>
      </c>
      <c r="BS28" s="141" t="s">
        <v>2404</v>
      </c>
      <c r="BT28" s="141" t="s">
        <v>2448</v>
      </c>
      <c r="BU28" s="141" t="s">
        <v>2406</v>
      </c>
      <c r="BV28" s="141" t="s">
        <v>2390</v>
      </c>
      <c r="BW28" s="141" t="s">
        <v>2391</v>
      </c>
      <c r="BX28" s="141" t="s">
        <v>2392</v>
      </c>
      <c r="BY28" s="141" t="s">
        <v>2393</v>
      </c>
      <c r="BZ28" s="141" t="s">
        <v>2416</v>
      </c>
      <c r="CA28" s="141" t="s">
        <v>2417</v>
      </c>
      <c r="CB28" s="141" t="s">
        <v>2418</v>
      </c>
      <c r="CC28" s="141" t="s">
        <v>2410</v>
      </c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42"/>
      <c r="CQ28" s="142"/>
    </row>
    <row r="29" spans="1:95" s="7" customFormat="1" x14ac:dyDescent="0.25">
      <c r="A29" s="19" t="s">
        <v>2298</v>
      </c>
      <c r="B29" s="19" t="s">
        <v>2299</v>
      </c>
      <c r="C29" s="19">
        <v>96101367</v>
      </c>
      <c r="D29" s="20" t="s">
        <v>2310</v>
      </c>
      <c r="E29" s="21" t="s">
        <v>1860</v>
      </c>
      <c r="F29" s="21" t="s">
        <v>2318</v>
      </c>
      <c r="G29" s="21" t="s">
        <v>332</v>
      </c>
      <c r="H29" s="21" t="s">
        <v>2319</v>
      </c>
      <c r="I29" s="21" t="s">
        <v>254</v>
      </c>
      <c r="J29" s="21" t="s">
        <v>2083</v>
      </c>
      <c r="K29" s="21" t="s">
        <v>2328</v>
      </c>
      <c r="L29" s="21" t="s">
        <v>2068</v>
      </c>
      <c r="M29" s="19" t="s">
        <v>2364</v>
      </c>
      <c r="N29" s="19"/>
      <c r="O29" s="35">
        <v>40</v>
      </c>
      <c r="P29" s="35">
        <v>20</v>
      </c>
      <c r="Q29" s="32"/>
      <c r="R29" s="22">
        <v>20</v>
      </c>
      <c r="S29" s="22">
        <v>10</v>
      </c>
      <c r="T29" s="22">
        <v>15</v>
      </c>
      <c r="U29" s="22">
        <v>10</v>
      </c>
      <c r="V29" s="60">
        <f t="shared" si="3"/>
        <v>55</v>
      </c>
      <c r="W29" s="86">
        <v>45</v>
      </c>
      <c r="X29" s="86"/>
      <c r="Y29" s="86"/>
      <c r="Z29" s="86"/>
      <c r="AA29" s="86">
        <v>45</v>
      </c>
      <c r="AB29" s="21">
        <v>5</v>
      </c>
      <c r="AC29" s="21">
        <v>5</v>
      </c>
      <c r="AD29" s="21">
        <v>5</v>
      </c>
      <c r="AE29" s="77"/>
      <c r="AF29" s="21">
        <v>4</v>
      </c>
      <c r="AG29" s="77"/>
      <c r="AH29" s="21">
        <v>5</v>
      </c>
      <c r="AI29" s="21">
        <v>5</v>
      </c>
      <c r="AJ29" s="21">
        <v>4</v>
      </c>
      <c r="AK29" s="21">
        <v>12</v>
      </c>
      <c r="AL29" s="21"/>
      <c r="AM29" s="21"/>
      <c r="AN29" s="77"/>
      <c r="AO29" s="21"/>
      <c r="AP29" s="21"/>
      <c r="AQ29" s="21"/>
      <c r="AR29" s="21"/>
      <c r="AS29" s="21"/>
      <c r="AT29" s="21"/>
      <c r="AU29" s="77"/>
      <c r="AV29" s="21"/>
      <c r="AW29" s="21"/>
      <c r="AX29" s="21"/>
      <c r="AY29" s="21"/>
      <c r="AZ29" s="21"/>
      <c r="BA29" s="21"/>
      <c r="BB29" s="77"/>
      <c r="BC29" s="21"/>
      <c r="BD29" s="21"/>
      <c r="BE29" s="21"/>
      <c r="BF29" s="144">
        <f t="shared" si="6"/>
        <v>45</v>
      </c>
      <c r="BG29" s="94">
        <f t="shared" si="5"/>
        <v>0</v>
      </c>
      <c r="BH29" s="26"/>
      <c r="BJ29" s="141" t="s">
        <v>2310</v>
      </c>
      <c r="BK29" s="141" t="s">
        <v>2445</v>
      </c>
      <c r="BL29" s="141" t="s">
        <v>2386</v>
      </c>
      <c r="BM29" s="141" t="s">
        <v>2387</v>
      </c>
      <c r="BN29" s="141" t="s">
        <v>2399</v>
      </c>
      <c r="BO29" s="141" t="s">
        <v>2400</v>
      </c>
      <c r="BP29" s="141" t="s">
        <v>2401</v>
      </c>
      <c r="BQ29" s="141" t="s">
        <v>2402</v>
      </c>
      <c r="BR29" s="141" t="s">
        <v>2403</v>
      </c>
      <c r="BS29" s="141" t="s">
        <v>2404</v>
      </c>
      <c r="BT29" s="141" t="s">
        <v>2446</v>
      </c>
      <c r="BU29" s="141" t="s">
        <v>2406</v>
      </c>
      <c r="BV29" s="141" t="s">
        <v>2390</v>
      </c>
      <c r="BW29" s="141" t="s">
        <v>2391</v>
      </c>
      <c r="BX29" s="141" t="s">
        <v>2392</v>
      </c>
      <c r="BY29" s="141" t="s">
        <v>2393</v>
      </c>
      <c r="BZ29" s="141" t="s">
        <v>2407</v>
      </c>
      <c r="CA29" s="141" t="s">
        <v>2408</v>
      </c>
      <c r="CB29" s="141" t="s">
        <v>2409</v>
      </c>
      <c r="CC29" s="141" t="s">
        <v>2410</v>
      </c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42"/>
      <c r="CQ29" s="142"/>
    </row>
    <row r="30" spans="1:95" s="7" customFormat="1" x14ac:dyDescent="0.25">
      <c r="A30" s="19" t="s">
        <v>2298</v>
      </c>
      <c r="B30" s="19" t="s">
        <v>2299</v>
      </c>
      <c r="C30" s="19">
        <v>96101422</v>
      </c>
      <c r="D30" s="20">
        <v>96101422</v>
      </c>
      <c r="E30" s="21" t="s">
        <v>1860</v>
      </c>
      <c r="F30" s="21" t="s">
        <v>2318</v>
      </c>
      <c r="G30" s="21" t="s">
        <v>332</v>
      </c>
      <c r="H30" s="21" t="s">
        <v>2319</v>
      </c>
      <c r="I30" s="21" t="s">
        <v>254</v>
      </c>
      <c r="J30" s="21" t="s">
        <v>2070</v>
      </c>
      <c r="K30" s="21" t="s">
        <v>2328</v>
      </c>
      <c r="L30" s="21" t="s">
        <v>2068</v>
      </c>
      <c r="M30" s="19" t="s">
        <v>2365</v>
      </c>
      <c r="N30" s="19"/>
      <c r="O30" s="35">
        <v>10</v>
      </c>
      <c r="P30" s="35">
        <v>10</v>
      </c>
      <c r="Q30" s="32"/>
      <c r="R30" s="22">
        <v>10</v>
      </c>
      <c r="S30" s="22">
        <v>10</v>
      </c>
      <c r="T30" s="22">
        <v>15</v>
      </c>
      <c r="U30" s="22">
        <v>10</v>
      </c>
      <c r="V30" s="60">
        <f t="shared" si="3"/>
        <v>45</v>
      </c>
      <c r="W30" s="86">
        <v>40</v>
      </c>
      <c r="X30" s="86"/>
      <c r="Y30" s="86"/>
      <c r="Z30" s="86"/>
      <c r="AA30" s="86">
        <v>40</v>
      </c>
      <c r="AB30" s="21"/>
      <c r="AC30" s="21"/>
      <c r="AD30" s="21"/>
      <c r="AE30" s="77"/>
      <c r="AF30" s="21"/>
      <c r="AG30" s="77"/>
      <c r="AH30" s="21"/>
      <c r="AI30" s="21"/>
      <c r="AJ30" s="21">
        <v>10</v>
      </c>
      <c r="AK30" s="21">
        <v>20</v>
      </c>
      <c r="AL30" s="21">
        <v>10</v>
      </c>
      <c r="AM30" s="21"/>
      <c r="AN30" s="77"/>
      <c r="AO30" s="21"/>
      <c r="AP30" s="21"/>
      <c r="AQ30" s="21"/>
      <c r="AR30" s="21"/>
      <c r="AS30" s="21"/>
      <c r="AT30" s="21"/>
      <c r="AU30" s="77"/>
      <c r="AV30" s="21"/>
      <c r="AW30" s="21"/>
      <c r="AX30" s="21"/>
      <c r="AY30" s="21"/>
      <c r="AZ30" s="21"/>
      <c r="BA30" s="21"/>
      <c r="BB30" s="77"/>
      <c r="BC30" s="21"/>
      <c r="BD30" s="21"/>
      <c r="BE30" s="21"/>
      <c r="BF30" s="144">
        <f t="shared" si="6"/>
        <v>40</v>
      </c>
      <c r="BG30" s="94">
        <f t="shared" si="5"/>
        <v>0</v>
      </c>
      <c r="BH30" s="26"/>
      <c r="BJ30" s="141">
        <v>96101422</v>
      </c>
      <c r="BK30" s="141" t="s">
        <v>2365</v>
      </c>
      <c r="BL30" s="141" t="s">
        <v>2386</v>
      </c>
      <c r="BM30" s="141" t="s">
        <v>2387</v>
      </c>
      <c r="BN30" s="141" t="s">
        <v>2399</v>
      </c>
      <c r="BO30" s="141" t="s">
        <v>2400</v>
      </c>
      <c r="BP30" s="141" t="s">
        <v>2401</v>
      </c>
      <c r="BQ30" s="141" t="s">
        <v>2402</v>
      </c>
      <c r="BR30" s="141" t="s">
        <v>2403</v>
      </c>
      <c r="BS30" s="141" t="s">
        <v>2404</v>
      </c>
      <c r="BT30" s="141" t="s">
        <v>2446</v>
      </c>
      <c r="BU30" s="141" t="s">
        <v>2406</v>
      </c>
      <c r="BV30" s="141" t="s">
        <v>2390</v>
      </c>
      <c r="BW30" s="141" t="s">
        <v>2391</v>
      </c>
      <c r="BX30" s="141" t="s">
        <v>2392</v>
      </c>
      <c r="BY30" s="141" t="s">
        <v>2393</v>
      </c>
      <c r="BZ30" s="141" t="s">
        <v>2407</v>
      </c>
      <c r="CA30" s="141" t="s">
        <v>2408</v>
      </c>
      <c r="CB30" s="141" t="s">
        <v>2409</v>
      </c>
      <c r="CC30" s="141" t="s">
        <v>2411</v>
      </c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</row>
    <row r="31" spans="1:95" s="7" customFormat="1" x14ac:dyDescent="0.25">
      <c r="A31" s="19" t="s">
        <v>2298</v>
      </c>
      <c r="B31" s="19" t="s">
        <v>2299</v>
      </c>
      <c r="C31" s="19">
        <v>96201369</v>
      </c>
      <c r="D31" s="20">
        <v>96201369</v>
      </c>
      <c r="E31" s="21" t="s">
        <v>1860</v>
      </c>
      <c r="F31" s="21" t="s">
        <v>2320</v>
      </c>
      <c r="G31" s="21" t="s">
        <v>332</v>
      </c>
      <c r="H31" s="21" t="s">
        <v>2319</v>
      </c>
      <c r="I31" s="21" t="s">
        <v>254</v>
      </c>
      <c r="J31" s="21" t="s">
        <v>2070</v>
      </c>
      <c r="K31" s="21" t="s">
        <v>2328</v>
      </c>
      <c r="L31" s="21" t="s">
        <v>2068</v>
      </c>
      <c r="M31" s="19" t="s">
        <v>2366</v>
      </c>
      <c r="N31" s="19"/>
      <c r="O31" s="35">
        <v>10</v>
      </c>
      <c r="P31" s="35">
        <v>10</v>
      </c>
      <c r="Q31" s="32"/>
      <c r="R31" s="22">
        <v>5</v>
      </c>
      <c r="S31" s="22">
        <v>10</v>
      </c>
      <c r="T31" s="22">
        <v>5</v>
      </c>
      <c r="U31" s="22">
        <v>5</v>
      </c>
      <c r="V31" s="60">
        <f t="shared" si="3"/>
        <v>25</v>
      </c>
      <c r="W31" s="86">
        <v>14</v>
      </c>
      <c r="X31" s="86">
        <v>11</v>
      </c>
      <c r="Y31" s="86"/>
      <c r="Z31" s="86"/>
      <c r="AA31" s="86">
        <v>25</v>
      </c>
      <c r="AB31" s="21"/>
      <c r="AC31" s="21"/>
      <c r="AD31" s="21"/>
      <c r="AE31" s="77"/>
      <c r="AF31" s="21"/>
      <c r="AG31" s="77"/>
      <c r="AH31" s="21"/>
      <c r="AI31" s="21"/>
      <c r="AJ31" s="21"/>
      <c r="AK31" s="21">
        <v>8</v>
      </c>
      <c r="AL31" s="21">
        <v>6</v>
      </c>
      <c r="AM31" s="21">
        <v>3</v>
      </c>
      <c r="AN31" s="77"/>
      <c r="AO31" s="21">
        <v>2</v>
      </c>
      <c r="AP31" s="21">
        <v>2</v>
      </c>
      <c r="AQ31" s="21">
        <v>2</v>
      </c>
      <c r="AR31" s="21">
        <v>2</v>
      </c>
      <c r="AS31" s="21"/>
      <c r="AT31" s="21"/>
      <c r="AU31" s="77"/>
      <c r="AV31" s="21"/>
      <c r="AW31" s="21"/>
      <c r="AX31" s="21"/>
      <c r="AY31" s="21"/>
      <c r="AZ31" s="21"/>
      <c r="BA31" s="21"/>
      <c r="BB31" s="77"/>
      <c r="BC31" s="21"/>
      <c r="BD31" s="21"/>
      <c r="BE31" s="21"/>
      <c r="BF31" s="144">
        <f t="shared" si="6"/>
        <v>25</v>
      </c>
      <c r="BG31" s="94">
        <f t="shared" si="5"/>
        <v>0</v>
      </c>
      <c r="BH31" s="26"/>
      <c r="BJ31" s="141">
        <v>96201369</v>
      </c>
      <c r="BK31" s="141" t="s">
        <v>2366</v>
      </c>
      <c r="BL31" s="141" t="s">
        <v>2386</v>
      </c>
      <c r="BM31" s="141" t="s">
        <v>2387</v>
      </c>
      <c r="BN31" s="141" t="s">
        <v>2399</v>
      </c>
      <c r="BO31" s="141" t="s">
        <v>2400</v>
      </c>
      <c r="BP31" s="141" t="s">
        <v>2401</v>
      </c>
      <c r="BQ31" s="141" t="s">
        <v>2402</v>
      </c>
      <c r="BR31" s="141" t="s">
        <v>2403</v>
      </c>
      <c r="BS31" s="141" t="s">
        <v>2404</v>
      </c>
      <c r="BT31" s="141" t="s">
        <v>2446</v>
      </c>
      <c r="BU31" s="141" t="s">
        <v>2406</v>
      </c>
      <c r="BV31" s="141" t="s">
        <v>2390</v>
      </c>
      <c r="BW31" s="141" t="s">
        <v>2391</v>
      </c>
      <c r="BX31" s="141" t="s">
        <v>2392</v>
      </c>
      <c r="BY31" s="141" t="s">
        <v>2393</v>
      </c>
      <c r="BZ31" s="141" t="s">
        <v>2407</v>
      </c>
      <c r="CA31" s="141" t="s">
        <v>2408</v>
      </c>
      <c r="CB31" s="141" t="s">
        <v>2409</v>
      </c>
      <c r="CC31" s="141" t="s">
        <v>2411</v>
      </c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42"/>
      <c r="CQ31" s="142"/>
    </row>
    <row r="32" spans="1:95" s="7" customFormat="1" x14ac:dyDescent="0.25">
      <c r="A32" s="19" t="s">
        <v>2298</v>
      </c>
      <c r="B32" s="19" t="s">
        <v>2299</v>
      </c>
      <c r="C32" s="19">
        <v>96101549</v>
      </c>
      <c r="D32" s="20">
        <v>96101549</v>
      </c>
      <c r="E32" s="21" t="s">
        <v>1860</v>
      </c>
      <c r="F32" s="21" t="s">
        <v>2318</v>
      </c>
      <c r="G32" s="21" t="s">
        <v>332</v>
      </c>
      <c r="H32" s="21" t="s">
        <v>2319</v>
      </c>
      <c r="I32" s="21" t="s">
        <v>254</v>
      </c>
      <c r="J32" s="21" t="s">
        <v>2070</v>
      </c>
      <c r="K32" s="21" t="s">
        <v>2328</v>
      </c>
      <c r="L32" s="21" t="s">
        <v>2068</v>
      </c>
      <c r="M32" s="19" t="s">
        <v>2367</v>
      </c>
      <c r="N32" s="19"/>
      <c r="O32" s="35">
        <v>10</v>
      </c>
      <c r="P32" s="35">
        <v>5</v>
      </c>
      <c r="Q32" s="32"/>
      <c r="R32" s="22">
        <v>5</v>
      </c>
      <c r="S32" s="22">
        <v>2</v>
      </c>
      <c r="T32" s="22">
        <v>1</v>
      </c>
      <c r="U32" s="22">
        <v>2</v>
      </c>
      <c r="V32" s="60">
        <f t="shared" si="3"/>
        <v>10</v>
      </c>
      <c r="W32" s="86"/>
      <c r="X32" s="86"/>
      <c r="Y32" s="86"/>
      <c r="Z32" s="86">
        <v>10</v>
      </c>
      <c r="AA32" s="86">
        <v>10</v>
      </c>
      <c r="AB32" s="21"/>
      <c r="AC32" s="21"/>
      <c r="AD32" s="21"/>
      <c r="AE32" s="77"/>
      <c r="AF32" s="21"/>
      <c r="AG32" s="77"/>
      <c r="AH32" s="21"/>
      <c r="AI32" s="21"/>
      <c r="AJ32" s="21"/>
      <c r="AK32" s="21"/>
      <c r="AL32" s="21"/>
      <c r="AM32" s="21"/>
      <c r="AN32" s="77"/>
      <c r="AO32" s="21"/>
      <c r="AP32" s="21"/>
      <c r="AQ32" s="21"/>
      <c r="AR32" s="21"/>
      <c r="AS32" s="21"/>
      <c r="AT32" s="21"/>
      <c r="AU32" s="77"/>
      <c r="AV32" s="21"/>
      <c r="AW32" s="21"/>
      <c r="AX32" s="21">
        <v>2</v>
      </c>
      <c r="AY32" s="21">
        <v>2</v>
      </c>
      <c r="AZ32" s="21">
        <v>2</v>
      </c>
      <c r="BA32" s="21">
        <v>2</v>
      </c>
      <c r="BB32" s="77"/>
      <c r="BC32" s="21">
        <v>2</v>
      </c>
      <c r="BD32" s="21"/>
      <c r="BE32" s="21"/>
      <c r="BF32" s="144">
        <f t="shared" si="6"/>
        <v>10</v>
      </c>
      <c r="BG32" s="94">
        <f t="shared" si="5"/>
        <v>0</v>
      </c>
      <c r="BH32" s="26"/>
      <c r="BJ32" s="141">
        <v>96101549</v>
      </c>
      <c r="BK32" s="141" t="s">
        <v>2367</v>
      </c>
      <c r="BL32" s="141" t="s">
        <v>2386</v>
      </c>
      <c r="BM32" s="141" t="s">
        <v>2387</v>
      </c>
      <c r="BN32" s="141" t="s">
        <v>2413</v>
      </c>
      <c r="BO32" s="141" t="s">
        <v>2414</v>
      </c>
      <c r="BP32" s="141" t="s">
        <v>2401</v>
      </c>
      <c r="BQ32" s="141" t="s">
        <v>2402</v>
      </c>
      <c r="BR32" s="141" t="s">
        <v>2403</v>
      </c>
      <c r="BS32" s="141" t="s">
        <v>2404</v>
      </c>
      <c r="BT32" s="141" t="s">
        <v>2448</v>
      </c>
      <c r="BU32" s="141" t="s">
        <v>2406</v>
      </c>
      <c r="BV32" s="141" t="s">
        <v>2390</v>
      </c>
      <c r="BW32" s="141" t="s">
        <v>2391</v>
      </c>
      <c r="BX32" s="141" t="s">
        <v>2392</v>
      </c>
      <c r="BY32" s="141" t="s">
        <v>2393</v>
      </c>
      <c r="BZ32" s="141" t="s">
        <v>2416</v>
      </c>
      <c r="CA32" s="141" t="s">
        <v>2417</v>
      </c>
      <c r="CB32" s="141" t="s">
        <v>2418</v>
      </c>
      <c r="CC32" s="141" t="s">
        <v>2411</v>
      </c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</row>
    <row r="33" spans="1:95" s="7" customFormat="1" x14ac:dyDescent="0.25">
      <c r="A33" s="19" t="s">
        <v>2298</v>
      </c>
      <c r="B33" s="19" t="s">
        <v>2299</v>
      </c>
      <c r="C33" s="19">
        <v>96202939</v>
      </c>
      <c r="D33" s="20" t="s">
        <v>2312</v>
      </c>
      <c r="E33" s="21" t="s">
        <v>1860</v>
      </c>
      <c r="F33" s="21" t="s">
        <v>2320</v>
      </c>
      <c r="G33" s="21" t="s">
        <v>332</v>
      </c>
      <c r="H33" s="21" t="s">
        <v>2077</v>
      </c>
      <c r="I33" s="21" t="s">
        <v>254</v>
      </c>
      <c r="J33" s="21" t="s">
        <v>255</v>
      </c>
      <c r="K33" s="21" t="s">
        <v>2328</v>
      </c>
      <c r="L33" s="21" t="s">
        <v>239</v>
      </c>
      <c r="M33" s="19" t="s">
        <v>2371</v>
      </c>
      <c r="N33" s="19"/>
      <c r="O33" s="35">
        <v>0</v>
      </c>
      <c r="P33" s="35">
        <v>0</v>
      </c>
      <c r="Q33" s="32"/>
      <c r="R33" s="22">
        <v>0</v>
      </c>
      <c r="S33" s="22">
        <v>0</v>
      </c>
      <c r="T33" s="22">
        <v>5</v>
      </c>
      <c r="U33" s="22">
        <v>0</v>
      </c>
      <c r="V33" s="60">
        <f t="shared" si="3"/>
        <v>5</v>
      </c>
      <c r="W33" s="86">
        <v>5</v>
      </c>
      <c r="X33" s="86"/>
      <c r="Y33" s="86"/>
      <c r="Z33" s="86"/>
      <c r="AA33" s="86">
        <v>5</v>
      </c>
      <c r="AB33" s="21"/>
      <c r="AC33" s="21"/>
      <c r="AD33" s="21"/>
      <c r="AE33" s="77"/>
      <c r="AF33" s="21">
        <v>5</v>
      </c>
      <c r="AG33" s="77"/>
      <c r="AH33" s="21"/>
      <c r="AI33" s="21"/>
      <c r="AJ33" s="21"/>
      <c r="AK33" s="21"/>
      <c r="AL33" s="21"/>
      <c r="AM33" s="21"/>
      <c r="AN33" s="77"/>
      <c r="AO33" s="21"/>
      <c r="AP33" s="21"/>
      <c r="AQ33" s="21"/>
      <c r="AR33" s="21"/>
      <c r="AS33" s="21"/>
      <c r="AT33" s="21"/>
      <c r="AU33" s="77"/>
      <c r="AV33" s="21"/>
      <c r="AW33" s="21"/>
      <c r="AX33" s="21"/>
      <c r="AY33" s="21"/>
      <c r="AZ33" s="21"/>
      <c r="BA33" s="21"/>
      <c r="BB33" s="77"/>
      <c r="BC33" s="21"/>
      <c r="BD33" s="21"/>
      <c r="BE33" s="21"/>
      <c r="BF33" s="144">
        <f t="shared" si="6"/>
        <v>5</v>
      </c>
      <c r="BG33" s="94">
        <f t="shared" si="5"/>
        <v>0</v>
      </c>
      <c r="BH33" s="26"/>
      <c r="BJ33" s="141" t="s">
        <v>2312</v>
      </c>
      <c r="BK33" s="141" t="s">
        <v>2451</v>
      </c>
      <c r="BL33" s="141" t="s">
        <v>2386</v>
      </c>
      <c r="BM33" s="141" t="s">
        <v>2387</v>
      </c>
      <c r="BN33" s="141" t="s">
        <v>2399</v>
      </c>
      <c r="BO33" s="141" t="s">
        <v>2400</v>
      </c>
      <c r="BP33" s="141" t="s">
        <v>2401</v>
      </c>
      <c r="BQ33" s="141" t="s">
        <v>2402</v>
      </c>
      <c r="BR33" s="141" t="s">
        <v>2403</v>
      </c>
      <c r="BS33" s="141" t="s">
        <v>2404</v>
      </c>
      <c r="BT33" s="141" t="s">
        <v>2446</v>
      </c>
      <c r="BU33" s="141" t="s">
        <v>2406</v>
      </c>
      <c r="BV33" s="141" t="s">
        <v>2390</v>
      </c>
      <c r="BW33" s="141" t="s">
        <v>2391</v>
      </c>
      <c r="BX33" s="141" t="s">
        <v>2392</v>
      </c>
      <c r="BY33" s="141" t="s">
        <v>2393</v>
      </c>
      <c r="BZ33" s="141" t="s">
        <v>2407</v>
      </c>
      <c r="CA33" s="141" t="s">
        <v>2408</v>
      </c>
      <c r="CB33" s="141" t="s">
        <v>2409</v>
      </c>
      <c r="CC33" s="141" t="s">
        <v>2452</v>
      </c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42"/>
      <c r="CQ33" s="142"/>
    </row>
    <row r="34" spans="1:95" s="7" customFormat="1" x14ac:dyDescent="0.25">
      <c r="A34" s="19" t="s">
        <v>2298</v>
      </c>
      <c r="B34" s="19" t="s">
        <v>2299</v>
      </c>
      <c r="C34" s="19">
        <v>96201563</v>
      </c>
      <c r="D34" s="20">
        <v>96201563</v>
      </c>
      <c r="E34" s="21" t="s">
        <v>1860</v>
      </c>
      <c r="F34" s="21" t="s">
        <v>2320</v>
      </c>
      <c r="G34" s="21" t="s">
        <v>332</v>
      </c>
      <c r="H34" s="21" t="s">
        <v>2319</v>
      </c>
      <c r="I34" s="21" t="s">
        <v>254</v>
      </c>
      <c r="J34" s="21" t="s">
        <v>2070</v>
      </c>
      <c r="K34" s="21" t="s">
        <v>2328</v>
      </c>
      <c r="L34" s="21" t="s">
        <v>2068</v>
      </c>
      <c r="M34" s="19" t="s">
        <v>2372</v>
      </c>
      <c r="N34" s="19"/>
      <c r="O34" s="35">
        <v>0</v>
      </c>
      <c r="P34" s="35">
        <v>0</v>
      </c>
      <c r="Q34" s="32"/>
      <c r="R34" s="22">
        <v>2</v>
      </c>
      <c r="S34" s="22">
        <v>1</v>
      </c>
      <c r="T34" s="22">
        <v>1</v>
      </c>
      <c r="U34" s="22">
        <v>1</v>
      </c>
      <c r="V34" s="60">
        <f t="shared" si="3"/>
        <v>5</v>
      </c>
      <c r="W34" s="86"/>
      <c r="X34" s="86"/>
      <c r="Y34" s="86"/>
      <c r="Z34" s="86">
        <v>5</v>
      </c>
      <c r="AA34" s="86">
        <v>5</v>
      </c>
      <c r="AB34" s="21"/>
      <c r="AC34" s="21"/>
      <c r="AD34" s="21"/>
      <c r="AE34" s="77"/>
      <c r="AF34" s="21"/>
      <c r="AG34" s="77"/>
      <c r="AH34" s="21"/>
      <c r="AI34" s="21"/>
      <c r="AJ34" s="21"/>
      <c r="AK34" s="21"/>
      <c r="AL34" s="21"/>
      <c r="AM34" s="21"/>
      <c r="AN34" s="77"/>
      <c r="AO34" s="21"/>
      <c r="AP34" s="21"/>
      <c r="AQ34" s="21"/>
      <c r="AR34" s="21"/>
      <c r="AS34" s="21"/>
      <c r="AT34" s="21"/>
      <c r="AU34" s="77"/>
      <c r="AV34" s="21"/>
      <c r="AW34" s="21"/>
      <c r="AX34" s="21">
        <v>2</v>
      </c>
      <c r="AY34" s="21"/>
      <c r="AZ34" s="21"/>
      <c r="BA34" s="21"/>
      <c r="BB34" s="77"/>
      <c r="BC34" s="21">
        <v>3</v>
      </c>
      <c r="BD34" s="21"/>
      <c r="BE34" s="21"/>
      <c r="BF34" s="144">
        <f t="shared" si="6"/>
        <v>5</v>
      </c>
      <c r="BG34" s="94">
        <f t="shared" si="5"/>
        <v>0</v>
      </c>
      <c r="BH34" s="26"/>
      <c r="BJ34" s="141">
        <v>96201563</v>
      </c>
      <c r="BK34" s="141" t="s">
        <v>2372</v>
      </c>
      <c r="BL34" s="141" t="s">
        <v>2386</v>
      </c>
      <c r="BM34" s="141" t="s">
        <v>2387</v>
      </c>
      <c r="BN34" s="141" t="s">
        <v>2413</v>
      </c>
      <c r="BO34" s="141" t="s">
        <v>2414</v>
      </c>
      <c r="BP34" s="141" t="s">
        <v>2401</v>
      </c>
      <c r="BQ34" s="141" t="s">
        <v>2402</v>
      </c>
      <c r="BR34" s="141" t="s">
        <v>2403</v>
      </c>
      <c r="BS34" s="141" t="s">
        <v>2404</v>
      </c>
      <c r="BT34" s="141" t="s">
        <v>2448</v>
      </c>
      <c r="BU34" s="141" t="s">
        <v>2406</v>
      </c>
      <c r="BV34" s="141" t="s">
        <v>2390</v>
      </c>
      <c r="BW34" s="141" t="s">
        <v>2391</v>
      </c>
      <c r="BX34" s="141" t="s">
        <v>2392</v>
      </c>
      <c r="BY34" s="141" t="s">
        <v>2393</v>
      </c>
      <c r="BZ34" s="141" t="s">
        <v>2416</v>
      </c>
      <c r="CA34" s="141" t="s">
        <v>2417</v>
      </c>
      <c r="CB34" s="141" t="s">
        <v>2418</v>
      </c>
      <c r="CC34" s="141" t="s">
        <v>2411</v>
      </c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</row>
    <row r="35" spans="1:95" s="7" customFormat="1" x14ac:dyDescent="0.25">
      <c r="A35" s="19" t="s">
        <v>2298</v>
      </c>
      <c r="B35" s="19" t="s">
        <v>2299</v>
      </c>
      <c r="C35" s="19">
        <v>96201564</v>
      </c>
      <c r="D35" s="20" t="s">
        <v>2313</v>
      </c>
      <c r="E35" s="21" t="s">
        <v>1860</v>
      </c>
      <c r="F35" s="21" t="s">
        <v>2320</v>
      </c>
      <c r="G35" s="21" t="s">
        <v>332</v>
      </c>
      <c r="H35" s="21" t="s">
        <v>234</v>
      </c>
      <c r="I35" s="21" t="s">
        <v>254</v>
      </c>
      <c r="J35" s="21" t="s">
        <v>2083</v>
      </c>
      <c r="K35" s="21" t="s">
        <v>2328</v>
      </c>
      <c r="L35" s="21" t="s">
        <v>2068</v>
      </c>
      <c r="M35" s="51" t="s">
        <v>2373</v>
      </c>
      <c r="N35" s="19"/>
      <c r="O35" s="35">
        <v>0</v>
      </c>
      <c r="P35" s="35">
        <v>0</v>
      </c>
      <c r="Q35" s="32"/>
      <c r="R35" s="22">
        <v>2</v>
      </c>
      <c r="S35" s="22">
        <v>1</v>
      </c>
      <c r="T35" s="22">
        <v>1</v>
      </c>
      <c r="U35" s="22">
        <v>1</v>
      </c>
      <c r="V35" s="60">
        <f t="shared" si="3"/>
        <v>5</v>
      </c>
      <c r="W35" s="86"/>
      <c r="X35" s="86"/>
      <c r="Y35" s="86">
        <v>5</v>
      </c>
      <c r="Z35" s="86"/>
      <c r="AA35" s="86">
        <v>5</v>
      </c>
      <c r="AB35" s="21"/>
      <c r="AC35" s="21"/>
      <c r="AD35" s="21"/>
      <c r="AE35" s="77"/>
      <c r="AF35" s="21"/>
      <c r="AG35" s="77"/>
      <c r="AH35" s="21"/>
      <c r="AI35" s="21"/>
      <c r="AJ35" s="21"/>
      <c r="AK35" s="21"/>
      <c r="AL35" s="21"/>
      <c r="AM35" s="21"/>
      <c r="AN35" s="77"/>
      <c r="AO35" s="21"/>
      <c r="AP35" s="21"/>
      <c r="AQ35" s="21"/>
      <c r="AR35" s="21"/>
      <c r="AS35" s="21">
        <v>1</v>
      </c>
      <c r="AT35" s="21"/>
      <c r="AU35" s="77"/>
      <c r="AV35" s="21"/>
      <c r="AW35" s="21">
        <v>4</v>
      </c>
      <c r="AX35" s="21"/>
      <c r="AY35" s="21"/>
      <c r="AZ35" s="21"/>
      <c r="BA35" s="21"/>
      <c r="BB35" s="77"/>
      <c r="BC35" s="21"/>
      <c r="BD35" s="21"/>
      <c r="BE35" s="21"/>
      <c r="BF35" s="144">
        <f t="shared" si="6"/>
        <v>5</v>
      </c>
      <c r="BG35" s="94">
        <f t="shared" si="5"/>
        <v>0</v>
      </c>
      <c r="BH35" s="26"/>
      <c r="BJ35" s="141" t="s">
        <v>2313</v>
      </c>
      <c r="BK35" s="141" t="s">
        <v>2453</v>
      </c>
      <c r="BL35" s="141" t="s">
        <v>2386</v>
      </c>
      <c r="BM35" s="141" t="s">
        <v>2387</v>
      </c>
      <c r="BN35" s="141" t="s">
        <v>2413</v>
      </c>
      <c r="BO35" s="141" t="s">
        <v>2414</v>
      </c>
      <c r="BP35" s="141" t="s">
        <v>2401</v>
      </c>
      <c r="BQ35" s="141" t="s">
        <v>2402</v>
      </c>
      <c r="BR35" s="141" t="s">
        <v>2403</v>
      </c>
      <c r="BS35" s="141" t="s">
        <v>2404</v>
      </c>
      <c r="BT35" s="141" t="s">
        <v>2448</v>
      </c>
      <c r="BU35" s="141" t="s">
        <v>2406</v>
      </c>
      <c r="BV35" s="141" t="s">
        <v>2390</v>
      </c>
      <c r="BW35" s="141" t="s">
        <v>2391</v>
      </c>
      <c r="BX35" s="141" t="s">
        <v>2392</v>
      </c>
      <c r="BY35" s="141" t="s">
        <v>2393</v>
      </c>
      <c r="BZ35" s="141" t="s">
        <v>2416</v>
      </c>
      <c r="CA35" s="141" t="s">
        <v>2417</v>
      </c>
      <c r="CB35" s="141" t="s">
        <v>2418</v>
      </c>
      <c r="CC35" s="141" t="s">
        <v>2410</v>
      </c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</row>
    <row r="36" spans="1:95" s="7" customFormat="1" x14ac:dyDescent="0.25">
      <c r="A36" s="19" t="s">
        <v>2298</v>
      </c>
      <c r="B36" s="19" t="s">
        <v>2299</v>
      </c>
      <c r="C36" s="19">
        <v>96201562</v>
      </c>
      <c r="D36" s="20">
        <v>96201562</v>
      </c>
      <c r="E36" s="21" t="s">
        <v>1860</v>
      </c>
      <c r="F36" s="21" t="s">
        <v>2320</v>
      </c>
      <c r="G36" s="21" t="s">
        <v>332</v>
      </c>
      <c r="H36" s="21" t="s">
        <v>234</v>
      </c>
      <c r="I36" s="21" t="s">
        <v>254</v>
      </c>
      <c r="J36" s="21" t="s">
        <v>2070</v>
      </c>
      <c r="K36" s="21" t="s">
        <v>2328</v>
      </c>
      <c r="L36" s="21" t="s">
        <v>2068</v>
      </c>
      <c r="M36" s="19" t="s">
        <v>2374</v>
      </c>
      <c r="N36" s="19"/>
      <c r="O36" s="35">
        <v>0</v>
      </c>
      <c r="P36" s="35">
        <v>0</v>
      </c>
      <c r="Q36" s="32"/>
      <c r="R36" s="22">
        <v>2</v>
      </c>
      <c r="S36" s="22">
        <v>1</v>
      </c>
      <c r="T36" s="22">
        <v>1</v>
      </c>
      <c r="U36" s="22">
        <v>1</v>
      </c>
      <c r="V36" s="60">
        <f t="shared" ref="V36:V58" si="7">SUM(R36:U36)</f>
        <v>5</v>
      </c>
      <c r="W36" s="86"/>
      <c r="X36" s="86"/>
      <c r="Y36" s="86"/>
      <c r="Z36" s="86">
        <v>5</v>
      </c>
      <c r="AA36" s="86">
        <v>5</v>
      </c>
      <c r="AB36" s="21"/>
      <c r="AC36" s="21"/>
      <c r="AD36" s="21"/>
      <c r="AE36" s="77"/>
      <c r="AF36" s="21"/>
      <c r="AG36" s="77"/>
      <c r="AH36" s="21"/>
      <c r="AI36" s="21"/>
      <c r="AJ36" s="21"/>
      <c r="AK36" s="21"/>
      <c r="AL36" s="21"/>
      <c r="AM36" s="21"/>
      <c r="AN36" s="77"/>
      <c r="AO36" s="21"/>
      <c r="AP36" s="21"/>
      <c r="AQ36" s="21"/>
      <c r="AR36" s="21"/>
      <c r="AS36" s="21"/>
      <c r="AT36" s="21"/>
      <c r="AU36" s="77"/>
      <c r="AV36" s="21"/>
      <c r="AW36" s="21"/>
      <c r="AX36" s="21"/>
      <c r="AY36" s="21"/>
      <c r="AZ36" s="21"/>
      <c r="BA36" s="21"/>
      <c r="BB36" s="77"/>
      <c r="BC36" s="21">
        <v>3</v>
      </c>
      <c r="BD36" s="21">
        <v>2</v>
      </c>
      <c r="BE36" s="21"/>
      <c r="BF36" s="144">
        <f t="shared" si="6"/>
        <v>5</v>
      </c>
      <c r="BG36" s="94">
        <f t="shared" si="5"/>
        <v>0</v>
      </c>
      <c r="BH36" s="26"/>
      <c r="BJ36" s="141">
        <v>96201562</v>
      </c>
      <c r="BK36" s="141" t="s">
        <v>2374</v>
      </c>
      <c r="BL36" s="141" t="s">
        <v>2386</v>
      </c>
      <c r="BM36" s="141" t="s">
        <v>2387</v>
      </c>
      <c r="BN36" s="141" t="s">
        <v>2413</v>
      </c>
      <c r="BO36" s="141" t="s">
        <v>2414</v>
      </c>
      <c r="BP36" s="141" t="s">
        <v>2401</v>
      </c>
      <c r="BQ36" s="141" t="s">
        <v>2402</v>
      </c>
      <c r="BR36" s="141" t="s">
        <v>2403</v>
      </c>
      <c r="BS36" s="141" t="s">
        <v>2404</v>
      </c>
      <c r="BT36" s="141" t="s">
        <v>2448</v>
      </c>
      <c r="BU36" s="141" t="s">
        <v>2406</v>
      </c>
      <c r="BV36" s="141" t="s">
        <v>2390</v>
      </c>
      <c r="BW36" s="141" t="s">
        <v>2391</v>
      </c>
      <c r="BX36" s="141" t="s">
        <v>2392</v>
      </c>
      <c r="BY36" s="141" t="s">
        <v>2393</v>
      </c>
      <c r="BZ36" s="141" t="s">
        <v>2416</v>
      </c>
      <c r="CA36" s="141" t="s">
        <v>2417</v>
      </c>
      <c r="CB36" s="141" t="s">
        <v>2418</v>
      </c>
      <c r="CC36" s="141" t="s">
        <v>2411</v>
      </c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42"/>
      <c r="CQ36" s="142"/>
    </row>
    <row r="37" spans="1:95" s="7" customFormat="1" x14ac:dyDescent="0.25">
      <c r="A37" s="19" t="s">
        <v>2298</v>
      </c>
      <c r="B37" s="19" t="s">
        <v>2299</v>
      </c>
      <c r="C37" s="19">
        <v>96101423</v>
      </c>
      <c r="D37" s="20" t="s">
        <v>2315</v>
      </c>
      <c r="E37" s="21" t="s">
        <v>1860</v>
      </c>
      <c r="F37" s="21" t="s">
        <v>2318</v>
      </c>
      <c r="G37" s="21" t="s">
        <v>332</v>
      </c>
      <c r="H37" s="21" t="s">
        <v>2077</v>
      </c>
      <c r="I37" s="21" t="s">
        <v>254</v>
      </c>
      <c r="J37" s="21" t="s">
        <v>255</v>
      </c>
      <c r="K37" s="21" t="s">
        <v>2328</v>
      </c>
      <c r="L37" s="21" t="s">
        <v>239</v>
      </c>
      <c r="M37" s="51" t="s">
        <v>2377</v>
      </c>
      <c r="N37" s="19"/>
      <c r="O37" s="35">
        <v>0</v>
      </c>
      <c r="P37" s="35">
        <v>0</v>
      </c>
      <c r="Q37" s="32"/>
      <c r="R37" s="22">
        <v>0</v>
      </c>
      <c r="S37" s="22">
        <v>0</v>
      </c>
      <c r="T37" s="22">
        <v>0</v>
      </c>
      <c r="U37" s="22">
        <v>1</v>
      </c>
      <c r="V37" s="60">
        <f t="shared" si="7"/>
        <v>1</v>
      </c>
      <c r="W37" s="86">
        <v>1</v>
      </c>
      <c r="X37" s="86"/>
      <c r="Y37" s="86"/>
      <c r="Z37" s="86"/>
      <c r="AA37" s="86">
        <v>1</v>
      </c>
      <c r="AB37" s="21"/>
      <c r="AC37" s="21"/>
      <c r="AD37" s="21"/>
      <c r="AE37" s="77"/>
      <c r="AF37" s="21">
        <v>1</v>
      </c>
      <c r="AG37" s="77"/>
      <c r="AH37" s="21"/>
      <c r="AI37" s="21"/>
      <c r="AJ37" s="21"/>
      <c r="AK37" s="21"/>
      <c r="AL37" s="21"/>
      <c r="AM37" s="21"/>
      <c r="AN37" s="77"/>
      <c r="AO37" s="21"/>
      <c r="AP37" s="21"/>
      <c r="AQ37" s="21"/>
      <c r="AR37" s="21"/>
      <c r="AS37" s="21"/>
      <c r="AT37" s="21"/>
      <c r="AU37" s="77"/>
      <c r="AV37" s="21"/>
      <c r="AW37" s="21"/>
      <c r="AX37" s="21"/>
      <c r="AY37" s="21"/>
      <c r="AZ37" s="21"/>
      <c r="BA37" s="21"/>
      <c r="BB37" s="77"/>
      <c r="BC37" s="21"/>
      <c r="BD37" s="21"/>
      <c r="BE37" s="21"/>
      <c r="BF37" s="144">
        <f t="shared" si="6"/>
        <v>1</v>
      </c>
      <c r="BG37" s="94">
        <f t="shared" si="5"/>
        <v>0</v>
      </c>
      <c r="BH37" s="26"/>
      <c r="BJ37" s="141" t="s">
        <v>2315</v>
      </c>
      <c r="BK37" s="141" t="s">
        <v>2445</v>
      </c>
      <c r="BL37" s="141" t="s">
        <v>2386</v>
      </c>
      <c r="BM37" s="141" t="s">
        <v>2387</v>
      </c>
      <c r="BN37" s="141" t="s">
        <v>2399</v>
      </c>
      <c r="BO37" s="141" t="s">
        <v>2400</v>
      </c>
      <c r="BP37" s="141" t="s">
        <v>2401</v>
      </c>
      <c r="BQ37" s="141" t="s">
        <v>2402</v>
      </c>
      <c r="BR37" s="141" t="s">
        <v>2403</v>
      </c>
      <c r="BS37" s="141" t="s">
        <v>2404</v>
      </c>
      <c r="BT37" s="141" t="s">
        <v>2446</v>
      </c>
      <c r="BU37" s="141" t="s">
        <v>2406</v>
      </c>
      <c r="BV37" s="141" t="s">
        <v>2390</v>
      </c>
      <c r="BW37" s="141" t="s">
        <v>2391</v>
      </c>
      <c r="BX37" s="141" t="s">
        <v>2392</v>
      </c>
      <c r="BY37" s="141" t="s">
        <v>2393</v>
      </c>
      <c r="BZ37" s="141" t="s">
        <v>2407</v>
      </c>
      <c r="CA37" s="141" t="s">
        <v>2408</v>
      </c>
      <c r="CB37" s="141" t="s">
        <v>2409</v>
      </c>
      <c r="CC37" s="141" t="s">
        <v>2452</v>
      </c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  <c r="CP37" s="142"/>
      <c r="CQ37" s="142"/>
    </row>
    <row r="38" spans="1:95" s="7" customFormat="1" x14ac:dyDescent="0.25">
      <c r="A38" s="19" t="s">
        <v>2298</v>
      </c>
      <c r="B38" s="19" t="s">
        <v>2299</v>
      </c>
      <c r="C38" s="19">
        <v>96101418</v>
      </c>
      <c r="D38" s="20" t="s">
        <v>2301</v>
      </c>
      <c r="E38" s="21" t="s">
        <v>1860</v>
      </c>
      <c r="F38" s="21" t="s">
        <v>2318</v>
      </c>
      <c r="G38" s="21" t="s">
        <v>332</v>
      </c>
      <c r="H38" s="21" t="s">
        <v>234</v>
      </c>
      <c r="I38" s="21" t="s">
        <v>254</v>
      </c>
      <c r="J38" s="21" t="s">
        <v>2083</v>
      </c>
      <c r="K38" s="21" t="s">
        <v>2325</v>
      </c>
      <c r="L38" s="21" t="s">
        <v>2068</v>
      </c>
      <c r="M38" s="19" t="s">
        <v>2331</v>
      </c>
      <c r="N38" s="19"/>
      <c r="O38" s="35">
        <v>40</v>
      </c>
      <c r="P38" s="35">
        <v>20</v>
      </c>
      <c r="Q38" s="32"/>
      <c r="R38" s="22">
        <v>20</v>
      </c>
      <c r="S38" s="22">
        <v>10</v>
      </c>
      <c r="T38" s="22">
        <v>10</v>
      </c>
      <c r="U38" s="22">
        <v>10</v>
      </c>
      <c r="V38" s="60">
        <f t="shared" si="7"/>
        <v>50</v>
      </c>
      <c r="W38" s="86"/>
      <c r="X38" s="86">
        <v>50</v>
      </c>
      <c r="Y38" s="86"/>
      <c r="Z38" s="86"/>
      <c r="AA38" s="86">
        <v>50</v>
      </c>
      <c r="AB38" s="21"/>
      <c r="AC38" s="21"/>
      <c r="AD38" s="21"/>
      <c r="AE38" s="77"/>
      <c r="AF38" s="21"/>
      <c r="AG38" s="77"/>
      <c r="AH38" s="21"/>
      <c r="AI38" s="21"/>
      <c r="AJ38" s="21"/>
      <c r="AK38" s="21"/>
      <c r="AL38" s="21"/>
      <c r="AM38" s="21">
        <v>8</v>
      </c>
      <c r="AN38" s="77"/>
      <c r="AO38" s="21">
        <v>9</v>
      </c>
      <c r="AP38" s="21">
        <v>10</v>
      </c>
      <c r="AQ38" s="21">
        <v>3</v>
      </c>
      <c r="AR38" s="21">
        <v>5</v>
      </c>
      <c r="AS38" s="21">
        <v>7</v>
      </c>
      <c r="AT38" s="21">
        <v>8</v>
      </c>
      <c r="AU38" s="77"/>
      <c r="AV38" s="21"/>
      <c r="AW38" s="21"/>
      <c r="AX38" s="21"/>
      <c r="AY38" s="21"/>
      <c r="AZ38" s="21"/>
      <c r="BA38" s="21"/>
      <c r="BB38" s="77"/>
      <c r="BC38" s="21"/>
      <c r="BD38" s="21"/>
      <c r="BE38" s="21"/>
      <c r="BF38" s="144">
        <f t="shared" si="6"/>
        <v>50</v>
      </c>
      <c r="BG38" s="94">
        <f t="shared" si="5"/>
        <v>0</v>
      </c>
      <c r="BH38" s="26"/>
      <c r="BJ38" s="141" t="s">
        <v>2301</v>
      </c>
      <c r="BK38" s="141" t="s">
        <v>2398</v>
      </c>
      <c r="BL38" s="141" t="s">
        <v>2386</v>
      </c>
      <c r="BM38" s="141" t="s">
        <v>2387</v>
      </c>
      <c r="BN38" s="141" t="s">
        <v>2399</v>
      </c>
      <c r="BO38" s="141" t="s">
        <v>2400</v>
      </c>
      <c r="BP38" s="141" t="s">
        <v>2401</v>
      </c>
      <c r="BQ38" s="141" t="s">
        <v>2402</v>
      </c>
      <c r="BR38" s="141" t="s">
        <v>2403</v>
      </c>
      <c r="BS38" s="141" t="s">
        <v>2404</v>
      </c>
      <c r="BT38" s="141" t="s">
        <v>2405</v>
      </c>
      <c r="BU38" s="141" t="s">
        <v>2406</v>
      </c>
      <c r="BV38" s="141" t="s">
        <v>2390</v>
      </c>
      <c r="BW38" s="141" t="s">
        <v>2391</v>
      </c>
      <c r="BX38" s="141" t="s">
        <v>2392</v>
      </c>
      <c r="BY38" s="141" t="s">
        <v>2393</v>
      </c>
      <c r="BZ38" s="141" t="s">
        <v>2407</v>
      </c>
      <c r="CA38" s="141" t="s">
        <v>2408</v>
      </c>
      <c r="CB38" s="141" t="s">
        <v>2409</v>
      </c>
      <c r="CC38" s="141" t="s">
        <v>2410</v>
      </c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</row>
    <row r="39" spans="1:95" s="7" customFormat="1" x14ac:dyDescent="0.25">
      <c r="A39" s="19" t="s">
        <v>2298</v>
      </c>
      <c r="B39" s="19" t="s">
        <v>2299</v>
      </c>
      <c r="C39" s="19">
        <v>96101419</v>
      </c>
      <c r="D39" s="20" t="s">
        <v>2301</v>
      </c>
      <c r="E39" s="21" t="s">
        <v>1860</v>
      </c>
      <c r="F39" s="21" t="s">
        <v>2318</v>
      </c>
      <c r="G39" s="21" t="s">
        <v>332</v>
      </c>
      <c r="H39" s="21" t="s">
        <v>2319</v>
      </c>
      <c r="I39" s="21" t="s">
        <v>254</v>
      </c>
      <c r="J39" s="21" t="s">
        <v>2083</v>
      </c>
      <c r="K39" s="21" t="s">
        <v>2325</v>
      </c>
      <c r="L39" s="21" t="s">
        <v>2068</v>
      </c>
      <c r="M39" s="19" t="s">
        <v>2332</v>
      </c>
      <c r="N39" s="19"/>
      <c r="O39" s="35">
        <v>20</v>
      </c>
      <c r="P39" s="35">
        <v>10</v>
      </c>
      <c r="Q39" s="32"/>
      <c r="R39" s="22">
        <v>10</v>
      </c>
      <c r="S39" s="22">
        <v>5</v>
      </c>
      <c r="T39" s="22">
        <v>5</v>
      </c>
      <c r="U39" s="22">
        <v>5</v>
      </c>
      <c r="V39" s="60">
        <f t="shared" si="7"/>
        <v>25</v>
      </c>
      <c r="W39" s="86"/>
      <c r="X39" s="86">
        <v>25</v>
      </c>
      <c r="Y39" s="86"/>
      <c r="Z39" s="86"/>
      <c r="AA39" s="86">
        <v>25</v>
      </c>
      <c r="AB39" s="21"/>
      <c r="AC39" s="21"/>
      <c r="AD39" s="21"/>
      <c r="AE39" s="77"/>
      <c r="AF39" s="21"/>
      <c r="AG39" s="77"/>
      <c r="AH39" s="21"/>
      <c r="AI39" s="21"/>
      <c r="AJ39" s="21"/>
      <c r="AK39" s="21"/>
      <c r="AL39" s="21"/>
      <c r="AM39" s="21">
        <v>5</v>
      </c>
      <c r="AN39" s="77"/>
      <c r="AO39" s="21">
        <v>5</v>
      </c>
      <c r="AP39" s="21">
        <v>5</v>
      </c>
      <c r="AQ39" s="21">
        <v>5</v>
      </c>
      <c r="AR39" s="21">
        <v>5</v>
      </c>
      <c r="AS39" s="21"/>
      <c r="AT39" s="21"/>
      <c r="AU39" s="77"/>
      <c r="AV39" s="21"/>
      <c r="AW39" s="21"/>
      <c r="AX39" s="21"/>
      <c r="AY39" s="21"/>
      <c r="AZ39" s="21"/>
      <c r="BA39" s="21"/>
      <c r="BB39" s="77"/>
      <c r="BC39" s="21"/>
      <c r="BD39" s="21"/>
      <c r="BE39" s="21"/>
      <c r="BF39" s="144">
        <f t="shared" si="6"/>
        <v>25</v>
      </c>
      <c r="BG39" s="94">
        <f t="shared" si="5"/>
        <v>0</v>
      </c>
      <c r="BH39" s="26"/>
      <c r="BJ39" s="141" t="s">
        <v>2301</v>
      </c>
      <c r="BK39" s="141" t="s">
        <v>2398</v>
      </c>
      <c r="BL39" s="141" t="s">
        <v>2386</v>
      </c>
      <c r="BM39" s="141" t="s">
        <v>2387</v>
      </c>
      <c r="BN39" s="141" t="s">
        <v>2399</v>
      </c>
      <c r="BO39" s="141" t="s">
        <v>2400</v>
      </c>
      <c r="BP39" s="141" t="s">
        <v>2401</v>
      </c>
      <c r="BQ39" s="141" t="s">
        <v>2402</v>
      </c>
      <c r="BR39" s="141" t="s">
        <v>2403</v>
      </c>
      <c r="BS39" s="141" t="s">
        <v>2404</v>
      </c>
      <c r="BT39" s="141" t="s">
        <v>2405</v>
      </c>
      <c r="BU39" s="141" t="s">
        <v>2406</v>
      </c>
      <c r="BV39" s="141" t="s">
        <v>2390</v>
      </c>
      <c r="BW39" s="141" t="s">
        <v>2391</v>
      </c>
      <c r="BX39" s="141" t="s">
        <v>2392</v>
      </c>
      <c r="BY39" s="141" t="s">
        <v>2393</v>
      </c>
      <c r="BZ39" s="141" t="s">
        <v>2407</v>
      </c>
      <c r="CA39" s="141" t="s">
        <v>2408</v>
      </c>
      <c r="CB39" s="141" t="s">
        <v>2409</v>
      </c>
      <c r="CC39" s="141" t="s">
        <v>2410</v>
      </c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</row>
    <row r="40" spans="1:95" s="7" customFormat="1" x14ac:dyDescent="0.25">
      <c r="A40" s="19" t="s">
        <v>2298</v>
      </c>
      <c r="B40" s="19" t="s">
        <v>2299</v>
      </c>
      <c r="C40" s="19">
        <v>96101365</v>
      </c>
      <c r="D40" s="20" t="s">
        <v>2301</v>
      </c>
      <c r="E40" s="21" t="s">
        <v>1860</v>
      </c>
      <c r="F40" s="21" t="s">
        <v>2318</v>
      </c>
      <c r="G40" s="21" t="s">
        <v>332</v>
      </c>
      <c r="H40" s="21" t="s">
        <v>234</v>
      </c>
      <c r="I40" s="21" t="s">
        <v>254</v>
      </c>
      <c r="J40" s="21" t="s">
        <v>2083</v>
      </c>
      <c r="K40" s="21" t="s">
        <v>2325</v>
      </c>
      <c r="L40" s="21" t="s">
        <v>2068</v>
      </c>
      <c r="M40" s="19" t="s">
        <v>2333</v>
      </c>
      <c r="N40" s="19"/>
      <c r="O40" s="35">
        <v>0</v>
      </c>
      <c r="P40" s="35">
        <v>0</v>
      </c>
      <c r="Q40" s="32"/>
      <c r="R40" s="22">
        <v>0</v>
      </c>
      <c r="S40" s="22">
        <v>0</v>
      </c>
      <c r="T40" s="22">
        <v>0</v>
      </c>
      <c r="U40" s="22">
        <v>5</v>
      </c>
      <c r="V40" s="60">
        <f t="shared" si="7"/>
        <v>5</v>
      </c>
      <c r="W40" s="86"/>
      <c r="X40" s="86">
        <v>5</v>
      </c>
      <c r="Y40" s="86"/>
      <c r="Z40" s="86"/>
      <c r="AA40" s="86">
        <v>5</v>
      </c>
      <c r="AB40" s="21"/>
      <c r="AC40" s="21"/>
      <c r="AD40" s="21"/>
      <c r="AE40" s="77"/>
      <c r="AF40" s="21"/>
      <c r="AG40" s="77"/>
      <c r="AH40" s="21"/>
      <c r="AI40" s="21"/>
      <c r="AJ40" s="21"/>
      <c r="AK40" s="21"/>
      <c r="AL40" s="21"/>
      <c r="AM40" s="21"/>
      <c r="AN40" s="77"/>
      <c r="AO40" s="21"/>
      <c r="AP40" s="21"/>
      <c r="AQ40" s="21"/>
      <c r="AR40" s="21">
        <v>5</v>
      </c>
      <c r="AS40" s="21"/>
      <c r="AT40" s="21"/>
      <c r="AU40" s="77"/>
      <c r="AV40" s="21"/>
      <c r="AW40" s="21"/>
      <c r="AX40" s="21"/>
      <c r="AY40" s="21"/>
      <c r="AZ40" s="21"/>
      <c r="BA40" s="21"/>
      <c r="BB40" s="77"/>
      <c r="BC40" s="21"/>
      <c r="BD40" s="21"/>
      <c r="BE40" s="21"/>
      <c r="BF40" s="144">
        <f t="shared" si="6"/>
        <v>5</v>
      </c>
      <c r="BG40" s="94">
        <f t="shared" si="5"/>
        <v>0</v>
      </c>
      <c r="BH40" s="26"/>
      <c r="BJ40" s="141" t="s">
        <v>2301</v>
      </c>
      <c r="BK40" s="141" t="s">
        <v>2398</v>
      </c>
      <c r="BL40" s="141" t="s">
        <v>2386</v>
      </c>
      <c r="BM40" s="141" t="s">
        <v>2387</v>
      </c>
      <c r="BN40" s="141" t="s">
        <v>2399</v>
      </c>
      <c r="BO40" s="141" t="s">
        <v>2400</v>
      </c>
      <c r="BP40" s="141" t="s">
        <v>2401</v>
      </c>
      <c r="BQ40" s="141" t="s">
        <v>2402</v>
      </c>
      <c r="BR40" s="141" t="s">
        <v>2403</v>
      </c>
      <c r="BS40" s="141" t="s">
        <v>2404</v>
      </c>
      <c r="BT40" s="141" t="s">
        <v>2405</v>
      </c>
      <c r="BU40" s="141" t="s">
        <v>2406</v>
      </c>
      <c r="BV40" s="141" t="s">
        <v>2390</v>
      </c>
      <c r="BW40" s="141" t="s">
        <v>2391</v>
      </c>
      <c r="BX40" s="141" t="s">
        <v>2392</v>
      </c>
      <c r="BY40" s="141" t="s">
        <v>2393</v>
      </c>
      <c r="BZ40" s="141" t="s">
        <v>2407</v>
      </c>
      <c r="CA40" s="141" t="s">
        <v>2408</v>
      </c>
      <c r="CB40" s="141" t="s">
        <v>2409</v>
      </c>
      <c r="CC40" s="141" t="s">
        <v>2410</v>
      </c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</row>
    <row r="41" spans="1:95" s="7" customFormat="1" x14ac:dyDescent="0.25">
      <c r="A41" s="19" t="s">
        <v>2298</v>
      </c>
      <c r="B41" s="19" t="s">
        <v>2299</v>
      </c>
      <c r="C41" s="19">
        <v>96101416</v>
      </c>
      <c r="D41" s="20">
        <v>96101416</v>
      </c>
      <c r="E41" s="21" t="s">
        <v>1860</v>
      </c>
      <c r="F41" s="21" t="s">
        <v>2318</v>
      </c>
      <c r="G41" s="21" t="s">
        <v>332</v>
      </c>
      <c r="H41" s="21" t="s">
        <v>234</v>
      </c>
      <c r="I41" s="21" t="s">
        <v>254</v>
      </c>
      <c r="J41" s="21" t="s">
        <v>2070</v>
      </c>
      <c r="K41" s="21" t="s">
        <v>2325</v>
      </c>
      <c r="L41" s="21" t="s">
        <v>2068</v>
      </c>
      <c r="M41" s="19" t="s">
        <v>2334</v>
      </c>
      <c r="N41" s="19"/>
      <c r="O41" s="35">
        <v>60</v>
      </c>
      <c r="P41" s="35">
        <v>30</v>
      </c>
      <c r="Q41" s="32"/>
      <c r="R41" s="22">
        <v>20</v>
      </c>
      <c r="S41" s="22">
        <v>20</v>
      </c>
      <c r="T41" s="22">
        <v>20</v>
      </c>
      <c r="U41" s="22">
        <v>10</v>
      </c>
      <c r="V41" s="60">
        <f t="shared" si="7"/>
        <v>70</v>
      </c>
      <c r="W41" s="86"/>
      <c r="X41" s="86">
        <v>12</v>
      </c>
      <c r="Y41" s="86">
        <v>58</v>
      </c>
      <c r="Z41" s="86"/>
      <c r="AA41" s="86">
        <v>70</v>
      </c>
      <c r="AB41" s="21"/>
      <c r="AC41" s="21"/>
      <c r="AD41" s="21"/>
      <c r="AE41" s="77"/>
      <c r="AF41" s="21"/>
      <c r="AG41" s="77"/>
      <c r="AH41" s="21"/>
      <c r="AI41" s="21"/>
      <c r="AJ41" s="21"/>
      <c r="AK41" s="21"/>
      <c r="AL41" s="21">
        <v>4</v>
      </c>
      <c r="AM41" s="21">
        <v>4</v>
      </c>
      <c r="AN41" s="77"/>
      <c r="AO41" s="21">
        <v>4</v>
      </c>
      <c r="AP41" s="21"/>
      <c r="AQ41" s="21"/>
      <c r="AR41" s="21"/>
      <c r="AS41" s="21"/>
      <c r="AT41" s="21"/>
      <c r="AU41" s="77"/>
      <c r="AV41" s="21">
        <v>5</v>
      </c>
      <c r="AW41" s="21">
        <v>5</v>
      </c>
      <c r="AX41" s="21">
        <v>3</v>
      </c>
      <c r="AY41" s="21">
        <v>8</v>
      </c>
      <c r="AZ41" s="21">
        <v>8</v>
      </c>
      <c r="BA41" s="21">
        <v>8</v>
      </c>
      <c r="BB41" s="77"/>
      <c r="BC41" s="21">
        <v>5</v>
      </c>
      <c r="BD41" s="21">
        <v>9</v>
      </c>
      <c r="BE41" s="21">
        <v>7</v>
      </c>
      <c r="BF41" s="144">
        <f t="shared" si="6"/>
        <v>70</v>
      </c>
      <c r="BG41" s="94">
        <f t="shared" si="5"/>
        <v>0</v>
      </c>
      <c r="BH41" s="26"/>
      <c r="BJ41" s="141">
        <v>96101416</v>
      </c>
      <c r="BK41" s="141" t="s">
        <v>2334</v>
      </c>
      <c r="BL41" s="141" t="s">
        <v>2386</v>
      </c>
      <c r="BM41" s="141" t="s">
        <v>2387</v>
      </c>
      <c r="BN41" s="141" t="s">
        <v>2399</v>
      </c>
      <c r="BO41" s="141" t="s">
        <v>2400</v>
      </c>
      <c r="BP41" s="141" t="s">
        <v>2401</v>
      </c>
      <c r="BQ41" s="141" t="s">
        <v>2402</v>
      </c>
      <c r="BR41" s="141" t="s">
        <v>2403</v>
      </c>
      <c r="BS41" s="141" t="s">
        <v>2404</v>
      </c>
      <c r="BT41" s="141" t="s">
        <v>2405</v>
      </c>
      <c r="BU41" s="141" t="s">
        <v>2406</v>
      </c>
      <c r="BV41" s="141" t="s">
        <v>2390</v>
      </c>
      <c r="BW41" s="141" t="s">
        <v>2391</v>
      </c>
      <c r="BX41" s="141" t="s">
        <v>2392</v>
      </c>
      <c r="BY41" s="141" t="s">
        <v>2393</v>
      </c>
      <c r="BZ41" s="141" t="s">
        <v>2407</v>
      </c>
      <c r="CA41" s="141" t="s">
        <v>2408</v>
      </c>
      <c r="CB41" s="141" t="s">
        <v>2409</v>
      </c>
      <c r="CC41" s="141" t="s">
        <v>2411</v>
      </c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  <c r="CP41" s="142"/>
      <c r="CQ41" s="142"/>
    </row>
    <row r="42" spans="1:95" s="7" customFormat="1" x14ac:dyDescent="0.25">
      <c r="A42" s="19" t="s">
        <v>2298</v>
      </c>
      <c r="B42" s="19" t="s">
        <v>2299</v>
      </c>
      <c r="C42" s="19">
        <v>96201436</v>
      </c>
      <c r="D42" s="20" t="s">
        <v>2302</v>
      </c>
      <c r="E42" s="21" t="s">
        <v>1860</v>
      </c>
      <c r="F42" s="21" t="s">
        <v>2320</v>
      </c>
      <c r="G42" s="21" t="s">
        <v>332</v>
      </c>
      <c r="H42" s="21" t="s">
        <v>234</v>
      </c>
      <c r="I42" s="21" t="s">
        <v>254</v>
      </c>
      <c r="J42" s="21" t="s">
        <v>2083</v>
      </c>
      <c r="K42" s="21" t="s">
        <v>2325</v>
      </c>
      <c r="L42" s="21" t="s">
        <v>2068</v>
      </c>
      <c r="M42" s="19" t="s">
        <v>2335</v>
      </c>
      <c r="N42" s="19"/>
      <c r="O42" s="35">
        <v>10</v>
      </c>
      <c r="P42" s="35">
        <v>10</v>
      </c>
      <c r="Q42" s="32"/>
      <c r="R42" s="22">
        <v>5</v>
      </c>
      <c r="S42" s="22">
        <v>5</v>
      </c>
      <c r="T42" s="22">
        <v>5</v>
      </c>
      <c r="U42" s="22">
        <v>5</v>
      </c>
      <c r="V42" s="60">
        <f t="shared" si="7"/>
        <v>20</v>
      </c>
      <c r="W42" s="86"/>
      <c r="X42" s="86">
        <v>20</v>
      </c>
      <c r="Y42" s="86"/>
      <c r="Z42" s="86"/>
      <c r="AA42" s="86">
        <v>20</v>
      </c>
      <c r="AB42" s="21"/>
      <c r="AC42" s="21"/>
      <c r="AD42" s="21"/>
      <c r="AE42" s="77"/>
      <c r="AF42" s="21"/>
      <c r="AG42" s="77"/>
      <c r="AH42" s="21"/>
      <c r="AI42" s="21"/>
      <c r="AJ42" s="21"/>
      <c r="AK42" s="21"/>
      <c r="AL42" s="21"/>
      <c r="AM42" s="21">
        <v>4</v>
      </c>
      <c r="AN42" s="77"/>
      <c r="AO42" s="21">
        <v>4</v>
      </c>
      <c r="AP42" s="21">
        <v>4</v>
      </c>
      <c r="AQ42" s="21">
        <v>4</v>
      </c>
      <c r="AR42" s="21">
        <v>4</v>
      </c>
      <c r="AS42" s="21"/>
      <c r="AT42" s="21"/>
      <c r="AU42" s="77"/>
      <c r="AV42" s="21"/>
      <c r="AW42" s="21"/>
      <c r="AX42" s="21"/>
      <c r="AY42" s="21"/>
      <c r="AZ42" s="21"/>
      <c r="BA42" s="21"/>
      <c r="BB42" s="77"/>
      <c r="BC42" s="21"/>
      <c r="BD42" s="21"/>
      <c r="BE42" s="21"/>
      <c r="BF42" s="144">
        <f t="shared" si="6"/>
        <v>20</v>
      </c>
      <c r="BG42" s="94">
        <f t="shared" si="5"/>
        <v>0</v>
      </c>
      <c r="BH42" s="26"/>
      <c r="BJ42" s="141" t="s">
        <v>2302</v>
      </c>
      <c r="BK42" s="141" t="s">
        <v>2412</v>
      </c>
      <c r="BL42" s="141" t="s">
        <v>2386</v>
      </c>
      <c r="BM42" s="141" t="s">
        <v>2387</v>
      </c>
      <c r="BN42" s="141" t="s">
        <v>2399</v>
      </c>
      <c r="BO42" s="141" t="s">
        <v>2400</v>
      </c>
      <c r="BP42" s="141" t="s">
        <v>2401</v>
      </c>
      <c r="BQ42" s="141" t="s">
        <v>2402</v>
      </c>
      <c r="BR42" s="141" t="s">
        <v>2403</v>
      </c>
      <c r="BS42" s="141" t="s">
        <v>2404</v>
      </c>
      <c r="BT42" s="141" t="s">
        <v>2405</v>
      </c>
      <c r="BU42" s="141" t="s">
        <v>2406</v>
      </c>
      <c r="BV42" s="141" t="s">
        <v>2390</v>
      </c>
      <c r="BW42" s="141" t="s">
        <v>2391</v>
      </c>
      <c r="BX42" s="141" t="s">
        <v>2392</v>
      </c>
      <c r="BY42" s="141" t="s">
        <v>2393</v>
      </c>
      <c r="BZ42" s="141" t="s">
        <v>2407</v>
      </c>
      <c r="CA42" s="141" t="s">
        <v>2408</v>
      </c>
      <c r="CB42" s="141" t="s">
        <v>2409</v>
      </c>
      <c r="CC42" s="141" t="s">
        <v>2410</v>
      </c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42"/>
      <c r="CQ42" s="142"/>
    </row>
    <row r="43" spans="1:95" s="7" customFormat="1" x14ac:dyDescent="0.25">
      <c r="A43" s="19" t="s">
        <v>2298</v>
      </c>
      <c r="B43" s="19" t="s">
        <v>2299</v>
      </c>
      <c r="C43" s="19">
        <v>96201437</v>
      </c>
      <c r="D43" s="20" t="s">
        <v>2302</v>
      </c>
      <c r="E43" s="21" t="s">
        <v>1860</v>
      </c>
      <c r="F43" s="21" t="s">
        <v>2320</v>
      </c>
      <c r="G43" s="21" t="s">
        <v>332</v>
      </c>
      <c r="H43" s="21" t="s">
        <v>2319</v>
      </c>
      <c r="I43" s="21" t="s">
        <v>254</v>
      </c>
      <c r="J43" s="21" t="s">
        <v>2083</v>
      </c>
      <c r="K43" s="21" t="s">
        <v>2325</v>
      </c>
      <c r="L43" s="21" t="s">
        <v>2068</v>
      </c>
      <c r="M43" s="19" t="s">
        <v>2336</v>
      </c>
      <c r="N43" s="19"/>
      <c r="O43" s="35">
        <v>5</v>
      </c>
      <c r="P43" s="35">
        <v>5</v>
      </c>
      <c r="Q43" s="32"/>
      <c r="R43" s="22">
        <v>5</v>
      </c>
      <c r="S43" s="22">
        <v>5</v>
      </c>
      <c r="T43" s="22">
        <v>5</v>
      </c>
      <c r="U43" s="22">
        <v>4</v>
      </c>
      <c r="V43" s="60">
        <f t="shared" si="7"/>
        <v>19</v>
      </c>
      <c r="W43" s="86"/>
      <c r="X43" s="86">
        <v>19</v>
      </c>
      <c r="Y43" s="86"/>
      <c r="Z43" s="86"/>
      <c r="AA43" s="86">
        <v>19</v>
      </c>
      <c r="AB43" s="21"/>
      <c r="AC43" s="21"/>
      <c r="AD43" s="21"/>
      <c r="AE43" s="77"/>
      <c r="AF43" s="21"/>
      <c r="AG43" s="77"/>
      <c r="AH43" s="21"/>
      <c r="AI43" s="21"/>
      <c r="AJ43" s="21"/>
      <c r="AK43" s="21"/>
      <c r="AL43" s="21"/>
      <c r="AM43" s="21"/>
      <c r="AN43" s="77"/>
      <c r="AO43" s="21"/>
      <c r="AP43" s="21">
        <v>3</v>
      </c>
      <c r="AQ43" s="21">
        <v>3</v>
      </c>
      <c r="AR43" s="21">
        <v>6</v>
      </c>
      <c r="AS43" s="21"/>
      <c r="AT43" s="21">
        <v>7</v>
      </c>
      <c r="AU43" s="77"/>
      <c r="AV43" s="21"/>
      <c r="AW43" s="21"/>
      <c r="AX43" s="21"/>
      <c r="AY43" s="21"/>
      <c r="AZ43" s="21"/>
      <c r="BA43" s="21"/>
      <c r="BB43" s="77"/>
      <c r="BC43" s="21"/>
      <c r="BD43" s="21"/>
      <c r="BE43" s="21"/>
      <c r="BF43" s="144">
        <f t="shared" si="6"/>
        <v>19</v>
      </c>
      <c r="BG43" s="94">
        <f t="shared" si="5"/>
        <v>0</v>
      </c>
      <c r="BH43" s="26"/>
      <c r="BJ43" s="141" t="s">
        <v>2302</v>
      </c>
      <c r="BK43" s="141" t="s">
        <v>2412</v>
      </c>
      <c r="BL43" s="141" t="s">
        <v>2386</v>
      </c>
      <c r="BM43" s="141" t="s">
        <v>2387</v>
      </c>
      <c r="BN43" s="141" t="s">
        <v>2399</v>
      </c>
      <c r="BO43" s="141" t="s">
        <v>2400</v>
      </c>
      <c r="BP43" s="141" t="s">
        <v>2401</v>
      </c>
      <c r="BQ43" s="141" t="s">
        <v>2402</v>
      </c>
      <c r="BR43" s="141" t="s">
        <v>2403</v>
      </c>
      <c r="BS43" s="141" t="s">
        <v>2404</v>
      </c>
      <c r="BT43" s="141" t="s">
        <v>2405</v>
      </c>
      <c r="BU43" s="141" t="s">
        <v>2406</v>
      </c>
      <c r="BV43" s="141" t="s">
        <v>2390</v>
      </c>
      <c r="BW43" s="141" t="s">
        <v>2391</v>
      </c>
      <c r="BX43" s="141" t="s">
        <v>2392</v>
      </c>
      <c r="BY43" s="141" t="s">
        <v>2393</v>
      </c>
      <c r="BZ43" s="141" t="s">
        <v>2407</v>
      </c>
      <c r="CA43" s="141" t="s">
        <v>2408</v>
      </c>
      <c r="CB43" s="141" t="s">
        <v>2409</v>
      </c>
      <c r="CC43" s="141" t="s">
        <v>2410</v>
      </c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</row>
    <row r="44" spans="1:95" s="7" customFormat="1" x14ac:dyDescent="0.25">
      <c r="A44" s="19" t="s">
        <v>2298</v>
      </c>
      <c r="B44" s="19" t="s">
        <v>2299</v>
      </c>
      <c r="C44" s="19">
        <v>96201426</v>
      </c>
      <c r="D44" s="20">
        <v>96201426</v>
      </c>
      <c r="E44" s="21" t="s">
        <v>1860</v>
      </c>
      <c r="F44" s="21" t="s">
        <v>2320</v>
      </c>
      <c r="G44" s="21" t="s">
        <v>332</v>
      </c>
      <c r="H44" s="21" t="s">
        <v>234</v>
      </c>
      <c r="I44" s="21" t="s">
        <v>254</v>
      </c>
      <c r="J44" s="21" t="s">
        <v>2070</v>
      </c>
      <c r="K44" s="21" t="s">
        <v>2325</v>
      </c>
      <c r="L44" s="21" t="s">
        <v>2068</v>
      </c>
      <c r="M44" s="19" t="s">
        <v>2337</v>
      </c>
      <c r="N44" s="19"/>
      <c r="O44" s="35">
        <v>40</v>
      </c>
      <c r="P44" s="35">
        <v>20</v>
      </c>
      <c r="Q44" s="32"/>
      <c r="R44" s="22">
        <v>10</v>
      </c>
      <c r="S44" s="22">
        <v>5</v>
      </c>
      <c r="T44" s="22">
        <v>10</v>
      </c>
      <c r="U44" s="22">
        <v>15</v>
      </c>
      <c r="V44" s="60">
        <f t="shared" si="7"/>
        <v>40</v>
      </c>
      <c r="W44" s="86"/>
      <c r="X44" s="86">
        <v>35</v>
      </c>
      <c r="Y44" s="86"/>
      <c r="Z44" s="86"/>
      <c r="AA44" s="86">
        <v>35</v>
      </c>
      <c r="AB44" s="21"/>
      <c r="AC44" s="21"/>
      <c r="AD44" s="21"/>
      <c r="AE44" s="77"/>
      <c r="AF44" s="21"/>
      <c r="AG44" s="77"/>
      <c r="AH44" s="21"/>
      <c r="AI44" s="21"/>
      <c r="AJ44" s="21"/>
      <c r="AK44" s="21"/>
      <c r="AL44" s="21">
        <v>7</v>
      </c>
      <c r="AM44" s="21">
        <v>7</v>
      </c>
      <c r="AN44" s="77"/>
      <c r="AO44" s="21">
        <v>7</v>
      </c>
      <c r="AP44" s="21">
        <v>7</v>
      </c>
      <c r="AQ44" s="21">
        <v>7</v>
      </c>
      <c r="AR44" s="21"/>
      <c r="AS44" s="21"/>
      <c r="AT44" s="21"/>
      <c r="AU44" s="77"/>
      <c r="AV44" s="21"/>
      <c r="AW44" s="21"/>
      <c r="AX44" s="21"/>
      <c r="AY44" s="21"/>
      <c r="AZ44" s="21"/>
      <c r="BA44" s="21"/>
      <c r="BB44" s="77"/>
      <c r="BC44" s="21"/>
      <c r="BD44" s="21"/>
      <c r="BE44" s="21"/>
      <c r="BF44" s="144">
        <f t="shared" si="6"/>
        <v>35</v>
      </c>
      <c r="BG44" s="94">
        <f t="shared" si="5"/>
        <v>0</v>
      </c>
      <c r="BH44" s="26"/>
      <c r="BJ44" s="141">
        <v>96201426</v>
      </c>
      <c r="BK44" s="141" t="s">
        <v>2337</v>
      </c>
      <c r="BL44" s="141" t="s">
        <v>2386</v>
      </c>
      <c r="BM44" s="141" t="s">
        <v>2387</v>
      </c>
      <c r="BN44" s="141" t="s">
        <v>2399</v>
      </c>
      <c r="BO44" s="141" t="s">
        <v>2400</v>
      </c>
      <c r="BP44" s="141" t="s">
        <v>2401</v>
      </c>
      <c r="BQ44" s="141" t="s">
        <v>2402</v>
      </c>
      <c r="BR44" s="141" t="s">
        <v>2403</v>
      </c>
      <c r="BS44" s="141" t="s">
        <v>2404</v>
      </c>
      <c r="BT44" s="141" t="s">
        <v>2405</v>
      </c>
      <c r="BU44" s="141" t="s">
        <v>2406</v>
      </c>
      <c r="BV44" s="141" t="s">
        <v>2390</v>
      </c>
      <c r="BW44" s="141" t="s">
        <v>2391</v>
      </c>
      <c r="BX44" s="141" t="s">
        <v>2392</v>
      </c>
      <c r="BY44" s="141" t="s">
        <v>2393</v>
      </c>
      <c r="BZ44" s="141" t="s">
        <v>2407</v>
      </c>
      <c r="CA44" s="141" t="s">
        <v>2408</v>
      </c>
      <c r="CB44" s="141" t="s">
        <v>2409</v>
      </c>
      <c r="CC44" s="141" t="s">
        <v>2411</v>
      </c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42"/>
      <c r="CQ44" s="142"/>
    </row>
    <row r="45" spans="1:95" s="7" customFormat="1" x14ac:dyDescent="0.25">
      <c r="A45" s="19" t="s">
        <v>2298</v>
      </c>
      <c r="B45" s="19" t="s">
        <v>2299</v>
      </c>
      <c r="C45" s="19">
        <v>96101567</v>
      </c>
      <c r="D45" s="20">
        <v>96101567</v>
      </c>
      <c r="E45" s="21" t="s">
        <v>1860</v>
      </c>
      <c r="F45" s="21" t="s">
        <v>2318</v>
      </c>
      <c r="G45" s="21" t="s">
        <v>332</v>
      </c>
      <c r="H45" s="21" t="s">
        <v>2319</v>
      </c>
      <c r="I45" s="21" t="s">
        <v>254</v>
      </c>
      <c r="J45" s="21" t="s">
        <v>2070</v>
      </c>
      <c r="K45" s="21" t="s">
        <v>2325</v>
      </c>
      <c r="L45" s="21" t="s">
        <v>2068</v>
      </c>
      <c r="M45" s="19" t="s">
        <v>2338</v>
      </c>
      <c r="N45" s="19"/>
      <c r="O45" s="35">
        <v>5</v>
      </c>
      <c r="P45" s="35">
        <v>5</v>
      </c>
      <c r="Q45" s="32"/>
      <c r="R45" s="22">
        <v>3</v>
      </c>
      <c r="S45" s="22">
        <v>2</v>
      </c>
      <c r="T45" s="22">
        <v>3</v>
      </c>
      <c r="U45" s="22">
        <v>2</v>
      </c>
      <c r="V45" s="60">
        <f t="shared" si="7"/>
        <v>10</v>
      </c>
      <c r="W45" s="86"/>
      <c r="X45" s="86"/>
      <c r="Y45" s="86"/>
      <c r="Z45" s="86">
        <v>10</v>
      </c>
      <c r="AA45" s="86">
        <v>10</v>
      </c>
      <c r="AB45" s="21"/>
      <c r="AC45" s="21"/>
      <c r="AD45" s="21"/>
      <c r="AE45" s="77"/>
      <c r="AF45" s="21"/>
      <c r="AG45" s="77"/>
      <c r="AH45" s="21"/>
      <c r="AI45" s="21"/>
      <c r="AJ45" s="21"/>
      <c r="AK45" s="21"/>
      <c r="AL45" s="21"/>
      <c r="AM45" s="21"/>
      <c r="AN45" s="77"/>
      <c r="AO45" s="21"/>
      <c r="AP45" s="21"/>
      <c r="AQ45" s="21"/>
      <c r="AR45" s="21"/>
      <c r="AS45" s="21"/>
      <c r="AT45" s="21"/>
      <c r="AU45" s="77"/>
      <c r="AV45" s="21"/>
      <c r="AW45" s="21"/>
      <c r="AX45" s="21">
        <v>2</v>
      </c>
      <c r="AY45" s="21">
        <v>2</v>
      </c>
      <c r="AZ45" s="21">
        <v>2</v>
      </c>
      <c r="BA45" s="21">
        <v>2</v>
      </c>
      <c r="BB45" s="77"/>
      <c r="BC45" s="21"/>
      <c r="BD45" s="21"/>
      <c r="BE45" s="21">
        <v>2</v>
      </c>
      <c r="BF45" s="144">
        <f t="shared" si="6"/>
        <v>10</v>
      </c>
      <c r="BG45" s="94">
        <f t="shared" si="5"/>
        <v>0</v>
      </c>
      <c r="BH45" s="26"/>
      <c r="BJ45" s="141">
        <v>96101567</v>
      </c>
      <c r="BK45" s="141" t="s">
        <v>2338</v>
      </c>
      <c r="BL45" s="141" t="s">
        <v>2386</v>
      </c>
      <c r="BM45" s="141" t="s">
        <v>2387</v>
      </c>
      <c r="BN45" s="141" t="s">
        <v>2413</v>
      </c>
      <c r="BO45" s="141" t="s">
        <v>2414</v>
      </c>
      <c r="BP45" s="141" t="s">
        <v>2401</v>
      </c>
      <c r="BQ45" s="141" t="s">
        <v>2402</v>
      </c>
      <c r="BR45" s="141" t="s">
        <v>2403</v>
      </c>
      <c r="BS45" s="141" t="s">
        <v>2404</v>
      </c>
      <c r="BT45" s="141" t="s">
        <v>2415</v>
      </c>
      <c r="BU45" s="141" t="s">
        <v>2406</v>
      </c>
      <c r="BV45" s="141" t="s">
        <v>2390</v>
      </c>
      <c r="BW45" s="141" t="s">
        <v>2391</v>
      </c>
      <c r="BX45" s="141" t="s">
        <v>2392</v>
      </c>
      <c r="BY45" s="141" t="s">
        <v>2393</v>
      </c>
      <c r="BZ45" s="141" t="s">
        <v>2416</v>
      </c>
      <c r="CA45" s="141" t="s">
        <v>2417</v>
      </c>
      <c r="CB45" s="141" t="s">
        <v>2418</v>
      </c>
      <c r="CC45" s="141" t="s">
        <v>2411</v>
      </c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</row>
    <row r="46" spans="1:95" s="7" customFormat="1" x14ac:dyDescent="0.25">
      <c r="A46" s="19" t="s">
        <v>2298</v>
      </c>
      <c r="B46" s="19" t="s">
        <v>2299</v>
      </c>
      <c r="C46" s="19">
        <v>96101568</v>
      </c>
      <c r="D46" s="20" t="s">
        <v>2303</v>
      </c>
      <c r="E46" s="21" t="s">
        <v>1860</v>
      </c>
      <c r="F46" s="21" t="s">
        <v>2318</v>
      </c>
      <c r="G46" s="21" t="s">
        <v>332</v>
      </c>
      <c r="H46" s="21" t="s">
        <v>234</v>
      </c>
      <c r="I46" s="21" t="s">
        <v>254</v>
      </c>
      <c r="J46" s="21" t="s">
        <v>2083</v>
      </c>
      <c r="K46" s="21" t="s">
        <v>2325</v>
      </c>
      <c r="L46" s="21" t="s">
        <v>2068</v>
      </c>
      <c r="M46" s="19" t="s">
        <v>2339</v>
      </c>
      <c r="N46" s="19"/>
      <c r="O46" s="35">
        <v>10</v>
      </c>
      <c r="P46" s="35">
        <v>5</v>
      </c>
      <c r="Q46" s="32"/>
      <c r="R46" s="22">
        <v>15</v>
      </c>
      <c r="S46" s="22">
        <v>5</v>
      </c>
      <c r="T46" s="22">
        <v>5</v>
      </c>
      <c r="U46" s="22">
        <v>5</v>
      </c>
      <c r="V46" s="60">
        <f t="shared" si="7"/>
        <v>30</v>
      </c>
      <c r="W46" s="86"/>
      <c r="X46" s="86"/>
      <c r="Y46" s="86">
        <v>10</v>
      </c>
      <c r="Z46" s="86">
        <v>20</v>
      </c>
      <c r="AA46" s="86">
        <v>30</v>
      </c>
      <c r="AB46" s="21"/>
      <c r="AC46" s="21"/>
      <c r="AD46" s="21"/>
      <c r="AE46" s="77"/>
      <c r="AF46" s="21"/>
      <c r="AG46" s="77"/>
      <c r="AH46" s="21"/>
      <c r="AI46" s="21"/>
      <c r="AJ46" s="21"/>
      <c r="AK46" s="21"/>
      <c r="AL46" s="21"/>
      <c r="AM46" s="21"/>
      <c r="AN46" s="77"/>
      <c r="AO46" s="21"/>
      <c r="AP46" s="21"/>
      <c r="AQ46" s="21"/>
      <c r="AR46" s="21"/>
      <c r="AS46" s="21"/>
      <c r="AT46" s="21"/>
      <c r="AU46" s="77"/>
      <c r="AV46" s="21">
        <v>6</v>
      </c>
      <c r="AW46" s="21">
        <v>4</v>
      </c>
      <c r="AX46" s="21">
        <v>3</v>
      </c>
      <c r="AY46" s="21">
        <v>3</v>
      </c>
      <c r="AZ46" s="21">
        <v>2</v>
      </c>
      <c r="BA46" s="21">
        <v>3</v>
      </c>
      <c r="BB46" s="77"/>
      <c r="BC46" s="21">
        <v>3</v>
      </c>
      <c r="BD46" s="21">
        <v>3</v>
      </c>
      <c r="BE46" s="21">
        <v>3</v>
      </c>
      <c r="BF46" s="144">
        <f t="shared" si="6"/>
        <v>30</v>
      </c>
      <c r="BG46" s="94">
        <f t="shared" si="5"/>
        <v>0</v>
      </c>
      <c r="BH46" s="26"/>
      <c r="BJ46" s="141" t="s">
        <v>2303</v>
      </c>
      <c r="BK46" s="141" t="s">
        <v>2419</v>
      </c>
      <c r="BL46" s="141" t="s">
        <v>2386</v>
      </c>
      <c r="BM46" s="141" t="s">
        <v>2387</v>
      </c>
      <c r="BN46" s="141" t="s">
        <v>2413</v>
      </c>
      <c r="BO46" s="141" t="s">
        <v>2414</v>
      </c>
      <c r="BP46" s="141" t="s">
        <v>2401</v>
      </c>
      <c r="BQ46" s="141" t="s">
        <v>2402</v>
      </c>
      <c r="BR46" s="141" t="s">
        <v>2403</v>
      </c>
      <c r="BS46" s="141" t="s">
        <v>2404</v>
      </c>
      <c r="BT46" s="141" t="s">
        <v>2415</v>
      </c>
      <c r="BU46" s="141" t="s">
        <v>2406</v>
      </c>
      <c r="BV46" s="141" t="s">
        <v>2390</v>
      </c>
      <c r="BW46" s="141" t="s">
        <v>2391</v>
      </c>
      <c r="BX46" s="141" t="s">
        <v>2392</v>
      </c>
      <c r="BY46" s="141" t="s">
        <v>2393</v>
      </c>
      <c r="BZ46" s="141" t="s">
        <v>2416</v>
      </c>
      <c r="CA46" s="141" t="s">
        <v>2417</v>
      </c>
      <c r="CB46" s="141" t="s">
        <v>2418</v>
      </c>
      <c r="CC46" s="141" t="s">
        <v>2410</v>
      </c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</row>
    <row r="47" spans="1:95" s="7" customFormat="1" x14ac:dyDescent="0.25">
      <c r="A47" s="19" t="s">
        <v>2298</v>
      </c>
      <c r="B47" s="19" t="s">
        <v>2299</v>
      </c>
      <c r="C47" s="19">
        <v>96101569</v>
      </c>
      <c r="D47" s="20" t="s">
        <v>2303</v>
      </c>
      <c r="E47" s="21" t="s">
        <v>1860</v>
      </c>
      <c r="F47" s="21" t="s">
        <v>2318</v>
      </c>
      <c r="G47" s="21" t="s">
        <v>332</v>
      </c>
      <c r="H47" s="21" t="s">
        <v>2319</v>
      </c>
      <c r="I47" s="21" t="s">
        <v>254</v>
      </c>
      <c r="J47" s="21" t="s">
        <v>2083</v>
      </c>
      <c r="K47" s="21" t="s">
        <v>2325</v>
      </c>
      <c r="L47" s="21" t="s">
        <v>2068</v>
      </c>
      <c r="M47" s="19" t="s">
        <v>2340</v>
      </c>
      <c r="N47" s="19"/>
      <c r="O47" s="35">
        <v>5</v>
      </c>
      <c r="P47" s="35">
        <v>5</v>
      </c>
      <c r="Q47" s="32"/>
      <c r="R47" s="22">
        <v>3</v>
      </c>
      <c r="S47" s="22">
        <v>2</v>
      </c>
      <c r="T47" s="22">
        <v>3</v>
      </c>
      <c r="U47" s="22">
        <v>2</v>
      </c>
      <c r="V47" s="60">
        <f t="shared" si="7"/>
        <v>10</v>
      </c>
      <c r="W47" s="86"/>
      <c r="X47" s="86"/>
      <c r="Y47" s="86">
        <v>10</v>
      </c>
      <c r="Z47" s="86"/>
      <c r="AA47" s="86">
        <v>10</v>
      </c>
      <c r="AB47" s="21"/>
      <c r="AC47" s="21"/>
      <c r="AD47" s="21"/>
      <c r="AE47" s="77"/>
      <c r="AF47" s="21"/>
      <c r="AG47" s="77"/>
      <c r="AH47" s="21"/>
      <c r="AI47" s="21"/>
      <c r="AJ47" s="21"/>
      <c r="AK47" s="21"/>
      <c r="AL47" s="21"/>
      <c r="AM47" s="21"/>
      <c r="AN47" s="77"/>
      <c r="AO47" s="21"/>
      <c r="AP47" s="21"/>
      <c r="AQ47" s="21"/>
      <c r="AR47" s="21"/>
      <c r="AS47" s="21"/>
      <c r="AT47" s="21"/>
      <c r="AU47" s="77"/>
      <c r="AV47" s="21">
        <v>5</v>
      </c>
      <c r="AW47" s="21">
        <v>5</v>
      </c>
      <c r="AX47" s="21"/>
      <c r="AY47" s="21"/>
      <c r="AZ47" s="21"/>
      <c r="BA47" s="21"/>
      <c r="BB47" s="77"/>
      <c r="BC47" s="21"/>
      <c r="BD47" s="21"/>
      <c r="BE47" s="21"/>
      <c r="BF47" s="144">
        <f t="shared" si="6"/>
        <v>10</v>
      </c>
      <c r="BG47" s="94">
        <f t="shared" si="5"/>
        <v>0</v>
      </c>
      <c r="BH47" s="26"/>
      <c r="BJ47" s="141" t="s">
        <v>2303</v>
      </c>
      <c r="BK47" s="141" t="s">
        <v>2419</v>
      </c>
      <c r="BL47" s="141" t="s">
        <v>2386</v>
      </c>
      <c r="BM47" s="141" t="s">
        <v>2387</v>
      </c>
      <c r="BN47" s="141" t="s">
        <v>2413</v>
      </c>
      <c r="BO47" s="141" t="s">
        <v>2414</v>
      </c>
      <c r="BP47" s="141" t="s">
        <v>2401</v>
      </c>
      <c r="BQ47" s="141" t="s">
        <v>2402</v>
      </c>
      <c r="BR47" s="141" t="s">
        <v>2403</v>
      </c>
      <c r="BS47" s="141" t="s">
        <v>2404</v>
      </c>
      <c r="BT47" s="141" t="s">
        <v>2415</v>
      </c>
      <c r="BU47" s="141" t="s">
        <v>2406</v>
      </c>
      <c r="BV47" s="141" t="s">
        <v>2390</v>
      </c>
      <c r="BW47" s="141" t="s">
        <v>2391</v>
      </c>
      <c r="BX47" s="141" t="s">
        <v>2392</v>
      </c>
      <c r="BY47" s="141" t="s">
        <v>2393</v>
      </c>
      <c r="BZ47" s="141" t="s">
        <v>2416</v>
      </c>
      <c r="CA47" s="141" t="s">
        <v>2417</v>
      </c>
      <c r="CB47" s="141" t="s">
        <v>2418</v>
      </c>
      <c r="CC47" s="141" t="s">
        <v>2410</v>
      </c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  <c r="CP47" s="142"/>
      <c r="CQ47" s="142"/>
    </row>
    <row r="48" spans="1:95" s="7" customFormat="1" x14ac:dyDescent="0.25">
      <c r="A48" s="19" t="s">
        <v>2298</v>
      </c>
      <c r="B48" s="19" t="s">
        <v>2299</v>
      </c>
      <c r="C48" s="19">
        <v>96101531</v>
      </c>
      <c r="D48" s="20" t="s">
        <v>2301</v>
      </c>
      <c r="E48" s="21" t="s">
        <v>1860</v>
      </c>
      <c r="F48" s="21" t="s">
        <v>2318</v>
      </c>
      <c r="G48" s="21" t="s">
        <v>332</v>
      </c>
      <c r="H48" s="21" t="s">
        <v>234</v>
      </c>
      <c r="I48" s="21" t="s">
        <v>254</v>
      </c>
      <c r="J48" s="21" t="s">
        <v>2069</v>
      </c>
      <c r="K48" s="21" t="s">
        <v>2325</v>
      </c>
      <c r="L48" s="21" t="s">
        <v>2068</v>
      </c>
      <c r="M48" s="19" t="s">
        <v>2342</v>
      </c>
      <c r="N48" s="19"/>
      <c r="O48" s="35">
        <v>0</v>
      </c>
      <c r="P48" s="35">
        <v>0</v>
      </c>
      <c r="Q48" s="32"/>
      <c r="R48" s="22">
        <v>0</v>
      </c>
      <c r="S48" s="22">
        <v>0</v>
      </c>
      <c r="T48" s="22">
        <v>0</v>
      </c>
      <c r="U48" s="22">
        <v>5</v>
      </c>
      <c r="V48" s="60">
        <f t="shared" si="7"/>
        <v>5</v>
      </c>
      <c r="W48" s="86"/>
      <c r="X48" s="86">
        <v>5</v>
      </c>
      <c r="Y48" s="86"/>
      <c r="Z48" s="86"/>
      <c r="AA48" s="86">
        <v>5</v>
      </c>
      <c r="AB48" s="21"/>
      <c r="AC48" s="21"/>
      <c r="AD48" s="21"/>
      <c r="AE48" s="77"/>
      <c r="AF48" s="21"/>
      <c r="AG48" s="77"/>
      <c r="AH48" s="21"/>
      <c r="AI48" s="21"/>
      <c r="AJ48" s="21"/>
      <c r="AK48" s="21"/>
      <c r="AL48" s="21"/>
      <c r="AM48" s="21"/>
      <c r="AN48" s="77"/>
      <c r="AO48" s="21"/>
      <c r="AP48" s="21"/>
      <c r="AQ48" s="21"/>
      <c r="AR48" s="21"/>
      <c r="AS48" s="21">
        <v>5</v>
      </c>
      <c r="AT48" s="21"/>
      <c r="AU48" s="77"/>
      <c r="AV48" s="21"/>
      <c r="AW48" s="21"/>
      <c r="AX48" s="21"/>
      <c r="AY48" s="21"/>
      <c r="AZ48" s="21"/>
      <c r="BA48" s="21"/>
      <c r="BB48" s="77"/>
      <c r="BC48" s="21"/>
      <c r="BD48" s="21"/>
      <c r="BE48" s="21"/>
      <c r="BF48" s="144">
        <f t="shared" si="6"/>
        <v>5</v>
      </c>
      <c r="BG48" s="94">
        <f t="shared" si="5"/>
        <v>0</v>
      </c>
      <c r="BH48" s="26"/>
      <c r="BJ48" s="141" t="s">
        <v>2301</v>
      </c>
      <c r="BK48" s="141" t="s">
        <v>2398</v>
      </c>
      <c r="BL48" s="141" t="s">
        <v>2386</v>
      </c>
      <c r="BM48" s="141" t="s">
        <v>2387</v>
      </c>
      <c r="BN48" s="141" t="s">
        <v>2399</v>
      </c>
      <c r="BO48" s="141" t="s">
        <v>2400</v>
      </c>
      <c r="BP48" s="141" t="s">
        <v>2401</v>
      </c>
      <c r="BQ48" s="141" t="s">
        <v>2402</v>
      </c>
      <c r="BR48" s="141" t="s">
        <v>2403</v>
      </c>
      <c r="BS48" s="141" t="s">
        <v>2404</v>
      </c>
      <c r="BT48" s="141" t="s">
        <v>2405</v>
      </c>
      <c r="BU48" s="141" t="s">
        <v>2406</v>
      </c>
      <c r="BV48" s="141" t="s">
        <v>2390</v>
      </c>
      <c r="BW48" s="141" t="s">
        <v>2391</v>
      </c>
      <c r="BX48" s="141" t="s">
        <v>2392</v>
      </c>
      <c r="BY48" s="141" t="s">
        <v>2393</v>
      </c>
      <c r="BZ48" s="141" t="s">
        <v>2407</v>
      </c>
      <c r="CA48" s="141" t="s">
        <v>2408</v>
      </c>
      <c r="CB48" s="141" t="s">
        <v>2409</v>
      </c>
      <c r="CC48" s="141" t="s">
        <v>2410</v>
      </c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  <c r="CP48" s="142"/>
      <c r="CQ48" s="142"/>
    </row>
    <row r="49" spans="1:95" s="7" customFormat="1" x14ac:dyDescent="0.25">
      <c r="A49" s="19" t="s">
        <v>2298</v>
      </c>
      <c r="B49" s="19" t="s">
        <v>2299</v>
      </c>
      <c r="C49" s="19">
        <v>96101566</v>
      </c>
      <c r="D49" s="20">
        <v>96101566</v>
      </c>
      <c r="E49" s="21" t="s">
        <v>1860</v>
      </c>
      <c r="F49" s="21" t="s">
        <v>2318</v>
      </c>
      <c r="G49" s="21" t="s">
        <v>332</v>
      </c>
      <c r="H49" s="21" t="s">
        <v>234</v>
      </c>
      <c r="I49" s="21" t="s">
        <v>254</v>
      </c>
      <c r="J49" s="21" t="s">
        <v>2070</v>
      </c>
      <c r="K49" s="21" t="s">
        <v>2325</v>
      </c>
      <c r="L49" s="21" t="s">
        <v>2068</v>
      </c>
      <c r="M49" s="19" t="s">
        <v>2346</v>
      </c>
      <c r="N49" s="19"/>
      <c r="O49" s="35">
        <v>5</v>
      </c>
      <c r="P49" s="35">
        <v>5</v>
      </c>
      <c r="Q49" s="32"/>
      <c r="R49" s="22">
        <v>5</v>
      </c>
      <c r="S49" s="22">
        <v>3</v>
      </c>
      <c r="T49" s="22">
        <v>5</v>
      </c>
      <c r="U49" s="22">
        <v>2</v>
      </c>
      <c r="V49" s="60">
        <f t="shared" si="7"/>
        <v>15</v>
      </c>
      <c r="W49" s="86"/>
      <c r="X49" s="86"/>
      <c r="Y49" s="86">
        <v>13</v>
      </c>
      <c r="Z49" s="86">
        <v>2</v>
      </c>
      <c r="AA49" s="86">
        <v>15</v>
      </c>
      <c r="AB49" s="21"/>
      <c r="AC49" s="21"/>
      <c r="AD49" s="21"/>
      <c r="AE49" s="77"/>
      <c r="AF49" s="21"/>
      <c r="AG49" s="77"/>
      <c r="AH49" s="21"/>
      <c r="AI49" s="21"/>
      <c r="AJ49" s="21"/>
      <c r="AK49" s="21"/>
      <c r="AL49" s="21"/>
      <c r="AM49" s="21"/>
      <c r="AN49" s="77"/>
      <c r="AO49" s="21"/>
      <c r="AP49" s="21"/>
      <c r="AQ49" s="21"/>
      <c r="AR49" s="21"/>
      <c r="AS49" s="21"/>
      <c r="AT49" s="21"/>
      <c r="AU49" s="77"/>
      <c r="AV49" s="21"/>
      <c r="AW49" s="21"/>
      <c r="AX49" s="21">
        <v>3</v>
      </c>
      <c r="AY49" s="21">
        <v>3</v>
      </c>
      <c r="AZ49" s="21">
        <v>3</v>
      </c>
      <c r="BA49" s="21">
        <v>4</v>
      </c>
      <c r="BB49" s="77"/>
      <c r="BC49" s="21"/>
      <c r="BD49" s="21"/>
      <c r="BE49" s="21">
        <v>2</v>
      </c>
      <c r="BF49" s="144">
        <f t="shared" si="6"/>
        <v>15</v>
      </c>
      <c r="BG49" s="94">
        <f t="shared" si="5"/>
        <v>0</v>
      </c>
      <c r="BH49" s="26"/>
      <c r="BJ49" s="141">
        <v>96101566</v>
      </c>
      <c r="BK49" s="141" t="s">
        <v>2346</v>
      </c>
      <c r="BL49" s="141" t="s">
        <v>2386</v>
      </c>
      <c r="BM49" s="141" t="s">
        <v>2387</v>
      </c>
      <c r="BN49" s="141" t="s">
        <v>2413</v>
      </c>
      <c r="BO49" s="141" t="s">
        <v>2414</v>
      </c>
      <c r="BP49" s="141" t="s">
        <v>2401</v>
      </c>
      <c r="BQ49" s="141" t="s">
        <v>2402</v>
      </c>
      <c r="BR49" s="141" t="s">
        <v>2403</v>
      </c>
      <c r="BS49" s="141" t="s">
        <v>2404</v>
      </c>
      <c r="BT49" s="141" t="s">
        <v>2415</v>
      </c>
      <c r="BU49" s="141" t="s">
        <v>2406</v>
      </c>
      <c r="BV49" s="141" t="s">
        <v>2390</v>
      </c>
      <c r="BW49" s="141" t="s">
        <v>2391</v>
      </c>
      <c r="BX49" s="141" t="s">
        <v>2392</v>
      </c>
      <c r="BY49" s="141" t="s">
        <v>2393</v>
      </c>
      <c r="BZ49" s="141" t="s">
        <v>2416</v>
      </c>
      <c r="CA49" s="141" t="s">
        <v>2417</v>
      </c>
      <c r="CB49" s="141" t="s">
        <v>2418</v>
      </c>
      <c r="CC49" s="141" t="s">
        <v>2411</v>
      </c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  <c r="CP49" s="142"/>
      <c r="CQ49" s="142"/>
    </row>
    <row r="50" spans="1:95" s="7" customFormat="1" x14ac:dyDescent="0.25">
      <c r="A50" s="19" t="s">
        <v>2298</v>
      </c>
      <c r="B50" s="19" t="s">
        <v>2299</v>
      </c>
      <c r="C50" s="19">
        <v>96101417</v>
      </c>
      <c r="D50" s="20">
        <v>96101417</v>
      </c>
      <c r="E50" s="21" t="s">
        <v>1860</v>
      </c>
      <c r="F50" s="21" t="s">
        <v>2318</v>
      </c>
      <c r="G50" s="21" t="s">
        <v>332</v>
      </c>
      <c r="H50" s="21" t="s">
        <v>2319</v>
      </c>
      <c r="I50" s="21" t="s">
        <v>254</v>
      </c>
      <c r="J50" s="21" t="s">
        <v>2070</v>
      </c>
      <c r="K50" s="21" t="s">
        <v>2325</v>
      </c>
      <c r="L50" s="21" t="s">
        <v>2068</v>
      </c>
      <c r="M50" s="19" t="s">
        <v>2347</v>
      </c>
      <c r="N50" s="19"/>
      <c r="O50" s="35">
        <v>10</v>
      </c>
      <c r="P50" s="35">
        <v>10</v>
      </c>
      <c r="Q50" s="32"/>
      <c r="R50" s="22">
        <v>5</v>
      </c>
      <c r="S50" s="22">
        <v>5</v>
      </c>
      <c r="T50" s="22">
        <v>5</v>
      </c>
      <c r="U50" s="22">
        <v>5</v>
      </c>
      <c r="V50" s="60">
        <f t="shared" si="7"/>
        <v>20</v>
      </c>
      <c r="W50" s="86"/>
      <c r="X50" s="86">
        <v>20</v>
      </c>
      <c r="Y50" s="86"/>
      <c r="Z50" s="86"/>
      <c r="AA50" s="86">
        <v>20</v>
      </c>
      <c r="AB50" s="21"/>
      <c r="AC50" s="21"/>
      <c r="AD50" s="21"/>
      <c r="AE50" s="77"/>
      <c r="AF50" s="21"/>
      <c r="AG50" s="77"/>
      <c r="AH50" s="21"/>
      <c r="AI50" s="21"/>
      <c r="AJ50" s="21"/>
      <c r="AK50" s="21"/>
      <c r="AL50" s="21">
        <v>4</v>
      </c>
      <c r="AM50" s="21">
        <v>4</v>
      </c>
      <c r="AN50" s="77"/>
      <c r="AO50" s="21">
        <v>4</v>
      </c>
      <c r="AP50" s="21">
        <v>4</v>
      </c>
      <c r="AQ50" s="21">
        <v>4</v>
      </c>
      <c r="AR50" s="21"/>
      <c r="AS50" s="21"/>
      <c r="AT50" s="21"/>
      <c r="AU50" s="77"/>
      <c r="AV50" s="21"/>
      <c r="AW50" s="21"/>
      <c r="AX50" s="21"/>
      <c r="AY50" s="21"/>
      <c r="AZ50" s="21"/>
      <c r="BA50" s="21"/>
      <c r="BB50" s="77"/>
      <c r="BC50" s="21"/>
      <c r="BD50" s="21"/>
      <c r="BE50" s="21"/>
      <c r="BF50" s="144">
        <f t="shared" si="6"/>
        <v>20</v>
      </c>
      <c r="BG50" s="94">
        <f t="shared" si="5"/>
        <v>0</v>
      </c>
      <c r="BH50" s="26"/>
      <c r="BJ50" s="141">
        <v>96101417</v>
      </c>
      <c r="BK50" s="141" t="s">
        <v>2347</v>
      </c>
      <c r="BL50" s="141" t="s">
        <v>2386</v>
      </c>
      <c r="BM50" s="141" t="s">
        <v>2387</v>
      </c>
      <c r="BN50" s="141" t="s">
        <v>2399</v>
      </c>
      <c r="BO50" s="141" t="s">
        <v>2400</v>
      </c>
      <c r="BP50" s="141" t="s">
        <v>2401</v>
      </c>
      <c r="BQ50" s="141" t="s">
        <v>2402</v>
      </c>
      <c r="BR50" s="141" t="s">
        <v>2403</v>
      </c>
      <c r="BS50" s="141" t="s">
        <v>2404</v>
      </c>
      <c r="BT50" s="141" t="s">
        <v>2405</v>
      </c>
      <c r="BU50" s="141" t="s">
        <v>2406</v>
      </c>
      <c r="BV50" s="141" t="s">
        <v>2390</v>
      </c>
      <c r="BW50" s="141" t="s">
        <v>2391</v>
      </c>
      <c r="BX50" s="141" t="s">
        <v>2392</v>
      </c>
      <c r="BY50" s="141" t="s">
        <v>2393</v>
      </c>
      <c r="BZ50" s="141" t="s">
        <v>2407</v>
      </c>
      <c r="CA50" s="141" t="s">
        <v>2408</v>
      </c>
      <c r="CB50" s="141" t="s">
        <v>2409</v>
      </c>
      <c r="CC50" s="141" t="s">
        <v>2411</v>
      </c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</row>
    <row r="51" spans="1:95" s="7" customFormat="1" x14ac:dyDescent="0.25">
      <c r="A51" s="19" t="s">
        <v>2298</v>
      </c>
      <c r="B51" s="19" t="s">
        <v>2299</v>
      </c>
      <c r="C51" s="19">
        <v>96201435</v>
      </c>
      <c r="D51" s="20">
        <v>96201435</v>
      </c>
      <c r="E51" s="21" t="s">
        <v>1860</v>
      </c>
      <c r="F51" s="21" t="s">
        <v>2320</v>
      </c>
      <c r="G51" s="21" t="s">
        <v>332</v>
      </c>
      <c r="H51" s="21" t="s">
        <v>2319</v>
      </c>
      <c r="I51" s="21" t="s">
        <v>254</v>
      </c>
      <c r="J51" s="21" t="s">
        <v>2070</v>
      </c>
      <c r="K51" s="21" t="s">
        <v>2325</v>
      </c>
      <c r="L51" s="21" t="s">
        <v>2068</v>
      </c>
      <c r="M51" s="19" t="s">
        <v>2348</v>
      </c>
      <c r="N51" s="19"/>
      <c r="O51" s="35">
        <v>20</v>
      </c>
      <c r="P51" s="35">
        <v>10</v>
      </c>
      <c r="Q51" s="32"/>
      <c r="R51" s="22">
        <v>10</v>
      </c>
      <c r="S51" s="22">
        <v>5</v>
      </c>
      <c r="T51" s="22">
        <v>5</v>
      </c>
      <c r="U51" s="22">
        <v>15</v>
      </c>
      <c r="V51" s="60">
        <f t="shared" si="7"/>
        <v>35</v>
      </c>
      <c r="W51" s="86"/>
      <c r="X51" s="86">
        <v>35</v>
      </c>
      <c r="Y51" s="86"/>
      <c r="Z51" s="86"/>
      <c r="AA51" s="86">
        <v>35</v>
      </c>
      <c r="AB51" s="21"/>
      <c r="AC51" s="21"/>
      <c r="AD51" s="21"/>
      <c r="AE51" s="77"/>
      <c r="AF51" s="21"/>
      <c r="AG51" s="77"/>
      <c r="AH51" s="21"/>
      <c r="AI51" s="21"/>
      <c r="AJ51" s="21"/>
      <c r="AK51" s="21"/>
      <c r="AL51" s="21">
        <v>5</v>
      </c>
      <c r="AM51" s="21">
        <v>5</v>
      </c>
      <c r="AN51" s="77"/>
      <c r="AO51" s="21">
        <v>5</v>
      </c>
      <c r="AP51" s="21">
        <v>5</v>
      </c>
      <c r="AQ51" s="21">
        <v>5</v>
      </c>
      <c r="AR51" s="21">
        <v>5</v>
      </c>
      <c r="AS51" s="21">
        <v>5</v>
      </c>
      <c r="AT51" s="21"/>
      <c r="AU51" s="77"/>
      <c r="AV51" s="21"/>
      <c r="AW51" s="21"/>
      <c r="AX51" s="21"/>
      <c r="AY51" s="21"/>
      <c r="AZ51" s="21"/>
      <c r="BA51" s="21"/>
      <c r="BB51" s="77"/>
      <c r="BC51" s="21"/>
      <c r="BD51" s="21"/>
      <c r="BE51" s="21"/>
      <c r="BF51" s="144">
        <f t="shared" si="6"/>
        <v>35</v>
      </c>
      <c r="BG51" s="94">
        <f t="shared" si="5"/>
        <v>0</v>
      </c>
      <c r="BH51" s="26"/>
      <c r="BJ51" s="141">
        <v>96201435</v>
      </c>
      <c r="BK51" s="141" t="s">
        <v>2348</v>
      </c>
      <c r="BL51" s="141" t="s">
        <v>2386</v>
      </c>
      <c r="BM51" s="141" t="s">
        <v>2387</v>
      </c>
      <c r="BN51" s="141" t="s">
        <v>2399</v>
      </c>
      <c r="BO51" s="141" t="s">
        <v>2400</v>
      </c>
      <c r="BP51" s="141" t="s">
        <v>2401</v>
      </c>
      <c r="BQ51" s="141" t="s">
        <v>2402</v>
      </c>
      <c r="BR51" s="141" t="s">
        <v>2403</v>
      </c>
      <c r="BS51" s="141" t="s">
        <v>2404</v>
      </c>
      <c r="BT51" s="141" t="s">
        <v>2405</v>
      </c>
      <c r="BU51" s="141" t="s">
        <v>2406</v>
      </c>
      <c r="BV51" s="141" t="s">
        <v>2390</v>
      </c>
      <c r="BW51" s="141" t="s">
        <v>2391</v>
      </c>
      <c r="BX51" s="141" t="s">
        <v>2392</v>
      </c>
      <c r="BY51" s="141" t="s">
        <v>2393</v>
      </c>
      <c r="BZ51" s="141" t="s">
        <v>2407</v>
      </c>
      <c r="CA51" s="141" t="s">
        <v>2408</v>
      </c>
      <c r="CB51" s="141" t="s">
        <v>2409</v>
      </c>
      <c r="CC51" s="141" t="s">
        <v>2411</v>
      </c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</row>
    <row r="52" spans="1:95" s="7" customFormat="1" x14ac:dyDescent="0.25">
      <c r="A52" s="19" t="s">
        <v>2298</v>
      </c>
      <c r="B52" s="19" t="s">
        <v>2299</v>
      </c>
      <c r="C52" s="19">
        <v>96101574</v>
      </c>
      <c r="D52" s="20">
        <v>96101574</v>
      </c>
      <c r="E52" s="21" t="s">
        <v>1860</v>
      </c>
      <c r="F52" s="21" t="s">
        <v>2320</v>
      </c>
      <c r="G52" s="21" t="s">
        <v>332</v>
      </c>
      <c r="H52" s="21" t="s">
        <v>234</v>
      </c>
      <c r="I52" s="21" t="s">
        <v>254</v>
      </c>
      <c r="J52" s="21" t="s">
        <v>2070</v>
      </c>
      <c r="K52" s="21" t="s">
        <v>2325</v>
      </c>
      <c r="L52" s="21" t="s">
        <v>2068</v>
      </c>
      <c r="M52" s="19" t="s">
        <v>2349</v>
      </c>
      <c r="N52" s="19"/>
      <c r="O52" s="35">
        <v>0</v>
      </c>
      <c r="P52" s="35">
        <v>0</v>
      </c>
      <c r="Q52" s="32"/>
      <c r="R52" s="22">
        <v>5</v>
      </c>
      <c r="S52" s="22">
        <v>2</v>
      </c>
      <c r="T52" s="22">
        <v>1</v>
      </c>
      <c r="U52" s="22">
        <v>0</v>
      </c>
      <c r="V52" s="60">
        <f t="shared" si="7"/>
        <v>8</v>
      </c>
      <c r="W52" s="86"/>
      <c r="X52" s="86"/>
      <c r="Y52" s="86"/>
      <c r="Z52" s="86">
        <v>8</v>
      </c>
      <c r="AA52" s="86">
        <v>8</v>
      </c>
      <c r="AB52" s="21"/>
      <c r="AC52" s="21"/>
      <c r="AD52" s="21"/>
      <c r="AE52" s="77"/>
      <c r="AF52" s="21"/>
      <c r="AG52" s="77"/>
      <c r="AH52" s="21"/>
      <c r="AI52" s="21"/>
      <c r="AJ52" s="21"/>
      <c r="AK52" s="21"/>
      <c r="AL52" s="21"/>
      <c r="AM52" s="21"/>
      <c r="AN52" s="77"/>
      <c r="AO52" s="21"/>
      <c r="AP52" s="21"/>
      <c r="AQ52" s="21"/>
      <c r="AR52" s="21"/>
      <c r="AS52" s="21"/>
      <c r="AT52" s="21"/>
      <c r="AU52" s="77"/>
      <c r="AV52" s="21"/>
      <c r="AW52" s="21"/>
      <c r="AX52" s="21">
        <v>2</v>
      </c>
      <c r="AY52" s="21">
        <v>2</v>
      </c>
      <c r="AZ52" s="21">
        <v>2</v>
      </c>
      <c r="BA52" s="21">
        <v>2</v>
      </c>
      <c r="BB52" s="77"/>
      <c r="BC52" s="21"/>
      <c r="BD52" s="21"/>
      <c r="BE52" s="21"/>
      <c r="BF52" s="144">
        <f t="shared" si="6"/>
        <v>8</v>
      </c>
      <c r="BG52" s="94">
        <f t="shared" si="5"/>
        <v>0</v>
      </c>
      <c r="BH52" s="26"/>
      <c r="BJ52" s="141">
        <v>96101574</v>
      </c>
      <c r="BK52" s="141" t="s">
        <v>2349</v>
      </c>
      <c r="BL52" s="141" t="s">
        <v>2386</v>
      </c>
      <c r="BM52" s="141" t="s">
        <v>2387</v>
      </c>
      <c r="BN52" s="141" t="s">
        <v>2413</v>
      </c>
      <c r="BO52" s="141" t="s">
        <v>2414</v>
      </c>
      <c r="BP52" s="141" t="s">
        <v>2401</v>
      </c>
      <c r="BQ52" s="141" t="s">
        <v>2402</v>
      </c>
      <c r="BR52" s="141" t="s">
        <v>2403</v>
      </c>
      <c r="BS52" s="141" t="s">
        <v>2404</v>
      </c>
      <c r="BT52" s="141" t="s">
        <v>2415</v>
      </c>
      <c r="BU52" s="141" t="s">
        <v>2406</v>
      </c>
      <c r="BV52" s="141" t="s">
        <v>2390</v>
      </c>
      <c r="BW52" s="141" t="s">
        <v>2391</v>
      </c>
      <c r="BX52" s="141" t="s">
        <v>2392</v>
      </c>
      <c r="BY52" s="141" t="s">
        <v>2393</v>
      </c>
      <c r="BZ52" s="141" t="s">
        <v>2416</v>
      </c>
      <c r="CA52" s="141" t="s">
        <v>2417</v>
      </c>
      <c r="CB52" s="141" t="s">
        <v>2418</v>
      </c>
      <c r="CC52" s="141" t="s">
        <v>2411</v>
      </c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</row>
    <row r="53" spans="1:95" s="7" customFormat="1" x14ac:dyDescent="0.25">
      <c r="A53" s="19" t="s">
        <v>2298</v>
      </c>
      <c r="B53" s="19" t="s">
        <v>2299</v>
      </c>
      <c r="C53" s="19">
        <v>96101576</v>
      </c>
      <c r="D53" s="20" t="s">
        <v>2311</v>
      </c>
      <c r="E53" s="21" t="s">
        <v>1860</v>
      </c>
      <c r="F53" s="21" t="s">
        <v>2320</v>
      </c>
      <c r="G53" s="21" t="s">
        <v>332</v>
      </c>
      <c r="H53" s="21" t="s">
        <v>234</v>
      </c>
      <c r="I53" s="21" t="s">
        <v>254</v>
      </c>
      <c r="J53" s="21" t="s">
        <v>2083</v>
      </c>
      <c r="K53" s="21" t="s">
        <v>2325</v>
      </c>
      <c r="L53" s="21" t="s">
        <v>2068</v>
      </c>
      <c r="M53" s="19" t="s">
        <v>2370</v>
      </c>
      <c r="N53" s="19"/>
      <c r="O53" s="35">
        <v>0</v>
      </c>
      <c r="P53" s="35">
        <v>0</v>
      </c>
      <c r="Q53" s="32"/>
      <c r="R53" s="22">
        <v>2</v>
      </c>
      <c r="S53" s="22">
        <v>1</v>
      </c>
      <c r="T53" s="22">
        <v>1</v>
      </c>
      <c r="U53" s="22">
        <v>1</v>
      </c>
      <c r="V53" s="60">
        <f t="shared" si="7"/>
        <v>5</v>
      </c>
      <c r="W53" s="86"/>
      <c r="X53" s="86"/>
      <c r="Y53" s="86">
        <v>5</v>
      </c>
      <c r="Z53" s="86"/>
      <c r="AA53" s="86">
        <v>5</v>
      </c>
      <c r="AB53" s="21"/>
      <c r="AC53" s="21"/>
      <c r="AD53" s="21"/>
      <c r="AE53" s="77"/>
      <c r="AF53" s="21"/>
      <c r="AG53" s="77"/>
      <c r="AH53" s="21"/>
      <c r="AI53" s="21"/>
      <c r="AJ53" s="21"/>
      <c r="AK53" s="21"/>
      <c r="AL53" s="21"/>
      <c r="AM53" s="21"/>
      <c r="AN53" s="77"/>
      <c r="AO53" s="21"/>
      <c r="AP53" s="21"/>
      <c r="AQ53" s="21"/>
      <c r="AR53" s="21"/>
      <c r="AS53" s="21"/>
      <c r="AT53" s="21"/>
      <c r="AU53" s="77"/>
      <c r="AV53" s="21">
        <v>5</v>
      </c>
      <c r="AW53" s="21"/>
      <c r="AX53" s="21"/>
      <c r="AY53" s="21"/>
      <c r="AZ53" s="21"/>
      <c r="BA53" s="21"/>
      <c r="BB53" s="77"/>
      <c r="BC53" s="21"/>
      <c r="BD53" s="21"/>
      <c r="BE53" s="21"/>
      <c r="BF53" s="144">
        <f t="shared" si="6"/>
        <v>5</v>
      </c>
      <c r="BG53" s="94">
        <f t="shared" si="5"/>
        <v>0</v>
      </c>
      <c r="BH53" s="26"/>
      <c r="BJ53" s="141" t="s">
        <v>2311</v>
      </c>
      <c r="BK53" s="141" t="s">
        <v>2450</v>
      </c>
      <c r="BL53" s="141" t="s">
        <v>2386</v>
      </c>
      <c r="BM53" s="141" t="s">
        <v>2387</v>
      </c>
      <c r="BN53" s="141" t="s">
        <v>2413</v>
      </c>
      <c r="BO53" s="141" t="s">
        <v>2414</v>
      </c>
      <c r="BP53" s="141" t="s">
        <v>2401</v>
      </c>
      <c r="BQ53" s="141" t="s">
        <v>2402</v>
      </c>
      <c r="BR53" s="141" t="s">
        <v>2403</v>
      </c>
      <c r="BS53" s="141" t="s">
        <v>2404</v>
      </c>
      <c r="BT53" s="141" t="s">
        <v>2415</v>
      </c>
      <c r="BU53" s="141" t="s">
        <v>2406</v>
      </c>
      <c r="BV53" s="141" t="s">
        <v>2390</v>
      </c>
      <c r="BW53" s="141" t="s">
        <v>2391</v>
      </c>
      <c r="BX53" s="141" t="s">
        <v>2392</v>
      </c>
      <c r="BY53" s="141" t="s">
        <v>2393</v>
      </c>
      <c r="BZ53" s="141" t="s">
        <v>2416</v>
      </c>
      <c r="CA53" s="141" t="s">
        <v>2417</v>
      </c>
      <c r="CB53" s="141" t="s">
        <v>2418</v>
      </c>
      <c r="CC53" s="141" t="s">
        <v>2410</v>
      </c>
      <c r="CD53" s="142" t="s">
        <v>2417</v>
      </c>
      <c r="CE53" s="142" t="s">
        <v>2418</v>
      </c>
      <c r="CF53" s="142" t="s">
        <v>2410</v>
      </c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</row>
    <row r="54" spans="1:95" s="7" customFormat="1" x14ac:dyDescent="0.25">
      <c r="A54" s="19" t="s">
        <v>2298</v>
      </c>
      <c r="B54" s="19" t="s">
        <v>2299</v>
      </c>
      <c r="C54" s="19">
        <v>96101577</v>
      </c>
      <c r="D54" s="20" t="s">
        <v>2311</v>
      </c>
      <c r="E54" s="21" t="s">
        <v>1860</v>
      </c>
      <c r="F54" s="21" t="s">
        <v>2320</v>
      </c>
      <c r="G54" s="21" t="s">
        <v>332</v>
      </c>
      <c r="H54" s="21" t="s">
        <v>2319</v>
      </c>
      <c r="I54" s="21" t="s">
        <v>254</v>
      </c>
      <c r="J54" s="21" t="s">
        <v>2083</v>
      </c>
      <c r="K54" s="21" t="s">
        <v>2325</v>
      </c>
      <c r="L54" s="21" t="s">
        <v>2068</v>
      </c>
      <c r="M54" s="19" t="s">
        <v>2378</v>
      </c>
      <c r="N54" s="19"/>
      <c r="O54" s="35">
        <v>0</v>
      </c>
      <c r="P54" s="35">
        <v>0</v>
      </c>
      <c r="Q54" s="32"/>
      <c r="R54" s="22">
        <v>1</v>
      </c>
      <c r="S54" s="22">
        <v>0</v>
      </c>
      <c r="T54" s="22">
        <v>0</v>
      </c>
      <c r="U54" s="22">
        <v>0</v>
      </c>
      <c r="V54" s="60">
        <f t="shared" si="7"/>
        <v>1</v>
      </c>
      <c r="W54" s="86"/>
      <c r="X54" s="86"/>
      <c r="Y54" s="86">
        <v>1</v>
      </c>
      <c r="Z54" s="86"/>
      <c r="AA54" s="86">
        <v>1</v>
      </c>
      <c r="AB54" s="21"/>
      <c r="AC54" s="21"/>
      <c r="AD54" s="21"/>
      <c r="AE54" s="77"/>
      <c r="AF54" s="21"/>
      <c r="AG54" s="77"/>
      <c r="AH54" s="21"/>
      <c r="AI54" s="21"/>
      <c r="AJ54" s="21"/>
      <c r="AK54" s="21"/>
      <c r="AL54" s="21"/>
      <c r="AM54" s="21"/>
      <c r="AN54" s="77"/>
      <c r="AO54" s="21"/>
      <c r="AP54" s="21"/>
      <c r="AQ54" s="21"/>
      <c r="AR54" s="21"/>
      <c r="AS54" s="21"/>
      <c r="AT54" s="21"/>
      <c r="AU54" s="77"/>
      <c r="AV54" s="21">
        <v>1</v>
      </c>
      <c r="AW54" s="21"/>
      <c r="AX54" s="21"/>
      <c r="AY54" s="21"/>
      <c r="AZ54" s="21"/>
      <c r="BA54" s="21"/>
      <c r="BB54" s="77"/>
      <c r="BC54" s="21"/>
      <c r="BD54" s="21"/>
      <c r="BE54" s="21"/>
      <c r="BF54" s="144">
        <f t="shared" si="6"/>
        <v>1</v>
      </c>
      <c r="BG54" s="94">
        <f t="shared" si="5"/>
        <v>0</v>
      </c>
      <c r="BH54" s="26"/>
      <c r="BJ54" s="141" t="s">
        <v>2311</v>
      </c>
      <c r="BK54" s="141" t="s">
        <v>2450</v>
      </c>
      <c r="BL54" s="141" t="s">
        <v>2386</v>
      </c>
      <c r="BM54" s="141" t="s">
        <v>2387</v>
      </c>
      <c r="BN54" s="141" t="s">
        <v>2413</v>
      </c>
      <c r="BO54" s="141" t="s">
        <v>2414</v>
      </c>
      <c r="BP54" s="141" t="s">
        <v>2401</v>
      </c>
      <c r="BQ54" s="141" t="s">
        <v>2402</v>
      </c>
      <c r="BR54" s="141" t="s">
        <v>2403</v>
      </c>
      <c r="BS54" s="141" t="s">
        <v>2404</v>
      </c>
      <c r="BT54" s="141" t="s">
        <v>2415</v>
      </c>
      <c r="BU54" s="141" t="s">
        <v>2406</v>
      </c>
      <c r="BV54" s="141" t="s">
        <v>2390</v>
      </c>
      <c r="BW54" s="141" t="s">
        <v>2391</v>
      </c>
      <c r="BX54" s="141" t="s">
        <v>2392</v>
      </c>
      <c r="BY54" s="141" t="s">
        <v>2393</v>
      </c>
      <c r="BZ54" s="141" t="s">
        <v>2416</v>
      </c>
      <c r="CA54" s="141" t="s">
        <v>2417</v>
      </c>
      <c r="CB54" s="141" t="s">
        <v>2418</v>
      </c>
      <c r="CC54" s="141" t="s">
        <v>2410</v>
      </c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</row>
    <row r="55" spans="1:95" s="7" customFormat="1" x14ac:dyDescent="0.25">
      <c r="A55" s="19" t="s">
        <v>2298</v>
      </c>
      <c r="B55" s="19" t="s">
        <v>2299</v>
      </c>
      <c r="C55" s="19">
        <v>96101571</v>
      </c>
      <c r="D55" s="20" t="s">
        <v>2303</v>
      </c>
      <c r="E55" s="21" t="s">
        <v>1860</v>
      </c>
      <c r="F55" s="21" t="s">
        <v>2318</v>
      </c>
      <c r="G55" s="21" t="s">
        <v>332</v>
      </c>
      <c r="H55" s="21" t="s">
        <v>234</v>
      </c>
      <c r="I55" s="21" t="s">
        <v>254</v>
      </c>
      <c r="J55" s="21" t="s">
        <v>2083</v>
      </c>
      <c r="K55" s="21" t="s">
        <v>2325</v>
      </c>
      <c r="L55" s="21" t="s">
        <v>2068</v>
      </c>
      <c r="M55" s="19" t="s">
        <v>2379</v>
      </c>
      <c r="N55" s="19"/>
      <c r="O55" s="35">
        <v>0</v>
      </c>
      <c r="P55" s="35">
        <v>0</v>
      </c>
      <c r="Q55" s="32"/>
      <c r="R55" s="22">
        <v>0</v>
      </c>
      <c r="S55" s="22">
        <v>0</v>
      </c>
      <c r="T55" s="22">
        <v>0</v>
      </c>
      <c r="U55" s="22">
        <v>2</v>
      </c>
      <c r="V55" s="60">
        <f t="shared" si="7"/>
        <v>2</v>
      </c>
      <c r="W55" s="86"/>
      <c r="X55" s="86"/>
      <c r="Y55" s="86">
        <v>2</v>
      </c>
      <c r="Z55" s="86"/>
      <c r="AA55" s="86">
        <v>2</v>
      </c>
      <c r="AB55" s="21"/>
      <c r="AC55" s="21"/>
      <c r="AD55" s="21"/>
      <c r="AE55" s="77"/>
      <c r="AF55" s="21"/>
      <c r="AG55" s="77"/>
      <c r="AH55" s="21"/>
      <c r="AI55" s="21"/>
      <c r="AJ55" s="21"/>
      <c r="AK55" s="21"/>
      <c r="AL55" s="21"/>
      <c r="AM55" s="21"/>
      <c r="AN55" s="77"/>
      <c r="AO55" s="21"/>
      <c r="AP55" s="21"/>
      <c r="AQ55" s="21"/>
      <c r="AR55" s="21"/>
      <c r="AS55" s="21"/>
      <c r="AT55" s="21"/>
      <c r="AU55" s="77"/>
      <c r="AV55" s="21">
        <v>2</v>
      </c>
      <c r="AW55" s="21"/>
      <c r="AX55" s="21"/>
      <c r="AY55" s="21"/>
      <c r="AZ55" s="21"/>
      <c r="BA55" s="21"/>
      <c r="BB55" s="77"/>
      <c r="BC55" s="21"/>
      <c r="BD55" s="21"/>
      <c r="BE55" s="21"/>
      <c r="BF55" s="144">
        <f t="shared" si="6"/>
        <v>2</v>
      </c>
      <c r="BG55" s="94">
        <f t="shared" si="5"/>
        <v>0</v>
      </c>
      <c r="BH55" s="26"/>
      <c r="BJ55" s="141" t="s">
        <v>2303</v>
      </c>
      <c r="BK55" s="141" t="s">
        <v>2419</v>
      </c>
      <c r="BL55" s="141" t="s">
        <v>2386</v>
      </c>
      <c r="BM55" s="141" t="s">
        <v>2387</v>
      </c>
      <c r="BN55" s="141" t="s">
        <v>2413</v>
      </c>
      <c r="BO55" s="141" t="s">
        <v>2414</v>
      </c>
      <c r="BP55" s="141" t="s">
        <v>2401</v>
      </c>
      <c r="BQ55" s="141" t="s">
        <v>2402</v>
      </c>
      <c r="BR55" s="141" t="s">
        <v>2403</v>
      </c>
      <c r="BS55" s="141" t="s">
        <v>2404</v>
      </c>
      <c r="BT55" s="141" t="s">
        <v>2415</v>
      </c>
      <c r="BU55" s="141" t="s">
        <v>2406</v>
      </c>
      <c r="BV55" s="141" t="s">
        <v>2390</v>
      </c>
      <c r="BW55" s="141" t="s">
        <v>2391</v>
      </c>
      <c r="BX55" s="141" t="s">
        <v>2392</v>
      </c>
      <c r="BY55" s="141" t="s">
        <v>2393</v>
      </c>
      <c r="BZ55" s="141" t="s">
        <v>2416</v>
      </c>
      <c r="CA55" s="141" t="s">
        <v>2417</v>
      </c>
      <c r="CB55" s="141" t="s">
        <v>2418</v>
      </c>
      <c r="CC55" s="141" t="s">
        <v>2410</v>
      </c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</row>
    <row r="56" spans="1:95" s="7" customFormat="1" x14ac:dyDescent="0.25">
      <c r="A56" s="19" t="s">
        <v>2298</v>
      </c>
      <c r="B56" s="19" t="s">
        <v>2299</v>
      </c>
      <c r="C56" s="19">
        <v>96201536</v>
      </c>
      <c r="D56" s="20" t="s">
        <v>2316</v>
      </c>
      <c r="E56" s="21" t="s">
        <v>1860</v>
      </c>
      <c r="F56" s="21" t="s">
        <v>2320</v>
      </c>
      <c r="G56" s="21" t="s">
        <v>332</v>
      </c>
      <c r="H56" s="21" t="s">
        <v>2319</v>
      </c>
      <c r="I56" s="21" t="s">
        <v>254</v>
      </c>
      <c r="J56" s="21" t="s">
        <v>2069</v>
      </c>
      <c r="K56" s="21" t="s">
        <v>2325</v>
      </c>
      <c r="L56" s="21" t="s">
        <v>2068</v>
      </c>
      <c r="M56" s="19" t="s">
        <v>2380</v>
      </c>
      <c r="N56" s="19"/>
      <c r="O56" s="35">
        <v>0</v>
      </c>
      <c r="P56" s="35">
        <v>0</v>
      </c>
      <c r="Q56" s="32"/>
      <c r="R56" s="22">
        <v>0</v>
      </c>
      <c r="S56" s="22">
        <v>0</v>
      </c>
      <c r="T56" s="22">
        <v>0</v>
      </c>
      <c r="U56" s="22">
        <v>2</v>
      </c>
      <c r="V56" s="60">
        <f t="shared" si="7"/>
        <v>2</v>
      </c>
      <c r="W56" s="86"/>
      <c r="X56" s="86">
        <v>2</v>
      </c>
      <c r="Y56" s="86"/>
      <c r="Z56" s="86"/>
      <c r="AA56" s="86">
        <v>2</v>
      </c>
      <c r="AB56" s="21"/>
      <c r="AC56" s="21"/>
      <c r="AD56" s="21"/>
      <c r="AE56" s="77"/>
      <c r="AF56" s="21"/>
      <c r="AG56" s="77"/>
      <c r="AH56" s="21"/>
      <c r="AI56" s="21"/>
      <c r="AJ56" s="21"/>
      <c r="AK56" s="21"/>
      <c r="AL56" s="21">
        <v>2</v>
      </c>
      <c r="AM56" s="21"/>
      <c r="AN56" s="77"/>
      <c r="AO56" s="21"/>
      <c r="AP56" s="21"/>
      <c r="AQ56" s="21"/>
      <c r="AR56" s="21"/>
      <c r="AS56" s="21"/>
      <c r="AT56" s="21"/>
      <c r="AU56" s="77"/>
      <c r="AV56" s="21"/>
      <c r="AW56" s="21"/>
      <c r="AX56" s="21"/>
      <c r="AY56" s="21"/>
      <c r="AZ56" s="21"/>
      <c r="BA56" s="21"/>
      <c r="BB56" s="77"/>
      <c r="BC56" s="21"/>
      <c r="BD56" s="21"/>
      <c r="BE56" s="21"/>
      <c r="BF56" s="144">
        <f t="shared" si="6"/>
        <v>2</v>
      </c>
      <c r="BG56" s="94">
        <f t="shared" si="5"/>
        <v>0</v>
      </c>
      <c r="BH56" s="26"/>
      <c r="BJ56" s="141" t="s">
        <v>2316</v>
      </c>
      <c r="BK56" s="141" t="s">
        <v>2412</v>
      </c>
      <c r="BL56" s="141" t="s">
        <v>2386</v>
      </c>
      <c r="BM56" s="141" t="s">
        <v>2387</v>
      </c>
      <c r="BN56" s="141" t="s">
        <v>2399</v>
      </c>
      <c r="BO56" s="141" t="s">
        <v>2400</v>
      </c>
      <c r="BP56" s="141" t="s">
        <v>2401</v>
      </c>
      <c r="BQ56" s="141" t="s">
        <v>2402</v>
      </c>
      <c r="BR56" s="141" t="s">
        <v>2403</v>
      </c>
      <c r="BS56" s="141" t="s">
        <v>2404</v>
      </c>
      <c r="BT56" s="141" t="s">
        <v>2405</v>
      </c>
      <c r="BU56" s="141" t="s">
        <v>2406</v>
      </c>
      <c r="BV56" s="141" t="s">
        <v>2390</v>
      </c>
      <c r="BW56" s="141" t="s">
        <v>2391</v>
      </c>
      <c r="BX56" s="141" t="s">
        <v>2392</v>
      </c>
      <c r="BY56" s="141" t="s">
        <v>2393</v>
      </c>
      <c r="BZ56" s="141" t="s">
        <v>2407</v>
      </c>
      <c r="CA56" s="141" t="s">
        <v>2408</v>
      </c>
      <c r="CB56" s="141" t="s">
        <v>2409</v>
      </c>
      <c r="CC56" s="141" t="s">
        <v>2410</v>
      </c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</row>
    <row r="57" spans="1:95" s="7" customFormat="1" x14ac:dyDescent="0.25">
      <c r="A57" s="19" t="s">
        <v>2298</v>
      </c>
      <c r="B57" s="19" t="s">
        <v>2299</v>
      </c>
      <c r="C57" s="19">
        <v>96101366</v>
      </c>
      <c r="D57" s="20" t="s">
        <v>2301</v>
      </c>
      <c r="E57" s="21" t="s">
        <v>1860</v>
      </c>
      <c r="F57" s="21" t="s">
        <v>2318</v>
      </c>
      <c r="G57" s="21" t="s">
        <v>332</v>
      </c>
      <c r="H57" s="21" t="s">
        <v>2319</v>
      </c>
      <c r="I57" s="21" t="s">
        <v>254</v>
      </c>
      <c r="J57" s="21" t="s">
        <v>2083</v>
      </c>
      <c r="K57" s="21" t="s">
        <v>2325</v>
      </c>
      <c r="L57" s="21" t="s">
        <v>2068</v>
      </c>
      <c r="M57" s="19" t="s">
        <v>2382</v>
      </c>
      <c r="N57" s="19"/>
      <c r="O57" s="35">
        <v>0</v>
      </c>
      <c r="P57" s="35">
        <v>0</v>
      </c>
      <c r="Q57" s="32"/>
      <c r="R57" s="22">
        <v>0</v>
      </c>
      <c r="S57" s="22">
        <v>0</v>
      </c>
      <c r="T57" s="22">
        <v>0</v>
      </c>
      <c r="U57" s="22">
        <v>1</v>
      </c>
      <c r="V57" s="60">
        <f t="shared" si="7"/>
        <v>1</v>
      </c>
      <c r="W57" s="86"/>
      <c r="X57" s="86">
        <v>1</v>
      </c>
      <c r="Y57" s="86"/>
      <c r="Z57" s="86"/>
      <c r="AA57" s="86">
        <v>1</v>
      </c>
      <c r="AB57" s="21"/>
      <c r="AC57" s="21"/>
      <c r="AD57" s="21"/>
      <c r="AE57" s="77"/>
      <c r="AF57" s="21"/>
      <c r="AG57" s="77"/>
      <c r="AH57" s="21"/>
      <c r="AI57" s="21"/>
      <c r="AJ57" s="21"/>
      <c r="AK57" s="21"/>
      <c r="AL57" s="21">
        <v>1</v>
      </c>
      <c r="AM57" s="21"/>
      <c r="AN57" s="77"/>
      <c r="AO57" s="21"/>
      <c r="AP57" s="21"/>
      <c r="AQ57" s="21"/>
      <c r="AR57" s="21"/>
      <c r="AS57" s="21"/>
      <c r="AT57" s="21"/>
      <c r="AU57" s="77"/>
      <c r="AV57" s="21"/>
      <c r="AW57" s="21"/>
      <c r="AX57" s="21"/>
      <c r="AY57" s="21"/>
      <c r="AZ57" s="21"/>
      <c r="BA57" s="21"/>
      <c r="BB57" s="77"/>
      <c r="BC57" s="21"/>
      <c r="BD57" s="21"/>
      <c r="BE57" s="21"/>
      <c r="BF57" s="144">
        <f t="shared" si="6"/>
        <v>1</v>
      </c>
      <c r="BG57" s="94">
        <f t="shared" si="5"/>
        <v>0</v>
      </c>
      <c r="BH57" s="26"/>
      <c r="BJ57" s="141" t="s">
        <v>2301</v>
      </c>
      <c r="BK57" s="141" t="s">
        <v>2398</v>
      </c>
      <c r="BL57" s="141" t="s">
        <v>2386</v>
      </c>
      <c r="BM57" s="141" t="s">
        <v>2387</v>
      </c>
      <c r="BN57" s="141" t="s">
        <v>2399</v>
      </c>
      <c r="BO57" s="141" t="s">
        <v>2400</v>
      </c>
      <c r="BP57" s="141" t="s">
        <v>2401</v>
      </c>
      <c r="BQ57" s="141" t="s">
        <v>2402</v>
      </c>
      <c r="BR57" s="141" t="s">
        <v>2403</v>
      </c>
      <c r="BS57" s="141" t="s">
        <v>2404</v>
      </c>
      <c r="BT57" s="141" t="s">
        <v>2405</v>
      </c>
      <c r="BU57" s="141" t="s">
        <v>2406</v>
      </c>
      <c r="BV57" s="141" t="s">
        <v>2390</v>
      </c>
      <c r="BW57" s="141" t="s">
        <v>2391</v>
      </c>
      <c r="BX57" s="141" t="s">
        <v>2392</v>
      </c>
      <c r="BY57" s="141" t="s">
        <v>2393</v>
      </c>
      <c r="BZ57" s="141" t="s">
        <v>2407</v>
      </c>
      <c r="CA57" s="141" t="s">
        <v>2408</v>
      </c>
      <c r="CB57" s="141" t="s">
        <v>2409</v>
      </c>
      <c r="CC57" s="141" t="s">
        <v>2410</v>
      </c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</row>
    <row r="58" spans="1:95" s="7" customFormat="1" x14ac:dyDescent="0.25">
      <c r="A58" s="19" t="s">
        <v>2298</v>
      </c>
      <c r="B58" s="19" t="s">
        <v>2299</v>
      </c>
      <c r="C58" s="19">
        <v>96101532</v>
      </c>
      <c r="D58" s="20" t="s">
        <v>2301</v>
      </c>
      <c r="E58" s="21" t="s">
        <v>1860</v>
      </c>
      <c r="F58" s="21" t="s">
        <v>2318</v>
      </c>
      <c r="G58" s="21" t="s">
        <v>332</v>
      </c>
      <c r="H58" s="21" t="s">
        <v>2319</v>
      </c>
      <c r="I58" s="21" t="s">
        <v>254</v>
      </c>
      <c r="J58" s="21" t="s">
        <v>2069</v>
      </c>
      <c r="K58" s="21" t="s">
        <v>2325</v>
      </c>
      <c r="L58" s="21" t="s">
        <v>2068</v>
      </c>
      <c r="M58" s="19" t="s">
        <v>2383</v>
      </c>
      <c r="N58" s="19"/>
      <c r="O58" s="35">
        <v>0</v>
      </c>
      <c r="P58" s="35">
        <v>0</v>
      </c>
      <c r="Q58" s="32"/>
      <c r="R58" s="22">
        <v>0</v>
      </c>
      <c r="S58" s="22">
        <v>0</v>
      </c>
      <c r="T58" s="22">
        <v>0</v>
      </c>
      <c r="U58" s="22">
        <v>1</v>
      </c>
      <c r="V58" s="60">
        <f t="shared" si="7"/>
        <v>1</v>
      </c>
      <c r="W58" s="86"/>
      <c r="X58" s="86">
        <v>1</v>
      </c>
      <c r="Y58" s="86"/>
      <c r="Z58" s="86"/>
      <c r="AA58" s="86">
        <v>1</v>
      </c>
      <c r="AB58" s="21"/>
      <c r="AC58" s="21"/>
      <c r="AD58" s="21"/>
      <c r="AE58" s="77"/>
      <c r="AF58" s="21"/>
      <c r="AG58" s="77"/>
      <c r="AH58" s="21"/>
      <c r="AI58" s="21"/>
      <c r="AJ58" s="21"/>
      <c r="AK58" s="21"/>
      <c r="AL58" s="21">
        <v>1</v>
      </c>
      <c r="AM58" s="21"/>
      <c r="AN58" s="77"/>
      <c r="AO58" s="21"/>
      <c r="AP58" s="21"/>
      <c r="AQ58" s="21"/>
      <c r="AR58" s="21"/>
      <c r="AS58" s="21"/>
      <c r="AT58" s="21"/>
      <c r="AU58" s="77"/>
      <c r="AV58" s="21"/>
      <c r="AW58" s="21"/>
      <c r="AX58" s="21"/>
      <c r="AY58" s="21"/>
      <c r="AZ58" s="21"/>
      <c r="BA58" s="21"/>
      <c r="BB58" s="77"/>
      <c r="BC58" s="21"/>
      <c r="BD58" s="21"/>
      <c r="BE58" s="21"/>
      <c r="BF58" s="144">
        <f t="shared" si="6"/>
        <v>1</v>
      </c>
      <c r="BG58" s="94">
        <f t="shared" si="5"/>
        <v>0</v>
      </c>
      <c r="BH58" s="26"/>
      <c r="BJ58" s="141" t="s">
        <v>2301</v>
      </c>
      <c r="BK58" s="141" t="s">
        <v>2398</v>
      </c>
      <c r="BL58" s="141" t="s">
        <v>2386</v>
      </c>
      <c r="BM58" s="141" t="s">
        <v>2387</v>
      </c>
      <c r="BN58" s="141" t="s">
        <v>2399</v>
      </c>
      <c r="BO58" s="141" t="s">
        <v>2400</v>
      </c>
      <c r="BP58" s="141" t="s">
        <v>2401</v>
      </c>
      <c r="BQ58" s="141" t="s">
        <v>2402</v>
      </c>
      <c r="BR58" s="141" t="s">
        <v>2403</v>
      </c>
      <c r="BS58" s="141" t="s">
        <v>2404</v>
      </c>
      <c r="BT58" s="141" t="s">
        <v>2405</v>
      </c>
      <c r="BU58" s="141" t="s">
        <v>2406</v>
      </c>
      <c r="BV58" s="141" t="s">
        <v>2390</v>
      </c>
      <c r="BW58" s="141" t="s">
        <v>2391</v>
      </c>
      <c r="BX58" s="141" t="s">
        <v>2392</v>
      </c>
      <c r="BY58" s="141" t="s">
        <v>2393</v>
      </c>
      <c r="BZ58" s="141" t="s">
        <v>2407</v>
      </c>
      <c r="CA58" s="141" t="s">
        <v>2408</v>
      </c>
      <c r="CB58" s="141" t="s">
        <v>2409</v>
      </c>
      <c r="CC58" s="141" t="s">
        <v>2410</v>
      </c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</row>
  </sheetData>
  <sortState xmlns:xlrd2="http://schemas.microsoft.com/office/spreadsheetml/2017/richdata2" ref="A16:CQ58">
    <sortCondition ref="K16:K58"/>
  </sortState>
  <mergeCells count="1">
    <mergeCell ref="O1:P1"/>
  </mergeCells>
  <conditionalFormatting sqref="C1:C1048576">
    <cfRule type="duplicateValues" dxfId="3" priority="6"/>
  </conditionalFormatting>
  <pageMargins left="0.7" right="0.7" top="0.75" bottom="0.75" header="0.3" footer="0.3"/>
  <pageSetup scale="23" orientation="portrait" horizontalDpi="300" verticalDpi="0" r:id="rId1"/>
  <colBreaks count="2" manualBreakCount="2">
    <brk id="12" max="591" man="1"/>
    <brk id="6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4FD3-0821-4CFC-9FFA-A8034781C32A}">
  <dimension ref="A1:DF164"/>
  <sheetViews>
    <sheetView showGridLines="0" zoomScale="90" zoomScaleNormal="90" workbookViewId="0">
      <pane xSplit="9" ySplit="3" topLeftCell="AT4" activePane="bottomRight" state="frozen"/>
      <selection pane="topRight" activeCell="K1" sqref="K1"/>
      <selection pane="bottomLeft" activeCell="A4" sqref="A4"/>
      <selection pane="bottomRight" activeCell="I3" sqref="I3"/>
    </sheetView>
  </sheetViews>
  <sheetFormatPr defaultColWidth="9.140625" defaultRowHeight="12.75" x14ac:dyDescent="0.25"/>
  <cols>
    <col min="1" max="1" width="7.5703125" style="6" customWidth="1"/>
    <col min="2" max="2" width="11.7109375" style="6" customWidth="1"/>
    <col min="3" max="3" width="11.7109375" style="6" hidden="1" customWidth="1"/>
    <col min="4" max="4" width="10.28515625" style="6" bestFit="1" customWidth="1"/>
    <col min="5" max="5" width="12.42578125" style="7" hidden="1" customWidth="1"/>
    <col min="6" max="6" width="13" style="6" hidden="1" customWidth="1"/>
    <col min="7" max="7" width="11.42578125" style="6" customWidth="1"/>
    <col min="8" max="8" width="11.42578125" style="8" customWidth="1"/>
    <col min="9" max="9" width="13.28515625" style="6" customWidth="1"/>
    <col min="10" max="10" width="12.7109375" style="6" customWidth="1"/>
    <col min="11" max="11" width="18.7109375" style="6" customWidth="1"/>
    <col min="12" max="12" width="4.7109375" style="6" customWidth="1"/>
    <col min="13" max="13" width="19.7109375" style="6" customWidth="1"/>
    <col min="14" max="14" width="4.7109375" style="6" customWidth="1"/>
    <col min="15" max="15" width="9.7109375" style="6" customWidth="1"/>
    <col min="16" max="16" width="8.85546875" style="6" customWidth="1"/>
    <col min="17" max="17" width="12.28515625" style="6" customWidth="1"/>
    <col min="18" max="18" width="6" style="6" customWidth="1"/>
    <col min="19" max="19" width="17.85546875" style="6" customWidth="1"/>
    <col min="20" max="20" width="10.28515625" style="6" hidden="1" customWidth="1"/>
    <col min="21" max="21" width="10.28515625" style="6" customWidth="1"/>
    <col min="22" max="22" width="38.42578125" style="6" customWidth="1"/>
    <col min="23" max="23" width="8.85546875" style="6" hidden="1" customWidth="1"/>
    <col min="24" max="24" width="6.28515625" style="8" hidden="1" customWidth="1"/>
    <col min="25" max="25" width="6.140625" style="8" hidden="1" customWidth="1"/>
    <col min="26" max="26" width="7" style="8" hidden="1" customWidth="1"/>
    <col min="27" max="27" width="6.28515625" style="8" hidden="1" customWidth="1"/>
    <col min="28" max="30" width="4.85546875" style="8" hidden="1" customWidth="1"/>
    <col min="31" max="31" width="6" style="8" hidden="1" customWidth="1"/>
    <col min="32" max="32" width="6.42578125" style="8" hidden="1" customWidth="1"/>
    <col min="33" max="33" width="6.85546875" style="8" hidden="1" customWidth="1"/>
    <col min="34" max="35" width="8.28515625" style="8" hidden="1" customWidth="1"/>
    <col min="36" max="37" width="6" style="8" hidden="1" customWidth="1"/>
    <col min="38" max="38" width="5.7109375" style="8" hidden="1" customWidth="1"/>
    <col min="39" max="39" width="15.42578125" style="8" hidden="1" customWidth="1"/>
    <col min="40" max="40" width="10" style="8" hidden="1" customWidth="1"/>
    <col min="41" max="41" width="6.28515625" style="8" hidden="1" customWidth="1"/>
    <col min="42" max="44" width="4.85546875" style="8" hidden="1" customWidth="1"/>
    <col min="45" max="45" width="5.42578125" style="8" hidden="1" customWidth="1"/>
    <col min="46" max="46" width="5.28515625" style="28" customWidth="1"/>
    <col min="47" max="49" width="4" style="8" bestFit="1" customWidth="1"/>
    <col min="50" max="52" width="3" style="8" bestFit="1" customWidth="1"/>
    <col min="53" max="53" width="2" style="8" customWidth="1"/>
    <col min="54" max="55" width="3" style="8" bestFit="1" customWidth="1"/>
    <col min="56" max="58" width="3" style="8" customWidth="1"/>
    <col min="59" max="59" width="3" style="8" bestFit="1" customWidth="1"/>
    <col min="60" max="68" width="3" style="8" customWidth="1"/>
    <col min="69" max="69" width="3" style="8" bestFit="1" customWidth="1"/>
    <col min="70" max="72" width="3" style="8" customWidth="1"/>
    <col min="73" max="73" width="4" style="8" bestFit="1" customWidth="1"/>
    <col min="74" max="74" width="3" style="8" customWidth="1"/>
    <col min="75" max="75" width="5" style="8" customWidth="1"/>
    <col min="76" max="76" width="5.28515625" style="8" hidden="1" customWidth="1"/>
    <col min="77" max="77" width="23" style="6" customWidth="1"/>
    <col min="78" max="78" width="5.7109375" style="8" customWidth="1"/>
    <col min="79" max="80" width="11.42578125" style="6" customWidth="1"/>
    <col min="81" max="81" width="10" style="6" customWidth="1"/>
    <col min="82" max="82" width="40.28515625" style="6" customWidth="1"/>
    <col min="83" max="83" width="43" style="6" customWidth="1"/>
    <col min="84" max="84" width="12.85546875" style="6" customWidth="1"/>
    <col min="85" max="85" width="10.5703125" style="6" bestFit="1" customWidth="1"/>
    <col min="86" max="86" width="37.85546875" style="6" bestFit="1" customWidth="1"/>
    <col min="87" max="87" width="15.85546875" style="6" bestFit="1" customWidth="1"/>
    <col min="88" max="88" width="40" style="6" bestFit="1" customWidth="1"/>
    <col min="89" max="89" width="13" style="6" bestFit="1" customWidth="1"/>
    <col min="90" max="90" width="39" style="6" bestFit="1" customWidth="1"/>
    <col min="91" max="91" width="10.140625" style="6" bestFit="1" customWidth="1"/>
    <col min="92" max="92" width="40.42578125" style="6" bestFit="1" customWidth="1"/>
    <col min="93" max="93" width="12.7109375" style="6" bestFit="1" customWidth="1"/>
    <col min="94" max="94" width="42.7109375" style="6" bestFit="1" customWidth="1"/>
    <col min="95" max="95" width="13.85546875" style="6" bestFit="1" customWidth="1"/>
    <col min="96" max="96" width="40.42578125" style="6" bestFit="1" customWidth="1"/>
    <col min="97" max="97" width="13.7109375" style="6" bestFit="1" customWidth="1"/>
    <col min="98" max="98" width="37.28515625" style="6" bestFit="1" customWidth="1"/>
    <col min="99" max="99" width="9.28515625" style="6" bestFit="1" customWidth="1"/>
    <col min="100" max="100" width="41.5703125" style="6" bestFit="1" customWidth="1"/>
    <col min="101" max="101" width="14" style="6" bestFit="1" customWidth="1"/>
    <col min="102" max="102" width="14.5703125" style="6" bestFit="1" customWidth="1"/>
    <col min="103" max="103" width="7.85546875" style="6" bestFit="1" customWidth="1"/>
    <col min="104" max="104" width="12.140625" style="6" bestFit="1" customWidth="1"/>
    <col min="105" max="105" width="15.140625" style="6" bestFit="1" customWidth="1"/>
    <col min="106" max="106" width="15.5703125" style="6" bestFit="1" customWidth="1"/>
    <col min="107" max="107" width="15.140625" style="6" bestFit="1" customWidth="1"/>
    <col min="108" max="108" width="15.5703125" style="6" bestFit="1" customWidth="1"/>
    <col min="109" max="109" width="12.140625" style="6" bestFit="1" customWidth="1"/>
    <col min="110" max="110" width="12.7109375" style="6" bestFit="1" customWidth="1"/>
    <col min="111" max="111" width="9.7109375" style="6" bestFit="1" customWidth="1"/>
    <col min="112" max="112" width="10.140625" style="6" bestFit="1" customWidth="1"/>
    <col min="113" max="16384" width="9.140625" style="6"/>
  </cols>
  <sheetData>
    <row r="1" spans="1:110" s="1" customFormat="1" ht="15.75" x14ac:dyDescent="0.25">
      <c r="E1" s="2"/>
      <c r="H1" s="3"/>
      <c r="V1" s="46"/>
      <c r="X1" s="148" t="s">
        <v>0</v>
      </c>
      <c r="Y1" s="148"/>
      <c r="Z1" s="29"/>
      <c r="AA1" s="36" t="s">
        <v>2169</v>
      </c>
      <c r="AB1" s="37"/>
      <c r="AC1" s="37"/>
      <c r="AD1" s="37"/>
      <c r="AE1" s="37"/>
      <c r="AF1" s="38"/>
      <c r="AG1" s="38"/>
      <c r="AH1" s="3"/>
      <c r="AI1" s="3"/>
      <c r="AJ1" s="3"/>
      <c r="AK1" s="3"/>
      <c r="AL1" s="3"/>
      <c r="AM1" s="3"/>
      <c r="AN1" s="56"/>
      <c r="AO1" s="49" t="s">
        <v>72</v>
      </c>
      <c r="AP1" s="4"/>
      <c r="AQ1" s="4"/>
      <c r="AR1" s="4"/>
      <c r="AS1" s="4"/>
      <c r="AT1" s="5"/>
      <c r="AU1" s="44">
        <f t="shared" ref="AU1:BX1" si="0">SUBTOTAL(9,AU4:AU164)</f>
        <v>100</v>
      </c>
      <c r="AV1" s="44">
        <f t="shared" si="0"/>
        <v>123</v>
      </c>
      <c r="AW1" s="44">
        <f t="shared" si="0"/>
        <v>134</v>
      </c>
      <c r="AX1" s="44">
        <f t="shared" si="0"/>
        <v>106</v>
      </c>
      <c r="AY1" s="44">
        <f t="shared" si="0"/>
        <v>82</v>
      </c>
      <c r="AZ1" s="44">
        <f t="shared" si="0"/>
        <v>75</v>
      </c>
      <c r="BA1" s="44">
        <f t="shared" si="0"/>
        <v>0</v>
      </c>
      <c r="BB1" s="44">
        <f t="shared" si="0"/>
        <v>27</v>
      </c>
      <c r="BC1" s="44">
        <f t="shared" si="0"/>
        <v>24</v>
      </c>
      <c r="BD1" s="44">
        <f t="shared" si="0"/>
        <v>77</v>
      </c>
      <c r="BE1" s="44">
        <f t="shared" si="0"/>
        <v>84</v>
      </c>
      <c r="BF1" s="44">
        <f t="shared" si="0"/>
        <v>42</v>
      </c>
      <c r="BG1" s="44">
        <f t="shared" si="0"/>
        <v>0</v>
      </c>
      <c r="BH1" s="44">
        <f t="shared" si="0"/>
        <v>0</v>
      </c>
      <c r="BI1" s="44">
        <f t="shared" si="0"/>
        <v>48</v>
      </c>
      <c r="BJ1" s="44">
        <f t="shared" si="0"/>
        <v>58</v>
      </c>
      <c r="BK1" s="44">
        <f t="shared" si="0"/>
        <v>58</v>
      </c>
      <c r="BL1" s="44">
        <f t="shared" si="0"/>
        <v>37</v>
      </c>
      <c r="BM1" s="44">
        <f t="shared" si="0"/>
        <v>20</v>
      </c>
      <c r="BN1" s="44">
        <f t="shared" si="0"/>
        <v>23</v>
      </c>
      <c r="BO1" s="44">
        <f t="shared" si="0"/>
        <v>0</v>
      </c>
      <c r="BP1" s="44">
        <f t="shared" si="0"/>
        <v>15</v>
      </c>
      <c r="BQ1" s="44">
        <f t="shared" si="0"/>
        <v>17</v>
      </c>
      <c r="BR1" s="44">
        <f t="shared" si="0"/>
        <v>32</v>
      </c>
      <c r="BS1" s="44">
        <f t="shared" si="0"/>
        <v>19</v>
      </c>
      <c r="BT1" s="44">
        <f t="shared" si="0"/>
        <v>22</v>
      </c>
      <c r="BU1" s="44">
        <f t="shared" si="0"/>
        <v>114</v>
      </c>
      <c r="BV1" s="44">
        <f t="shared" si="0"/>
        <v>0</v>
      </c>
      <c r="BW1" s="95">
        <f t="shared" si="0"/>
        <v>1237</v>
      </c>
      <c r="BX1" s="92">
        <f t="shared" si="0"/>
        <v>277</v>
      </c>
      <c r="BZ1" s="3"/>
    </row>
    <row r="2" spans="1:110" ht="21" x14ac:dyDescent="0.25">
      <c r="A2" s="88" t="s">
        <v>2167</v>
      </c>
      <c r="I2" s="6">
        <f>3000-1356</f>
        <v>1644</v>
      </c>
      <c r="V2" s="47"/>
      <c r="X2" s="33">
        <f t="shared" ref="X2:AT2" si="1">SUBTOTAL(9,X4:X164)</f>
        <v>1135</v>
      </c>
      <c r="Y2" s="33">
        <f t="shared" si="1"/>
        <v>978</v>
      </c>
      <c r="Z2" s="30">
        <f t="shared" si="1"/>
        <v>0</v>
      </c>
      <c r="AA2" s="39">
        <f t="shared" si="1"/>
        <v>883.00000000000011</v>
      </c>
      <c r="AB2" s="39">
        <f t="shared" si="1"/>
        <v>408</v>
      </c>
      <c r="AC2" s="39">
        <f t="shared" si="1"/>
        <v>161</v>
      </c>
      <c r="AD2" s="39">
        <f t="shared" si="1"/>
        <v>219.99999999999997</v>
      </c>
      <c r="AE2" s="59">
        <f t="shared" si="1"/>
        <v>1672</v>
      </c>
      <c r="AF2" s="39">
        <f t="shared" si="1"/>
        <v>10</v>
      </c>
      <c r="AG2" s="39">
        <f t="shared" si="1"/>
        <v>1682</v>
      </c>
      <c r="AH2" s="30">
        <f t="shared" si="1"/>
        <v>470</v>
      </c>
      <c r="AI2" s="30">
        <f t="shared" si="1"/>
        <v>479</v>
      </c>
      <c r="AJ2" s="122">
        <f t="shared" si="1"/>
        <v>377</v>
      </c>
      <c r="AK2" s="122">
        <f t="shared" si="1"/>
        <v>349</v>
      </c>
      <c r="AL2" s="30">
        <f t="shared" si="1"/>
        <v>538</v>
      </c>
      <c r="AM2" s="30">
        <f t="shared" si="1"/>
        <v>65</v>
      </c>
      <c r="AN2" s="42">
        <f t="shared" si="1"/>
        <v>1559</v>
      </c>
      <c r="AO2" s="30">
        <f t="shared" si="1"/>
        <v>363</v>
      </c>
      <c r="AP2" s="30">
        <f t="shared" si="1"/>
        <v>498</v>
      </c>
      <c r="AQ2" s="30">
        <f t="shared" si="1"/>
        <v>426</v>
      </c>
      <c r="AR2" s="30">
        <f t="shared" si="1"/>
        <v>227</v>
      </c>
      <c r="AS2" s="30">
        <f t="shared" si="1"/>
        <v>1514</v>
      </c>
      <c r="AT2" s="13">
        <f t="shared" si="1"/>
        <v>349</v>
      </c>
      <c r="AU2" s="139" t="s">
        <v>1727</v>
      </c>
      <c r="AV2" s="139">
        <v>4</v>
      </c>
      <c r="AW2" s="139">
        <v>5</v>
      </c>
      <c r="AX2" s="139">
        <v>6</v>
      </c>
      <c r="AY2" s="139">
        <v>7</v>
      </c>
      <c r="AZ2" s="139">
        <v>8</v>
      </c>
      <c r="BA2" s="139"/>
      <c r="BB2" s="139">
        <v>10</v>
      </c>
      <c r="BC2" s="139">
        <v>11</v>
      </c>
      <c r="BD2" s="139">
        <v>12</v>
      </c>
      <c r="BE2" s="139">
        <v>13</v>
      </c>
      <c r="BF2" s="139">
        <v>14</v>
      </c>
      <c r="BG2" s="139"/>
      <c r="BH2" s="139"/>
      <c r="BI2" s="139">
        <v>17</v>
      </c>
      <c r="BJ2" s="139">
        <v>18</v>
      </c>
      <c r="BK2" s="139">
        <v>19</v>
      </c>
      <c r="BL2" s="139">
        <v>20</v>
      </c>
      <c r="BM2" s="139">
        <v>21</v>
      </c>
      <c r="BN2" s="139">
        <v>22</v>
      </c>
      <c r="BO2" s="139"/>
      <c r="BP2" s="139">
        <v>24</v>
      </c>
      <c r="BQ2" s="139">
        <v>25</v>
      </c>
      <c r="BR2" s="139">
        <v>26</v>
      </c>
      <c r="BS2" s="139">
        <v>27</v>
      </c>
      <c r="BT2" s="139">
        <v>28</v>
      </c>
      <c r="BU2" s="139">
        <v>20</v>
      </c>
      <c r="BV2" s="139">
        <v>30</v>
      </c>
      <c r="BY2" s="1"/>
    </row>
    <row r="3" spans="1:110" s="1" customFormat="1" ht="30" customHeight="1" x14ac:dyDescent="0.25">
      <c r="A3" s="9" t="s">
        <v>4</v>
      </c>
      <c r="B3" s="10" t="s">
        <v>5</v>
      </c>
      <c r="C3" s="10"/>
      <c r="D3" s="10" t="s">
        <v>6</v>
      </c>
      <c r="E3" s="9" t="s">
        <v>7</v>
      </c>
      <c r="F3" s="10" t="s">
        <v>8</v>
      </c>
      <c r="G3" s="11" t="s">
        <v>9</v>
      </c>
      <c r="H3" s="135" t="s">
        <v>2233</v>
      </c>
      <c r="I3" s="10" t="s">
        <v>11</v>
      </c>
      <c r="J3" s="10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0" t="s">
        <v>17</v>
      </c>
      <c r="P3" s="134" t="s">
        <v>18</v>
      </c>
      <c r="Q3" s="10" t="s">
        <v>19</v>
      </c>
      <c r="R3" s="10" t="s">
        <v>20</v>
      </c>
      <c r="S3" s="10" t="s">
        <v>21</v>
      </c>
      <c r="T3" s="9" t="s">
        <v>22</v>
      </c>
      <c r="U3" s="41" t="s">
        <v>23</v>
      </c>
      <c r="V3" s="48" t="s">
        <v>24</v>
      </c>
      <c r="W3" s="9" t="s">
        <v>25</v>
      </c>
      <c r="X3" s="34" t="s">
        <v>2025</v>
      </c>
      <c r="Y3" s="34" t="s">
        <v>2168</v>
      </c>
      <c r="Z3" s="31" t="s">
        <v>26</v>
      </c>
      <c r="AA3" s="40" t="s">
        <v>27</v>
      </c>
      <c r="AB3" s="40" t="s">
        <v>28</v>
      </c>
      <c r="AC3" s="40" t="s">
        <v>29</v>
      </c>
      <c r="AD3" s="40" t="s">
        <v>30</v>
      </c>
      <c r="AE3" s="60" t="s">
        <v>32</v>
      </c>
      <c r="AF3" s="12" t="s">
        <v>31</v>
      </c>
      <c r="AG3" s="12" t="s">
        <v>1565</v>
      </c>
      <c r="AH3" s="15" t="s">
        <v>34</v>
      </c>
      <c r="AI3" s="15" t="s">
        <v>33</v>
      </c>
      <c r="AJ3" s="15" t="s">
        <v>2164</v>
      </c>
      <c r="AK3" s="15" t="s">
        <v>2165</v>
      </c>
      <c r="AL3" s="15" t="s">
        <v>71</v>
      </c>
      <c r="AM3" s="133" t="s">
        <v>2223</v>
      </c>
      <c r="AN3" s="14" t="s">
        <v>35</v>
      </c>
      <c r="AO3" s="16" t="s">
        <v>27</v>
      </c>
      <c r="AP3" s="16" t="s">
        <v>36</v>
      </c>
      <c r="AQ3" s="16" t="s">
        <v>37</v>
      </c>
      <c r="AR3" s="16" t="s">
        <v>38</v>
      </c>
      <c r="AS3" s="16" t="s">
        <v>32</v>
      </c>
      <c r="AT3" s="17" t="s">
        <v>33</v>
      </c>
      <c r="AU3" s="140">
        <v>2</v>
      </c>
      <c r="AV3" s="140">
        <v>1</v>
      </c>
      <c r="AW3" s="140">
        <v>3</v>
      </c>
      <c r="AX3" s="140">
        <v>4</v>
      </c>
      <c r="AY3" s="140">
        <v>5</v>
      </c>
      <c r="AZ3" s="140">
        <v>6</v>
      </c>
      <c r="BA3" s="13">
        <v>9</v>
      </c>
      <c r="BB3" s="140">
        <v>7</v>
      </c>
      <c r="BC3" s="140">
        <v>8</v>
      </c>
      <c r="BD3" s="140">
        <v>10</v>
      </c>
      <c r="BE3" s="140">
        <v>11</v>
      </c>
      <c r="BF3" s="140">
        <v>12</v>
      </c>
      <c r="BG3" s="13">
        <v>15</v>
      </c>
      <c r="BH3" s="13">
        <v>16</v>
      </c>
      <c r="BI3" s="140">
        <v>13</v>
      </c>
      <c r="BJ3" s="140">
        <v>14</v>
      </c>
      <c r="BK3" s="140">
        <v>17</v>
      </c>
      <c r="BL3" s="140">
        <v>18</v>
      </c>
      <c r="BM3" s="140">
        <v>19</v>
      </c>
      <c r="BN3" s="140">
        <v>20</v>
      </c>
      <c r="BO3" s="13">
        <v>23</v>
      </c>
      <c r="BP3" s="140">
        <v>21</v>
      </c>
      <c r="BQ3" s="140">
        <v>22</v>
      </c>
      <c r="BR3" s="140">
        <v>24</v>
      </c>
      <c r="BS3" s="140">
        <v>25</v>
      </c>
      <c r="BT3" s="140">
        <v>26</v>
      </c>
      <c r="BU3" s="140">
        <v>27</v>
      </c>
      <c r="BV3" s="13">
        <v>28</v>
      </c>
      <c r="BW3" s="96" t="s">
        <v>32</v>
      </c>
      <c r="BX3" s="93" t="s">
        <v>1722</v>
      </c>
      <c r="BY3" s="10" t="s">
        <v>39</v>
      </c>
      <c r="BZ3" s="3"/>
      <c r="CA3" s="26" t="s">
        <v>9</v>
      </c>
      <c r="CB3" s="26"/>
      <c r="CC3" s="26" t="s">
        <v>40</v>
      </c>
      <c r="CD3" s="26" t="s">
        <v>41</v>
      </c>
      <c r="CE3" s="18" t="s">
        <v>42</v>
      </c>
      <c r="CF3" s="18" t="s">
        <v>43</v>
      </c>
      <c r="CG3" s="18" t="s">
        <v>44</v>
      </c>
      <c r="CH3" s="18" t="s">
        <v>45</v>
      </c>
      <c r="CI3" s="18" t="s">
        <v>46</v>
      </c>
      <c r="CJ3" s="18" t="s">
        <v>47</v>
      </c>
      <c r="CK3" s="18" t="s">
        <v>48</v>
      </c>
      <c r="CL3" s="18" t="s">
        <v>49</v>
      </c>
      <c r="CM3" s="18" t="s">
        <v>50</v>
      </c>
      <c r="CN3" s="18" t="s">
        <v>51</v>
      </c>
      <c r="CO3" s="18" t="s">
        <v>52</v>
      </c>
      <c r="CP3" s="18" t="s">
        <v>53</v>
      </c>
      <c r="CQ3" s="18" t="s">
        <v>54</v>
      </c>
      <c r="CR3" s="18" t="s">
        <v>55</v>
      </c>
      <c r="CS3" s="18" t="s">
        <v>56</v>
      </c>
      <c r="CT3" s="18" t="s">
        <v>57</v>
      </c>
      <c r="CU3" s="18" t="s">
        <v>58</v>
      </c>
      <c r="CV3" s="18" t="s">
        <v>59</v>
      </c>
      <c r="CW3" s="18" t="s">
        <v>60</v>
      </c>
      <c r="CX3" s="18" t="s">
        <v>61</v>
      </c>
      <c r="CY3" s="18" t="s">
        <v>62</v>
      </c>
      <c r="CZ3" s="18" t="s">
        <v>63</v>
      </c>
      <c r="DA3" s="18" t="s">
        <v>64</v>
      </c>
      <c r="DB3" s="18" t="s">
        <v>65</v>
      </c>
      <c r="DC3" s="18" t="s">
        <v>66</v>
      </c>
      <c r="DD3" s="18" t="s">
        <v>67</v>
      </c>
      <c r="DE3" s="18" t="s">
        <v>69</v>
      </c>
      <c r="DF3" s="18" t="s">
        <v>70</v>
      </c>
    </row>
    <row r="4" spans="1:110" s="7" customFormat="1" x14ac:dyDescent="0.25">
      <c r="A4" s="19" t="s">
        <v>81</v>
      </c>
      <c r="B4" s="19" t="s">
        <v>88</v>
      </c>
      <c r="C4" s="19" t="str">
        <f t="shared" ref="C4:C28" si="2">D4&amp;B4</f>
        <v>85850251SRI LANKA</v>
      </c>
      <c r="D4" s="19">
        <v>85850251</v>
      </c>
      <c r="E4" s="19" t="s">
        <v>346</v>
      </c>
      <c r="F4" s="19" t="s">
        <v>2067</v>
      </c>
      <c r="G4" s="20" t="s">
        <v>346</v>
      </c>
      <c r="H4" s="136">
        <v>42</v>
      </c>
      <c r="I4" s="19" t="s">
        <v>230</v>
      </c>
      <c r="J4" s="19" t="s">
        <v>347</v>
      </c>
      <c r="K4" s="19" t="s">
        <v>348</v>
      </c>
      <c r="L4" s="19" t="s">
        <v>332</v>
      </c>
      <c r="M4" s="19" t="s">
        <v>234</v>
      </c>
      <c r="N4" s="19" t="s">
        <v>247</v>
      </c>
      <c r="O4" s="19" t="s">
        <v>335</v>
      </c>
      <c r="P4" s="19" t="s">
        <v>237</v>
      </c>
      <c r="Q4" s="19" t="s">
        <v>349</v>
      </c>
      <c r="R4" s="19">
        <v>80</v>
      </c>
      <c r="S4" s="19" t="s">
        <v>239</v>
      </c>
      <c r="T4" s="19" t="s">
        <v>263</v>
      </c>
      <c r="U4" s="20" t="s">
        <v>263</v>
      </c>
      <c r="V4" s="19" t="s">
        <v>2034</v>
      </c>
      <c r="W4" s="19" t="s">
        <v>219</v>
      </c>
      <c r="X4" s="35"/>
      <c r="Y4" s="35"/>
      <c r="Z4" s="32"/>
      <c r="AA4" s="22">
        <v>5</v>
      </c>
      <c r="AB4" s="22"/>
      <c r="AC4" s="22"/>
      <c r="AD4" s="22"/>
      <c r="AE4" s="60">
        <f t="shared" ref="AE4:AE27" si="3">SUM(AA4:AD4)</f>
        <v>5</v>
      </c>
      <c r="AF4" s="22"/>
      <c r="AG4" s="40">
        <f t="shared" ref="AG4:AG27" si="4">AE4+AF4</f>
        <v>5</v>
      </c>
      <c r="AH4" s="24"/>
      <c r="AI4" s="24"/>
      <c r="AJ4" s="121"/>
      <c r="AK4" s="121"/>
      <c r="AL4" s="24"/>
      <c r="AM4" s="24"/>
      <c r="AN4" s="23">
        <f t="shared" ref="AN4:AN28" si="5">AG4-AJ4-AK4+AL4+AM4</f>
        <v>5</v>
      </c>
      <c r="AO4" s="25"/>
      <c r="AP4" s="25">
        <v>5</v>
      </c>
      <c r="AQ4" s="25"/>
      <c r="AR4" s="25"/>
      <c r="AS4" s="25">
        <f t="shared" ref="AS4:AS28" si="6">SUM(AO4:AR4)</f>
        <v>5</v>
      </c>
      <c r="AT4" s="13"/>
      <c r="AU4" s="21"/>
      <c r="AV4" s="21"/>
      <c r="AW4" s="21"/>
      <c r="AX4" s="21"/>
      <c r="AY4" s="21"/>
      <c r="AZ4" s="21"/>
      <c r="BA4" s="77"/>
      <c r="BB4" s="21"/>
      <c r="BC4" s="21"/>
      <c r="BD4" s="21"/>
      <c r="BE4" s="21"/>
      <c r="BF4" s="21"/>
      <c r="BG4" s="77"/>
      <c r="BH4" s="77"/>
      <c r="BI4" s="21"/>
      <c r="BJ4" s="21">
        <v>5</v>
      </c>
      <c r="BK4" s="21"/>
      <c r="BL4" s="21"/>
      <c r="BM4" s="21"/>
      <c r="BN4" s="21"/>
      <c r="BO4" s="77"/>
      <c r="BP4" s="21"/>
      <c r="BQ4" s="21"/>
      <c r="BR4" s="21"/>
      <c r="BS4" s="21"/>
      <c r="BT4" s="21"/>
      <c r="BU4" s="21"/>
      <c r="BV4" s="77"/>
      <c r="BW4" s="96">
        <f t="shared" ref="BW4:BW35" si="7">SUM(AV4:BV4)</f>
        <v>5</v>
      </c>
      <c r="BX4" s="94">
        <f t="shared" ref="BX4:BX35" si="8">AS4-BW4</f>
        <v>0</v>
      </c>
      <c r="BY4" s="26"/>
      <c r="CA4" s="50" t="s">
        <v>346</v>
      </c>
      <c r="CB4" s="19" t="b">
        <f t="shared" ref="CB4:CB27" si="9">CC4=CA4</f>
        <v>1</v>
      </c>
      <c r="CC4" s="19" t="s">
        <v>346</v>
      </c>
      <c r="CD4" s="19" t="s">
        <v>527</v>
      </c>
      <c r="CE4" s="120" t="s">
        <v>507</v>
      </c>
      <c r="CF4" s="120" t="s">
        <v>508</v>
      </c>
      <c r="CG4" s="120" t="s">
        <v>528</v>
      </c>
      <c r="CH4" s="120" t="s">
        <v>529</v>
      </c>
      <c r="CI4" s="120" t="s">
        <v>530</v>
      </c>
      <c r="CJ4" s="120" t="s">
        <v>531</v>
      </c>
      <c r="CK4" s="120" t="s">
        <v>532</v>
      </c>
      <c r="CL4" s="120" t="s">
        <v>533</v>
      </c>
      <c r="CM4" s="120" t="s">
        <v>534</v>
      </c>
      <c r="CN4" s="120" t="s">
        <v>535</v>
      </c>
      <c r="CO4" s="120" t="s">
        <v>536</v>
      </c>
      <c r="CP4" s="120" t="s">
        <v>537</v>
      </c>
      <c r="CQ4" s="120" t="s">
        <v>519</v>
      </c>
      <c r="CR4" s="120" t="s">
        <v>520</v>
      </c>
      <c r="CS4" s="120" t="s">
        <v>538</v>
      </c>
      <c r="CT4" s="120" t="s">
        <v>539</v>
      </c>
      <c r="CU4" s="120" t="s">
        <v>540</v>
      </c>
      <c r="CV4" s="120" t="s">
        <v>541</v>
      </c>
      <c r="CW4" s="120"/>
      <c r="CX4" s="120"/>
      <c r="CY4" s="120"/>
      <c r="CZ4" s="120"/>
      <c r="DA4" s="120"/>
      <c r="DB4" s="120"/>
      <c r="DC4" s="120"/>
      <c r="DD4" s="120"/>
      <c r="DE4" s="18"/>
      <c r="DF4" s="18"/>
    </row>
    <row r="5" spans="1:110" s="7" customFormat="1" x14ac:dyDescent="0.25">
      <c r="A5" s="19" t="s">
        <v>81</v>
      </c>
      <c r="B5" s="19" t="s">
        <v>88</v>
      </c>
      <c r="C5" s="19" t="str">
        <f t="shared" si="2"/>
        <v>85850240SRI LANKA</v>
      </c>
      <c r="D5" s="19">
        <v>85850240</v>
      </c>
      <c r="E5" s="19" t="s">
        <v>346</v>
      </c>
      <c r="F5" s="19" t="s">
        <v>2067</v>
      </c>
      <c r="G5" s="20" t="s">
        <v>346</v>
      </c>
      <c r="H5" s="136">
        <v>42</v>
      </c>
      <c r="I5" s="19" t="s">
        <v>230</v>
      </c>
      <c r="J5" s="19" t="s">
        <v>347</v>
      </c>
      <c r="K5" s="19" t="s">
        <v>348</v>
      </c>
      <c r="L5" s="19" t="s">
        <v>332</v>
      </c>
      <c r="M5" s="19" t="s">
        <v>234</v>
      </c>
      <c r="N5" s="19" t="s">
        <v>247</v>
      </c>
      <c r="O5" s="19" t="s">
        <v>335</v>
      </c>
      <c r="P5" s="19" t="s">
        <v>237</v>
      </c>
      <c r="Q5" s="19" t="s">
        <v>349</v>
      </c>
      <c r="R5" s="19">
        <v>80</v>
      </c>
      <c r="S5" s="19" t="s">
        <v>239</v>
      </c>
      <c r="T5" s="19" t="s">
        <v>263</v>
      </c>
      <c r="U5" s="20" t="s">
        <v>263</v>
      </c>
      <c r="V5" s="19" t="s">
        <v>128</v>
      </c>
      <c r="W5" s="19" t="s">
        <v>219</v>
      </c>
      <c r="X5" s="35"/>
      <c r="Y5" s="35"/>
      <c r="Z5" s="32"/>
      <c r="AA5" s="22">
        <v>5</v>
      </c>
      <c r="AB5" s="22"/>
      <c r="AC5" s="22"/>
      <c r="AD5" s="22"/>
      <c r="AE5" s="60">
        <f t="shared" si="3"/>
        <v>5</v>
      </c>
      <c r="AF5" s="22"/>
      <c r="AG5" s="40">
        <f t="shared" si="4"/>
        <v>5</v>
      </c>
      <c r="AH5" s="24"/>
      <c r="AI5" s="24"/>
      <c r="AJ5" s="121"/>
      <c r="AK5" s="121"/>
      <c r="AL5" s="24"/>
      <c r="AM5" s="24"/>
      <c r="AN5" s="23">
        <f t="shared" si="5"/>
        <v>5</v>
      </c>
      <c r="AO5" s="25"/>
      <c r="AP5" s="25">
        <v>5</v>
      </c>
      <c r="AQ5" s="25"/>
      <c r="AR5" s="25"/>
      <c r="AS5" s="25">
        <f t="shared" si="6"/>
        <v>5</v>
      </c>
      <c r="AT5" s="13"/>
      <c r="AU5" s="21"/>
      <c r="AV5" s="21"/>
      <c r="AW5" s="21"/>
      <c r="AX5" s="21"/>
      <c r="AY5" s="21"/>
      <c r="AZ5" s="21"/>
      <c r="BA5" s="77"/>
      <c r="BB5" s="21"/>
      <c r="BC5" s="21"/>
      <c r="BD5" s="21"/>
      <c r="BE5" s="21"/>
      <c r="BF5" s="21"/>
      <c r="BG5" s="77"/>
      <c r="BH5" s="77"/>
      <c r="BI5" s="21">
        <v>5</v>
      </c>
      <c r="BJ5" s="21"/>
      <c r="BK5" s="21"/>
      <c r="BL5" s="21"/>
      <c r="BM5" s="21"/>
      <c r="BN5" s="21"/>
      <c r="BO5" s="77"/>
      <c r="BP5" s="21"/>
      <c r="BQ5" s="21"/>
      <c r="BR5" s="21"/>
      <c r="BS5" s="21"/>
      <c r="BT5" s="21"/>
      <c r="BU5" s="21"/>
      <c r="BV5" s="77"/>
      <c r="BW5" s="96">
        <f t="shared" si="7"/>
        <v>5</v>
      </c>
      <c r="BX5" s="94">
        <f t="shared" si="8"/>
        <v>0</v>
      </c>
      <c r="BY5" s="26"/>
      <c r="CA5" s="50" t="s">
        <v>346</v>
      </c>
      <c r="CB5" s="19" t="b">
        <f t="shared" si="9"/>
        <v>1</v>
      </c>
      <c r="CC5" s="19" t="s">
        <v>346</v>
      </c>
      <c r="CD5" s="19" t="s">
        <v>527</v>
      </c>
      <c r="CE5" s="120" t="s">
        <v>507</v>
      </c>
      <c r="CF5" s="120" t="s">
        <v>508</v>
      </c>
      <c r="CG5" s="120" t="s">
        <v>528</v>
      </c>
      <c r="CH5" s="120" t="s">
        <v>529</v>
      </c>
      <c r="CI5" s="120" t="s">
        <v>530</v>
      </c>
      <c r="CJ5" s="120" t="s">
        <v>531</v>
      </c>
      <c r="CK5" s="120" t="s">
        <v>532</v>
      </c>
      <c r="CL5" s="120" t="s">
        <v>533</v>
      </c>
      <c r="CM5" s="120" t="s">
        <v>534</v>
      </c>
      <c r="CN5" s="120" t="s">
        <v>535</v>
      </c>
      <c r="CO5" s="120" t="s">
        <v>536</v>
      </c>
      <c r="CP5" s="120" t="s">
        <v>537</v>
      </c>
      <c r="CQ5" s="120" t="s">
        <v>519</v>
      </c>
      <c r="CR5" s="120" t="s">
        <v>520</v>
      </c>
      <c r="CS5" s="120" t="s">
        <v>538</v>
      </c>
      <c r="CT5" s="120" t="s">
        <v>539</v>
      </c>
      <c r="CU5" s="120" t="s">
        <v>540</v>
      </c>
      <c r="CV5" s="120" t="s">
        <v>541</v>
      </c>
      <c r="CW5" s="120"/>
      <c r="CX5" s="120"/>
      <c r="CY5" s="120"/>
      <c r="CZ5" s="120"/>
      <c r="DA5" s="120"/>
      <c r="DB5" s="120"/>
      <c r="DC5" s="120"/>
      <c r="DD5" s="120"/>
      <c r="DE5" s="18"/>
      <c r="DF5" s="18"/>
    </row>
    <row r="6" spans="1:110" s="7" customFormat="1" x14ac:dyDescent="0.25">
      <c r="A6" s="19" t="s">
        <v>81</v>
      </c>
      <c r="B6" s="19" t="s">
        <v>87</v>
      </c>
      <c r="C6" s="19" t="str">
        <f t="shared" si="2"/>
        <v>85855569BANGLADESH</v>
      </c>
      <c r="D6" s="19">
        <v>85855569</v>
      </c>
      <c r="E6" s="19" t="s">
        <v>378</v>
      </c>
      <c r="F6" s="19" t="s">
        <v>2067</v>
      </c>
      <c r="G6" s="20" t="s">
        <v>378</v>
      </c>
      <c r="H6" s="136">
        <v>165</v>
      </c>
      <c r="I6" s="19" t="s">
        <v>230</v>
      </c>
      <c r="J6" s="19" t="s">
        <v>337</v>
      </c>
      <c r="K6" s="19" t="s">
        <v>348</v>
      </c>
      <c r="L6" s="19" t="s">
        <v>332</v>
      </c>
      <c r="M6" s="19" t="s">
        <v>345</v>
      </c>
      <c r="N6" s="19" t="s">
        <v>247</v>
      </c>
      <c r="O6" s="19" t="s">
        <v>335</v>
      </c>
      <c r="P6" s="19" t="s">
        <v>237</v>
      </c>
      <c r="Q6" s="19" t="s">
        <v>349</v>
      </c>
      <c r="R6" s="19">
        <v>80</v>
      </c>
      <c r="S6" s="19" t="s">
        <v>239</v>
      </c>
      <c r="T6" s="19" t="s">
        <v>263</v>
      </c>
      <c r="U6" s="20" t="s">
        <v>263</v>
      </c>
      <c r="V6" s="19" t="s">
        <v>133</v>
      </c>
      <c r="W6" s="19" t="s">
        <v>221</v>
      </c>
      <c r="X6" s="35">
        <v>10</v>
      </c>
      <c r="Y6" s="35">
        <v>10</v>
      </c>
      <c r="Z6" s="32"/>
      <c r="AA6" s="22">
        <v>20</v>
      </c>
      <c r="AB6" s="22"/>
      <c r="AC6" s="22"/>
      <c r="AD6" s="22"/>
      <c r="AE6" s="60">
        <f t="shared" si="3"/>
        <v>20</v>
      </c>
      <c r="AF6" s="22"/>
      <c r="AG6" s="40">
        <f t="shared" si="4"/>
        <v>20</v>
      </c>
      <c r="AH6" s="24"/>
      <c r="AI6" s="24"/>
      <c r="AJ6" s="121"/>
      <c r="AK6" s="121"/>
      <c r="AL6" s="24"/>
      <c r="AM6" s="24"/>
      <c r="AN6" s="23">
        <f t="shared" si="5"/>
        <v>20</v>
      </c>
      <c r="AO6" s="25"/>
      <c r="AP6" s="25">
        <v>10</v>
      </c>
      <c r="AQ6" s="25">
        <v>10</v>
      </c>
      <c r="AR6" s="25"/>
      <c r="AS6" s="25">
        <f t="shared" si="6"/>
        <v>20</v>
      </c>
      <c r="AT6" s="13"/>
      <c r="AU6" s="21"/>
      <c r="AV6" s="21"/>
      <c r="AW6" s="21"/>
      <c r="AX6" s="21"/>
      <c r="AY6" s="21"/>
      <c r="AZ6" s="21"/>
      <c r="BA6" s="77"/>
      <c r="BB6" s="21"/>
      <c r="BC6" s="21"/>
      <c r="BD6" s="21"/>
      <c r="BE6" s="21"/>
      <c r="BF6" s="21">
        <v>5</v>
      </c>
      <c r="BG6" s="77"/>
      <c r="BH6" s="77"/>
      <c r="BI6" s="21">
        <v>5</v>
      </c>
      <c r="BJ6" s="21">
        <v>10</v>
      </c>
      <c r="BK6" s="21"/>
      <c r="BL6" s="21"/>
      <c r="BM6" s="21"/>
      <c r="BN6" s="21"/>
      <c r="BO6" s="77"/>
      <c r="BP6" s="21"/>
      <c r="BQ6" s="21"/>
      <c r="BR6" s="21"/>
      <c r="BS6" s="21"/>
      <c r="BT6" s="21"/>
      <c r="BU6" s="21"/>
      <c r="BV6" s="77"/>
      <c r="BW6" s="96">
        <f t="shared" si="7"/>
        <v>20</v>
      </c>
      <c r="BX6" s="94">
        <f t="shared" si="8"/>
        <v>0</v>
      </c>
      <c r="BY6" s="26"/>
      <c r="CA6" s="50" t="s">
        <v>378</v>
      </c>
      <c r="CB6" s="19" t="b">
        <f t="shared" si="9"/>
        <v>1</v>
      </c>
      <c r="CC6" s="19" t="s">
        <v>378</v>
      </c>
      <c r="CD6" s="19" t="s">
        <v>546</v>
      </c>
      <c r="CE6" s="120" t="s">
        <v>507</v>
      </c>
      <c r="CF6" s="120" t="s">
        <v>508</v>
      </c>
      <c r="CG6" s="120" t="s">
        <v>547</v>
      </c>
      <c r="CH6" s="120" t="s">
        <v>548</v>
      </c>
      <c r="CI6" s="120" t="s">
        <v>549</v>
      </c>
      <c r="CJ6" s="120" t="s">
        <v>550</v>
      </c>
      <c r="CK6" s="120" t="s">
        <v>551</v>
      </c>
      <c r="CL6" s="120" t="s">
        <v>552</v>
      </c>
      <c r="CM6" s="120" t="s">
        <v>553</v>
      </c>
      <c r="CN6" s="120" t="s">
        <v>535</v>
      </c>
      <c r="CO6" s="120" t="s">
        <v>554</v>
      </c>
      <c r="CP6" s="120" t="s">
        <v>555</v>
      </c>
      <c r="CQ6" s="120" t="s">
        <v>519</v>
      </c>
      <c r="CR6" s="120" t="s">
        <v>520</v>
      </c>
      <c r="CS6" s="120" t="s">
        <v>525</v>
      </c>
      <c r="CT6" s="120" t="s">
        <v>526</v>
      </c>
      <c r="CU6" s="120" t="s">
        <v>556</v>
      </c>
      <c r="CV6" s="120" t="s">
        <v>557</v>
      </c>
      <c r="CW6" s="120"/>
      <c r="CX6" s="120"/>
      <c r="CY6" s="120"/>
      <c r="CZ6" s="120"/>
      <c r="DA6" s="120"/>
      <c r="DB6" s="120"/>
      <c r="DC6" s="120"/>
      <c r="DD6" s="120"/>
      <c r="DE6" s="18"/>
      <c r="DF6" s="18"/>
    </row>
    <row r="7" spans="1:110" s="7" customFormat="1" x14ac:dyDescent="0.25">
      <c r="A7" s="19" t="s">
        <v>81</v>
      </c>
      <c r="B7" s="19" t="s">
        <v>91</v>
      </c>
      <c r="C7" s="19" t="str">
        <f t="shared" si="2"/>
        <v>80752508Sri Lanka</v>
      </c>
      <c r="D7" s="19">
        <v>80752508</v>
      </c>
      <c r="E7" s="19" t="s">
        <v>363</v>
      </c>
      <c r="F7" s="19" t="s">
        <v>2067</v>
      </c>
      <c r="G7" s="20" t="s">
        <v>363</v>
      </c>
      <c r="H7" s="136">
        <v>165</v>
      </c>
      <c r="I7" s="19" t="s">
        <v>230</v>
      </c>
      <c r="J7" s="19" t="s">
        <v>347</v>
      </c>
      <c r="K7" s="19" t="s">
        <v>364</v>
      </c>
      <c r="L7" s="19" t="s">
        <v>233</v>
      </c>
      <c r="M7" s="19" t="s">
        <v>268</v>
      </c>
      <c r="N7" s="19" t="s">
        <v>247</v>
      </c>
      <c r="O7" s="19" t="s">
        <v>270</v>
      </c>
      <c r="P7" s="19" t="s">
        <v>237</v>
      </c>
      <c r="Q7" s="19" t="s">
        <v>365</v>
      </c>
      <c r="R7" s="19">
        <v>150</v>
      </c>
      <c r="S7" s="19" t="s">
        <v>272</v>
      </c>
      <c r="T7" s="19" t="s">
        <v>263</v>
      </c>
      <c r="U7" s="20" t="s">
        <v>263</v>
      </c>
      <c r="V7" s="19" t="s">
        <v>129</v>
      </c>
      <c r="W7" s="19" t="s">
        <v>219</v>
      </c>
      <c r="X7" s="35">
        <v>10</v>
      </c>
      <c r="Y7" s="35"/>
      <c r="Z7" s="32"/>
      <c r="AA7" s="22">
        <v>10</v>
      </c>
      <c r="AB7" s="22"/>
      <c r="AC7" s="22"/>
      <c r="AD7" s="22"/>
      <c r="AE7" s="60">
        <f t="shared" si="3"/>
        <v>10</v>
      </c>
      <c r="AF7" s="22"/>
      <c r="AG7" s="40">
        <f t="shared" si="4"/>
        <v>10</v>
      </c>
      <c r="AH7" s="24"/>
      <c r="AI7" s="24"/>
      <c r="AJ7" s="121"/>
      <c r="AK7" s="121"/>
      <c r="AL7" s="24"/>
      <c r="AM7" s="24"/>
      <c r="AN7" s="23">
        <f t="shared" si="5"/>
        <v>10</v>
      </c>
      <c r="AO7" s="25"/>
      <c r="AP7" s="25"/>
      <c r="AQ7" s="25">
        <v>10</v>
      </c>
      <c r="AR7" s="25"/>
      <c r="AS7" s="25">
        <f t="shared" si="6"/>
        <v>10</v>
      </c>
      <c r="AT7" s="13"/>
      <c r="AU7" s="21"/>
      <c r="AV7" s="21"/>
      <c r="AW7" s="21"/>
      <c r="AX7" s="21"/>
      <c r="AY7" s="21"/>
      <c r="AZ7" s="21"/>
      <c r="BA7" s="77"/>
      <c r="BB7" s="21"/>
      <c r="BC7" s="21"/>
      <c r="BD7" s="21"/>
      <c r="BE7" s="21"/>
      <c r="BF7" s="21"/>
      <c r="BG7" s="77"/>
      <c r="BH7" s="77"/>
      <c r="BI7" s="21"/>
      <c r="BJ7" s="21"/>
      <c r="BK7" s="21"/>
      <c r="BL7" s="21"/>
      <c r="BM7" s="21">
        <v>5</v>
      </c>
      <c r="BN7" s="21">
        <v>5</v>
      </c>
      <c r="BO7" s="77"/>
      <c r="BP7" s="21"/>
      <c r="BQ7" s="21"/>
      <c r="BR7" s="21"/>
      <c r="BS7" s="21"/>
      <c r="BT7" s="21"/>
      <c r="BU7" s="21"/>
      <c r="BV7" s="77"/>
      <c r="BW7" s="96">
        <f t="shared" si="7"/>
        <v>10</v>
      </c>
      <c r="BX7" s="94">
        <f t="shared" si="8"/>
        <v>0</v>
      </c>
      <c r="BY7" s="26"/>
      <c r="CA7" s="50" t="s">
        <v>363</v>
      </c>
      <c r="CB7" s="19" t="b">
        <f t="shared" si="9"/>
        <v>1</v>
      </c>
      <c r="CC7" s="19" t="s">
        <v>363</v>
      </c>
      <c r="CD7" s="19" t="s">
        <v>560</v>
      </c>
      <c r="CE7" s="120" t="s">
        <v>561</v>
      </c>
      <c r="CF7" s="120" t="s">
        <v>562</v>
      </c>
      <c r="CG7" s="120" t="s">
        <v>563</v>
      </c>
      <c r="CH7" s="120" t="s">
        <v>564</v>
      </c>
      <c r="CI7" s="120" t="s">
        <v>542</v>
      </c>
      <c r="CJ7" s="120" t="s">
        <v>543</v>
      </c>
      <c r="CK7" s="120" t="s">
        <v>544</v>
      </c>
      <c r="CL7" s="120" t="s">
        <v>545</v>
      </c>
      <c r="CM7" s="120" t="s">
        <v>565</v>
      </c>
      <c r="CN7" s="120" t="s">
        <v>566</v>
      </c>
      <c r="CO7" s="120" t="s">
        <v>567</v>
      </c>
      <c r="CP7" s="120" t="s">
        <v>568</v>
      </c>
      <c r="CQ7" s="120"/>
      <c r="CR7" s="120"/>
      <c r="CS7" s="120" t="s">
        <v>538</v>
      </c>
      <c r="CT7" s="120" t="s">
        <v>539</v>
      </c>
      <c r="CU7" s="120" t="s">
        <v>569</v>
      </c>
      <c r="CV7" s="120" t="s">
        <v>570</v>
      </c>
      <c r="CW7" s="120"/>
      <c r="CX7" s="120"/>
      <c r="CY7" s="120"/>
      <c r="CZ7" s="120"/>
      <c r="DA7" s="120"/>
      <c r="DB7" s="120"/>
      <c r="DC7" s="120"/>
      <c r="DD7" s="120"/>
      <c r="DE7" s="18"/>
      <c r="DF7" s="18"/>
    </row>
    <row r="8" spans="1:110" s="7" customFormat="1" x14ac:dyDescent="0.25">
      <c r="A8" s="19" t="s">
        <v>81</v>
      </c>
      <c r="B8" s="19" t="s">
        <v>1742</v>
      </c>
      <c r="C8" s="19" t="str">
        <f t="shared" si="2"/>
        <v>80451232ZAMBIA</v>
      </c>
      <c r="D8" s="19">
        <v>80451232</v>
      </c>
      <c r="E8" s="19" t="s">
        <v>389</v>
      </c>
      <c r="F8" s="19" t="s">
        <v>2067</v>
      </c>
      <c r="G8" s="20" t="s">
        <v>389</v>
      </c>
      <c r="H8" s="136">
        <v>17</v>
      </c>
      <c r="I8" s="19" t="s">
        <v>230</v>
      </c>
      <c r="J8" s="19" t="s">
        <v>337</v>
      </c>
      <c r="K8" s="19" t="s">
        <v>390</v>
      </c>
      <c r="L8" s="19" t="s">
        <v>279</v>
      </c>
      <c r="M8" s="19" t="s">
        <v>268</v>
      </c>
      <c r="N8" s="19" t="s">
        <v>247</v>
      </c>
      <c r="O8" s="19" t="s">
        <v>275</v>
      </c>
      <c r="P8" s="19" t="s">
        <v>237</v>
      </c>
      <c r="Q8" s="19" t="s">
        <v>391</v>
      </c>
      <c r="R8" s="19">
        <v>200</v>
      </c>
      <c r="S8" s="19" t="s">
        <v>272</v>
      </c>
      <c r="T8" s="19" t="s">
        <v>263</v>
      </c>
      <c r="U8" s="20" t="s">
        <v>263</v>
      </c>
      <c r="V8" s="19" t="s">
        <v>141</v>
      </c>
      <c r="W8" s="19" t="s">
        <v>221</v>
      </c>
      <c r="X8" s="35"/>
      <c r="Y8" s="35">
        <v>5</v>
      </c>
      <c r="Z8" s="32"/>
      <c r="AA8" s="22">
        <v>10</v>
      </c>
      <c r="AB8" s="22"/>
      <c r="AC8" s="22"/>
      <c r="AD8" s="22"/>
      <c r="AE8" s="60">
        <f t="shared" si="3"/>
        <v>10</v>
      </c>
      <c r="AF8" s="22"/>
      <c r="AG8" s="40">
        <f t="shared" si="4"/>
        <v>10</v>
      </c>
      <c r="AH8" s="24"/>
      <c r="AI8" s="24"/>
      <c r="AJ8" s="121"/>
      <c r="AK8" s="121"/>
      <c r="AL8" s="24"/>
      <c r="AM8" s="24"/>
      <c r="AN8" s="23">
        <f t="shared" si="5"/>
        <v>10</v>
      </c>
      <c r="AO8" s="25"/>
      <c r="AP8" s="25">
        <v>10</v>
      </c>
      <c r="AQ8" s="25"/>
      <c r="AR8" s="25"/>
      <c r="AS8" s="25">
        <f t="shared" si="6"/>
        <v>10</v>
      </c>
      <c r="AT8" s="13"/>
      <c r="AU8" s="21"/>
      <c r="AV8" s="21"/>
      <c r="AW8" s="21"/>
      <c r="AX8" s="21"/>
      <c r="AY8" s="21"/>
      <c r="AZ8" s="21"/>
      <c r="BA8" s="77"/>
      <c r="BB8" s="21"/>
      <c r="BC8" s="21"/>
      <c r="BD8" s="21"/>
      <c r="BE8" s="21"/>
      <c r="BF8" s="21"/>
      <c r="BG8" s="77"/>
      <c r="BH8" s="77"/>
      <c r="BI8" s="21">
        <v>5</v>
      </c>
      <c r="BJ8" s="21">
        <v>5</v>
      </c>
      <c r="BK8" s="21"/>
      <c r="BL8" s="21"/>
      <c r="BM8" s="21"/>
      <c r="BN8" s="21"/>
      <c r="BO8" s="77"/>
      <c r="BP8" s="21"/>
      <c r="BQ8" s="21"/>
      <c r="BR8" s="21"/>
      <c r="BS8" s="21"/>
      <c r="BT8" s="21"/>
      <c r="BU8" s="21"/>
      <c r="BV8" s="77"/>
      <c r="BW8" s="96">
        <f t="shared" si="7"/>
        <v>10</v>
      </c>
      <c r="BX8" s="94">
        <f t="shared" si="8"/>
        <v>0</v>
      </c>
      <c r="BY8" s="26"/>
      <c r="CA8" s="50" t="s">
        <v>389</v>
      </c>
      <c r="CB8" s="19" t="b">
        <f t="shared" si="9"/>
        <v>1</v>
      </c>
      <c r="CC8" s="19" t="s">
        <v>389</v>
      </c>
      <c r="CD8" s="19" t="s">
        <v>574</v>
      </c>
      <c r="CE8" s="120" t="s">
        <v>561</v>
      </c>
      <c r="CF8" s="120" t="s">
        <v>562</v>
      </c>
      <c r="CG8" s="120" t="s">
        <v>575</v>
      </c>
      <c r="CH8" s="120" t="s">
        <v>576</v>
      </c>
      <c r="CI8" s="120" t="s">
        <v>577</v>
      </c>
      <c r="CJ8" s="120" t="s">
        <v>578</v>
      </c>
      <c r="CK8" s="120" t="s">
        <v>579</v>
      </c>
      <c r="CL8" s="120" t="s">
        <v>580</v>
      </c>
      <c r="CM8" s="120" t="s">
        <v>581</v>
      </c>
      <c r="CN8" s="120" t="s">
        <v>582</v>
      </c>
      <c r="CO8" s="120" t="s">
        <v>583</v>
      </c>
      <c r="CP8" s="120" t="s">
        <v>584</v>
      </c>
      <c r="CQ8" s="120"/>
      <c r="CR8" s="120"/>
      <c r="CS8" s="120" t="s">
        <v>585</v>
      </c>
      <c r="CT8" s="120" t="s">
        <v>586</v>
      </c>
      <c r="CU8" s="120" t="s">
        <v>587</v>
      </c>
      <c r="CV8" s="120" t="s">
        <v>588</v>
      </c>
      <c r="CW8" s="120"/>
      <c r="CX8" s="120"/>
      <c r="CY8" s="120"/>
      <c r="CZ8" s="120"/>
      <c r="DA8" s="120"/>
      <c r="DB8" s="120"/>
      <c r="DC8" s="120"/>
      <c r="DD8" s="120"/>
      <c r="DE8" s="18"/>
      <c r="DF8" s="18"/>
    </row>
    <row r="9" spans="1:110" s="7" customFormat="1" x14ac:dyDescent="0.25">
      <c r="A9" s="19" t="s">
        <v>81</v>
      </c>
      <c r="B9" s="19" t="s">
        <v>84</v>
      </c>
      <c r="C9" s="19" t="str">
        <f t="shared" si="2"/>
        <v>80451232TANZANIA</v>
      </c>
      <c r="D9" s="19">
        <v>80451232</v>
      </c>
      <c r="E9" s="19" t="s">
        <v>389</v>
      </c>
      <c r="F9" s="19" t="s">
        <v>2067</v>
      </c>
      <c r="G9" s="20" t="s">
        <v>389</v>
      </c>
      <c r="H9" s="136">
        <v>17</v>
      </c>
      <c r="I9" s="19" t="s">
        <v>230</v>
      </c>
      <c r="J9" s="19" t="s">
        <v>337</v>
      </c>
      <c r="K9" s="19" t="s">
        <v>390</v>
      </c>
      <c r="L9" s="19" t="s">
        <v>279</v>
      </c>
      <c r="M9" s="19" t="s">
        <v>268</v>
      </c>
      <c r="N9" s="19" t="s">
        <v>247</v>
      </c>
      <c r="O9" s="19" t="s">
        <v>275</v>
      </c>
      <c r="P9" s="19" t="s">
        <v>237</v>
      </c>
      <c r="Q9" s="19" t="s">
        <v>391</v>
      </c>
      <c r="R9" s="19">
        <v>200</v>
      </c>
      <c r="S9" s="19" t="s">
        <v>272</v>
      </c>
      <c r="T9" s="19" t="s">
        <v>263</v>
      </c>
      <c r="U9" s="20" t="s">
        <v>263</v>
      </c>
      <c r="V9" s="19" t="s">
        <v>141</v>
      </c>
      <c r="W9" s="19" t="s">
        <v>221</v>
      </c>
      <c r="X9" s="35">
        <v>3</v>
      </c>
      <c r="Y9" s="35">
        <v>2</v>
      </c>
      <c r="Z9" s="32"/>
      <c r="AA9" s="22"/>
      <c r="AB9" s="22"/>
      <c r="AC9" s="22"/>
      <c r="AD9" s="22"/>
      <c r="AE9" s="60">
        <f t="shared" si="3"/>
        <v>0</v>
      </c>
      <c r="AF9" s="22"/>
      <c r="AG9" s="40">
        <f t="shared" si="4"/>
        <v>0</v>
      </c>
      <c r="AH9" s="24"/>
      <c r="AI9" s="24"/>
      <c r="AJ9" s="121"/>
      <c r="AK9" s="121"/>
      <c r="AL9" s="24"/>
      <c r="AM9" s="24"/>
      <c r="AN9" s="23">
        <f t="shared" si="5"/>
        <v>0</v>
      </c>
      <c r="AO9" s="25"/>
      <c r="AP9" s="25"/>
      <c r="AQ9" s="25"/>
      <c r="AR9" s="25"/>
      <c r="AS9" s="25">
        <f t="shared" si="6"/>
        <v>0</v>
      </c>
      <c r="AT9" s="13"/>
      <c r="AU9" s="21"/>
      <c r="AV9" s="21"/>
      <c r="AW9" s="21"/>
      <c r="AX9" s="21"/>
      <c r="AY9" s="21"/>
      <c r="AZ9" s="21"/>
      <c r="BA9" s="77"/>
      <c r="BB9" s="21"/>
      <c r="BC9" s="21"/>
      <c r="BD9" s="21"/>
      <c r="BE9" s="21"/>
      <c r="BF9" s="21"/>
      <c r="BG9" s="77"/>
      <c r="BH9" s="77"/>
      <c r="BI9" s="21"/>
      <c r="BJ9" s="21"/>
      <c r="BK9" s="21"/>
      <c r="BL9" s="21"/>
      <c r="BM9" s="21"/>
      <c r="BN9" s="21"/>
      <c r="BO9" s="77"/>
      <c r="BP9" s="21"/>
      <c r="BQ9" s="21"/>
      <c r="BR9" s="21"/>
      <c r="BS9" s="21"/>
      <c r="BT9" s="21"/>
      <c r="BU9" s="21"/>
      <c r="BV9" s="77"/>
      <c r="BW9" s="96">
        <f t="shared" si="7"/>
        <v>0</v>
      </c>
      <c r="BX9" s="94">
        <f t="shared" si="8"/>
        <v>0</v>
      </c>
      <c r="BY9" s="26"/>
      <c r="CA9" s="50" t="s">
        <v>389</v>
      </c>
      <c r="CB9" s="19" t="b">
        <f t="shared" si="9"/>
        <v>1</v>
      </c>
      <c r="CC9" s="19" t="s">
        <v>389</v>
      </c>
      <c r="CD9" s="19" t="s">
        <v>574</v>
      </c>
      <c r="CE9" s="120" t="s">
        <v>561</v>
      </c>
      <c r="CF9" s="120" t="s">
        <v>562</v>
      </c>
      <c r="CG9" s="120" t="s">
        <v>575</v>
      </c>
      <c r="CH9" s="120" t="s">
        <v>576</v>
      </c>
      <c r="CI9" s="120" t="s">
        <v>577</v>
      </c>
      <c r="CJ9" s="120" t="s">
        <v>578</v>
      </c>
      <c r="CK9" s="120" t="s">
        <v>579</v>
      </c>
      <c r="CL9" s="120" t="s">
        <v>580</v>
      </c>
      <c r="CM9" s="120" t="s">
        <v>581</v>
      </c>
      <c r="CN9" s="120" t="s">
        <v>582</v>
      </c>
      <c r="CO9" s="120" t="s">
        <v>583</v>
      </c>
      <c r="CP9" s="120" t="s">
        <v>584</v>
      </c>
      <c r="CQ9" s="120"/>
      <c r="CR9" s="120"/>
      <c r="CS9" s="120" t="s">
        <v>585</v>
      </c>
      <c r="CT9" s="120" t="s">
        <v>586</v>
      </c>
      <c r="CU9" s="120" t="s">
        <v>587</v>
      </c>
      <c r="CV9" s="120" t="s">
        <v>588</v>
      </c>
      <c r="CW9" s="120"/>
      <c r="CX9" s="120"/>
      <c r="CY9" s="120"/>
      <c r="CZ9" s="120"/>
      <c r="DA9" s="120"/>
      <c r="DB9" s="120"/>
      <c r="DC9" s="120"/>
      <c r="DD9" s="120"/>
      <c r="DE9" s="18"/>
      <c r="DF9" s="18"/>
    </row>
    <row r="10" spans="1:110" s="7" customFormat="1" x14ac:dyDescent="0.25">
      <c r="A10" s="19" t="s">
        <v>81</v>
      </c>
      <c r="B10" s="19" t="s">
        <v>84</v>
      </c>
      <c r="C10" s="19" t="str">
        <f t="shared" si="2"/>
        <v>80456640TANZANIA</v>
      </c>
      <c r="D10" s="19">
        <v>80456640</v>
      </c>
      <c r="E10" s="19" t="s">
        <v>392</v>
      </c>
      <c r="F10" s="19" t="s">
        <v>2067</v>
      </c>
      <c r="G10" s="20" t="s">
        <v>392</v>
      </c>
      <c r="H10" s="136">
        <v>15</v>
      </c>
      <c r="I10" s="19" t="s">
        <v>230</v>
      </c>
      <c r="J10" s="19" t="s">
        <v>337</v>
      </c>
      <c r="K10" s="19" t="s">
        <v>390</v>
      </c>
      <c r="L10" s="19" t="s">
        <v>279</v>
      </c>
      <c r="M10" s="19" t="s">
        <v>268</v>
      </c>
      <c r="N10" s="19" t="s">
        <v>247</v>
      </c>
      <c r="O10" s="19" t="s">
        <v>275</v>
      </c>
      <c r="P10" s="19" t="s">
        <v>237</v>
      </c>
      <c r="Q10" s="19" t="s">
        <v>391</v>
      </c>
      <c r="R10" s="19">
        <v>200</v>
      </c>
      <c r="S10" s="19" t="s">
        <v>272</v>
      </c>
      <c r="T10" s="19" t="s">
        <v>263</v>
      </c>
      <c r="U10" s="20" t="s">
        <v>263</v>
      </c>
      <c r="V10" s="19" t="s">
        <v>142</v>
      </c>
      <c r="W10" s="19" t="s">
        <v>221</v>
      </c>
      <c r="X10" s="35"/>
      <c r="Y10" s="35"/>
      <c r="Z10" s="32"/>
      <c r="AA10" s="22">
        <v>5</v>
      </c>
      <c r="AB10" s="22"/>
      <c r="AC10" s="22"/>
      <c r="AD10" s="22"/>
      <c r="AE10" s="60">
        <f t="shared" si="3"/>
        <v>5</v>
      </c>
      <c r="AF10" s="22"/>
      <c r="AG10" s="40">
        <f t="shared" si="4"/>
        <v>5</v>
      </c>
      <c r="AH10" s="24"/>
      <c r="AI10" s="24"/>
      <c r="AJ10" s="121"/>
      <c r="AK10" s="121"/>
      <c r="AL10" s="24"/>
      <c r="AM10" s="24"/>
      <c r="AN10" s="23">
        <f t="shared" si="5"/>
        <v>5</v>
      </c>
      <c r="AO10" s="25"/>
      <c r="AP10" s="25">
        <v>5</v>
      </c>
      <c r="AQ10" s="25"/>
      <c r="AR10" s="25"/>
      <c r="AS10" s="25">
        <f t="shared" si="6"/>
        <v>5</v>
      </c>
      <c r="AT10" s="13"/>
      <c r="AU10" s="21"/>
      <c r="AV10" s="21"/>
      <c r="AW10" s="21"/>
      <c r="AX10" s="21"/>
      <c r="AY10" s="21"/>
      <c r="AZ10" s="21"/>
      <c r="BA10" s="77"/>
      <c r="BB10" s="21"/>
      <c r="BC10" s="21"/>
      <c r="BD10" s="21"/>
      <c r="BE10" s="21"/>
      <c r="BF10" s="21"/>
      <c r="BG10" s="77"/>
      <c r="BH10" s="77"/>
      <c r="BI10" s="21"/>
      <c r="BJ10" s="21">
        <v>5</v>
      </c>
      <c r="BK10" s="21"/>
      <c r="BL10" s="21"/>
      <c r="BM10" s="21"/>
      <c r="BN10" s="21"/>
      <c r="BO10" s="77"/>
      <c r="BP10" s="21"/>
      <c r="BQ10" s="21"/>
      <c r="BR10" s="21"/>
      <c r="BS10" s="21"/>
      <c r="BT10" s="21"/>
      <c r="BU10" s="21"/>
      <c r="BV10" s="77"/>
      <c r="BW10" s="96">
        <f t="shared" si="7"/>
        <v>5</v>
      </c>
      <c r="BX10" s="94">
        <f t="shared" si="8"/>
        <v>0</v>
      </c>
      <c r="BY10" s="26"/>
      <c r="CA10" s="50" t="s">
        <v>392</v>
      </c>
      <c r="CB10" s="19" t="b">
        <f t="shared" si="9"/>
        <v>1</v>
      </c>
      <c r="CC10" s="19" t="s">
        <v>392</v>
      </c>
      <c r="CD10" s="19" t="s">
        <v>589</v>
      </c>
      <c r="CE10" s="120" t="s">
        <v>561</v>
      </c>
      <c r="CF10" s="120" t="s">
        <v>562</v>
      </c>
      <c r="CG10" s="120" t="s">
        <v>590</v>
      </c>
      <c r="CH10" s="120" t="s">
        <v>503</v>
      </c>
      <c r="CI10" s="120" t="s">
        <v>558</v>
      </c>
      <c r="CJ10" s="120" t="s">
        <v>559</v>
      </c>
      <c r="CK10" s="120" t="s">
        <v>591</v>
      </c>
      <c r="CL10" s="120" t="s">
        <v>592</v>
      </c>
      <c r="CM10" s="120" t="s">
        <v>593</v>
      </c>
      <c r="CN10" s="120" t="s">
        <v>594</v>
      </c>
      <c r="CO10" s="120" t="s">
        <v>583</v>
      </c>
      <c r="CP10" s="120" t="s">
        <v>584</v>
      </c>
      <c r="CQ10" s="120"/>
      <c r="CR10" s="120"/>
      <c r="CS10" s="120" t="s">
        <v>585</v>
      </c>
      <c r="CT10" s="120" t="s">
        <v>586</v>
      </c>
      <c r="CU10" s="120" t="s">
        <v>595</v>
      </c>
      <c r="CV10" s="120" t="s">
        <v>596</v>
      </c>
      <c r="CW10" s="120"/>
      <c r="CX10" s="120"/>
      <c r="CY10" s="120"/>
      <c r="CZ10" s="120"/>
      <c r="DA10" s="120"/>
      <c r="DB10" s="120"/>
      <c r="DC10" s="120"/>
      <c r="DD10" s="120"/>
      <c r="DE10" s="18"/>
      <c r="DF10" s="18"/>
    </row>
    <row r="11" spans="1:110" s="7" customFormat="1" x14ac:dyDescent="0.25">
      <c r="A11" s="19" t="s">
        <v>81</v>
      </c>
      <c r="B11" s="19" t="s">
        <v>85</v>
      </c>
      <c r="C11" s="19" t="str">
        <f t="shared" si="2"/>
        <v>87154796ZIMBABWE</v>
      </c>
      <c r="D11" s="19">
        <v>87154796</v>
      </c>
      <c r="E11" s="19" t="s">
        <v>375</v>
      </c>
      <c r="F11" s="19" t="s">
        <v>2067</v>
      </c>
      <c r="G11" s="20" t="s">
        <v>375</v>
      </c>
      <c r="H11" s="136">
        <v>10</v>
      </c>
      <c r="I11" s="19" t="s">
        <v>230</v>
      </c>
      <c r="J11" s="19" t="s">
        <v>358</v>
      </c>
      <c r="K11" s="19" t="s">
        <v>376</v>
      </c>
      <c r="L11" s="19" t="s">
        <v>233</v>
      </c>
      <c r="M11" s="19" t="s">
        <v>268</v>
      </c>
      <c r="N11" s="19" t="s">
        <v>247</v>
      </c>
      <c r="O11" s="19" t="s">
        <v>275</v>
      </c>
      <c r="P11" s="19" t="s">
        <v>237</v>
      </c>
      <c r="Q11" s="19" t="s">
        <v>377</v>
      </c>
      <c r="R11" s="19">
        <v>600</v>
      </c>
      <c r="S11" s="19" t="s">
        <v>272</v>
      </c>
      <c r="T11" s="19" t="s">
        <v>263</v>
      </c>
      <c r="U11" s="20" t="s">
        <v>263</v>
      </c>
      <c r="V11" s="19" t="s">
        <v>132</v>
      </c>
      <c r="W11" s="19" t="s">
        <v>219</v>
      </c>
      <c r="X11" s="35"/>
      <c r="Y11" s="35"/>
      <c r="Z11" s="32"/>
      <c r="AA11" s="22">
        <v>3</v>
      </c>
      <c r="AB11" s="22"/>
      <c r="AC11" s="22"/>
      <c r="AD11" s="22"/>
      <c r="AE11" s="60">
        <f t="shared" si="3"/>
        <v>3</v>
      </c>
      <c r="AF11" s="22"/>
      <c r="AG11" s="40">
        <f t="shared" si="4"/>
        <v>3</v>
      </c>
      <c r="AH11" s="24">
        <v>2</v>
      </c>
      <c r="AI11" s="24">
        <v>1</v>
      </c>
      <c r="AJ11" s="121">
        <v>2</v>
      </c>
      <c r="AK11" s="121">
        <v>1</v>
      </c>
      <c r="AL11" s="24"/>
      <c r="AM11" s="24"/>
      <c r="AN11" s="23">
        <f t="shared" si="5"/>
        <v>0</v>
      </c>
      <c r="AO11" s="25"/>
      <c r="AP11" s="25"/>
      <c r="AQ11" s="25"/>
      <c r="AR11" s="25"/>
      <c r="AS11" s="25">
        <f t="shared" si="6"/>
        <v>0</v>
      </c>
      <c r="AT11" s="13">
        <v>1</v>
      </c>
      <c r="AU11" s="21"/>
      <c r="AV11" s="21"/>
      <c r="AW11" s="21"/>
      <c r="AX11" s="21">
        <v>1</v>
      </c>
      <c r="AY11" s="21"/>
      <c r="AZ11" s="21"/>
      <c r="BA11" s="77"/>
      <c r="BB11" s="21"/>
      <c r="BC11" s="21"/>
      <c r="BD11" s="21"/>
      <c r="BE11" s="21"/>
      <c r="BF11" s="21"/>
      <c r="BG11" s="77"/>
      <c r="BH11" s="77"/>
      <c r="BI11" s="21"/>
      <c r="BJ11" s="21"/>
      <c r="BK11" s="21"/>
      <c r="BL11" s="21"/>
      <c r="BM11" s="21"/>
      <c r="BN11" s="21"/>
      <c r="BO11" s="77"/>
      <c r="BP11" s="21"/>
      <c r="BQ11" s="21"/>
      <c r="BR11" s="21"/>
      <c r="BS11" s="21"/>
      <c r="BT11" s="21"/>
      <c r="BU11" s="21"/>
      <c r="BV11" s="77"/>
      <c r="BW11" s="96">
        <f t="shared" si="7"/>
        <v>1</v>
      </c>
      <c r="BX11" s="94">
        <f t="shared" si="8"/>
        <v>-1</v>
      </c>
      <c r="BY11" s="26"/>
      <c r="CA11" s="50" t="s">
        <v>375</v>
      </c>
      <c r="CB11" s="19" t="b">
        <f t="shared" si="9"/>
        <v>1</v>
      </c>
      <c r="CC11" s="19" t="s">
        <v>375</v>
      </c>
      <c r="CD11" s="19" t="s">
        <v>597</v>
      </c>
      <c r="CE11" s="120" t="s">
        <v>598</v>
      </c>
      <c r="CF11" s="120" t="s">
        <v>599</v>
      </c>
      <c r="CG11" s="120" t="s">
        <v>600</v>
      </c>
      <c r="CH11" s="120" t="s">
        <v>601</v>
      </c>
      <c r="CI11" s="120" t="s">
        <v>602</v>
      </c>
      <c r="CJ11" s="120" t="s">
        <v>603</v>
      </c>
      <c r="CK11" s="120" t="s">
        <v>604</v>
      </c>
      <c r="CL11" s="120" t="s">
        <v>605</v>
      </c>
      <c r="CM11" s="120" t="s">
        <v>606</v>
      </c>
      <c r="CN11" s="120" t="s">
        <v>607</v>
      </c>
      <c r="CO11" s="120" t="s">
        <v>608</v>
      </c>
      <c r="CP11" s="120" t="s">
        <v>609</v>
      </c>
      <c r="CQ11" s="120"/>
      <c r="CR11" s="120"/>
      <c r="CS11" s="120" t="s">
        <v>610</v>
      </c>
      <c r="CT11" s="120" t="s">
        <v>611</v>
      </c>
      <c r="CU11" s="120" t="s">
        <v>612</v>
      </c>
      <c r="CV11" s="120" t="s">
        <v>613</v>
      </c>
      <c r="CW11" s="120"/>
      <c r="CX11" s="120"/>
      <c r="CY11" s="120"/>
      <c r="CZ11" s="120"/>
      <c r="DA11" s="120"/>
      <c r="DB11" s="120"/>
      <c r="DC11" s="120"/>
      <c r="DD11" s="120"/>
      <c r="DE11" s="18"/>
      <c r="DF11" s="18"/>
    </row>
    <row r="12" spans="1:110" s="7" customFormat="1" x14ac:dyDescent="0.25">
      <c r="A12" s="19" t="s">
        <v>81</v>
      </c>
      <c r="B12" s="19" t="s">
        <v>86</v>
      </c>
      <c r="C12" s="19" t="str">
        <f t="shared" si="2"/>
        <v>87154796MOZAMBIQUE</v>
      </c>
      <c r="D12" s="19">
        <v>87154796</v>
      </c>
      <c r="E12" s="19" t="s">
        <v>375</v>
      </c>
      <c r="F12" s="19" t="s">
        <v>2067</v>
      </c>
      <c r="G12" s="20" t="s">
        <v>375</v>
      </c>
      <c r="H12" s="136">
        <v>10</v>
      </c>
      <c r="I12" s="19" t="s">
        <v>230</v>
      </c>
      <c r="J12" s="19" t="s">
        <v>358</v>
      </c>
      <c r="K12" s="19" t="s">
        <v>376</v>
      </c>
      <c r="L12" s="19" t="s">
        <v>233</v>
      </c>
      <c r="M12" s="19" t="s">
        <v>268</v>
      </c>
      <c r="N12" s="19" t="s">
        <v>247</v>
      </c>
      <c r="O12" s="19" t="s">
        <v>275</v>
      </c>
      <c r="P12" s="19" t="s">
        <v>237</v>
      </c>
      <c r="Q12" s="19" t="s">
        <v>377</v>
      </c>
      <c r="R12" s="19">
        <v>600</v>
      </c>
      <c r="S12" s="19" t="s">
        <v>272</v>
      </c>
      <c r="T12" s="19" t="s">
        <v>263</v>
      </c>
      <c r="U12" s="20" t="s">
        <v>263</v>
      </c>
      <c r="V12" s="19" t="s">
        <v>132</v>
      </c>
      <c r="W12" s="19" t="s">
        <v>220</v>
      </c>
      <c r="X12" s="35">
        <v>1</v>
      </c>
      <c r="Y12" s="35">
        <v>1</v>
      </c>
      <c r="Z12" s="32"/>
      <c r="AA12" s="22"/>
      <c r="AB12" s="22"/>
      <c r="AC12" s="22"/>
      <c r="AD12" s="22"/>
      <c r="AE12" s="60">
        <f t="shared" si="3"/>
        <v>0</v>
      </c>
      <c r="AF12" s="22"/>
      <c r="AG12" s="40">
        <f t="shared" si="4"/>
        <v>0</v>
      </c>
      <c r="AH12" s="24"/>
      <c r="AI12" s="24"/>
      <c r="AJ12" s="121"/>
      <c r="AK12" s="121"/>
      <c r="AL12" s="24"/>
      <c r="AM12" s="24"/>
      <c r="AN12" s="23">
        <f t="shared" si="5"/>
        <v>0</v>
      </c>
      <c r="AO12" s="25"/>
      <c r="AP12" s="25"/>
      <c r="AQ12" s="25"/>
      <c r="AR12" s="25"/>
      <c r="AS12" s="25">
        <f t="shared" si="6"/>
        <v>0</v>
      </c>
      <c r="AT12" s="13"/>
      <c r="AU12" s="21"/>
      <c r="AV12" s="21"/>
      <c r="AW12" s="21"/>
      <c r="AX12" s="21"/>
      <c r="AY12" s="21"/>
      <c r="AZ12" s="21"/>
      <c r="BA12" s="77"/>
      <c r="BB12" s="21"/>
      <c r="BC12" s="21"/>
      <c r="BD12" s="21"/>
      <c r="BE12" s="21"/>
      <c r="BF12" s="21"/>
      <c r="BG12" s="77"/>
      <c r="BH12" s="77"/>
      <c r="BI12" s="21"/>
      <c r="BJ12" s="21"/>
      <c r="BK12" s="21"/>
      <c r="BL12" s="21"/>
      <c r="BM12" s="21"/>
      <c r="BN12" s="21"/>
      <c r="BO12" s="77"/>
      <c r="BP12" s="21"/>
      <c r="BQ12" s="21"/>
      <c r="BR12" s="21"/>
      <c r="BS12" s="21"/>
      <c r="BT12" s="21"/>
      <c r="BU12" s="21"/>
      <c r="BV12" s="77"/>
      <c r="BW12" s="96">
        <f t="shared" si="7"/>
        <v>0</v>
      </c>
      <c r="BX12" s="94">
        <f t="shared" si="8"/>
        <v>0</v>
      </c>
      <c r="BY12" s="26"/>
      <c r="CA12" s="50" t="s">
        <v>375</v>
      </c>
      <c r="CB12" s="19" t="b">
        <f t="shared" si="9"/>
        <v>1</v>
      </c>
      <c r="CC12" s="19" t="s">
        <v>375</v>
      </c>
      <c r="CD12" s="19" t="s">
        <v>597</v>
      </c>
      <c r="CE12" s="120" t="s">
        <v>598</v>
      </c>
      <c r="CF12" s="120" t="s">
        <v>599</v>
      </c>
      <c r="CG12" s="120" t="s">
        <v>600</v>
      </c>
      <c r="CH12" s="120" t="s">
        <v>601</v>
      </c>
      <c r="CI12" s="120" t="s">
        <v>602</v>
      </c>
      <c r="CJ12" s="120" t="s">
        <v>603</v>
      </c>
      <c r="CK12" s="120" t="s">
        <v>604</v>
      </c>
      <c r="CL12" s="120" t="s">
        <v>605</v>
      </c>
      <c r="CM12" s="120" t="s">
        <v>606</v>
      </c>
      <c r="CN12" s="120" t="s">
        <v>607</v>
      </c>
      <c r="CO12" s="120" t="s">
        <v>608</v>
      </c>
      <c r="CP12" s="120" t="s">
        <v>609</v>
      </c>
      <c r="CQ12" s="120"/>
      <c r="CR12" s="120"/>
      <c r="CS12" s="120" t="s">
        <v>610</v>
      </c>
      <c r="CT12" s="120" t="s">
        <v>611</v>
      </c>
      <c r="CU12" s="120" t="s">
        <v>612</v>
      </c>
      <c r="CV12" s="120" t="s">
        <v>613</v>
      </c>
      <c r="CW12" s="120"/>
      <c r="CX12" s="120"/>
      <c r="CY12" s="120"/>
      <c r="CZ12" s="120"/>
      <c r="DA12" s="120"/>
      <c r="DB12" s="120"/>
      <c r="DC12" s="120"/>
      <c r="DD12" s="120"/>
      <c r="DE12" s="18"/>
      <c r="DF12" s="18"/>
    </row>
    <row r="13" spans="1:110" s="7" customFormat="1" x14ac:dyDescent="0.25">
      <c r="A13" s="19" t="s">
        <v>81</v>
      </c>
      <c r="B13" s="19" t="s">
        <v>88</v>
      </c>
      <c r="C13" s="19" t="str">
        <f t="shared" si="2"/>
        <v>87150500SRI LANKA</v>
      </c>
      <c r="D13" s="19">
        <v>87150500</v>
      </c>
      <c r="E13" s="19" t="s">
        <v>387</v>
      </c>
      <c r="F13" s="19" t="s">
        <v>2067</v>
      </c>
      <c r="G13" s="20" t="s">
        <v>387</v>
      </c>
      <c r="H13" s="136">
        <v>12</v>
      </c>
      <c r="I13" s="19" t="s">
        <v>230</v>
      </c>
      <c r="J13" s="19" t="s">
        <v>360</v>
      </c>
      <c r="K13" s="19" t="s">
        <v>376</v>
      </c>
      <c r="L13" s="19" t="s">
        <v>233</v>
      </c>
      <c r="M13" s="19" t="s">
        <v>268</v>
      </c>
      <c r="N13" s="19" t="s">
        <v>247</v>
      </c>
      <c r="O13" s="19" t="s">
        <v>275</v>
      </c>
      <c r="P13" s="19" t="s">
        <v>237</v>
      </c>
      <c r="Q13" s="19" t="s">
        <v>377</v>
      </c>
      <c r="R13" s="19">
        <v>600</v>
      </c>
      <c r="S13" s="19" t="s">
        <v>272</v>
      </c>
      <c r="T13" s="19" t="s">
        <v>263</v>
      </c>
      <c r="U13" s="20" t="s">
        <v>263</v>
      </c>
      <c r="V13" s="19" t="s">
        <v>139</v>
      </c>
      <c r="W13" s="19" t="s">
        <v>219</v>
      </c>
      <c r="X13" s="35">
        <v>5</v>
      </c>
      <c r="Y13" s="35"/>
      <c r="Z13" s="32"/>
      <c r="AA13" s="22">
        <v>10</v>
      </c>
      <c r="AB13" s="22"/>
      <c r="AC13" s="22"/>
      <c r="AD13" s="22"/>
      <c r="AE13" s="60">
        <f t="shared" si="3"/>
        <v>10</v>
      </c>
      <c r="AF13" s="22"/>
      <c r="AG13" s="40">
        <f t="shared" si="4"/>
        <v>10</v>
      </c>
      <c r="AH13" s="24">
        <v>10</v>
      </c>
      <c r="AI13" s="24"/>
      <c r="AJ13" s="121">
        <v>10</v>
      </c>
      <c r="AK13" s="121"/>
      <c r="AL13" s="24"/>
      <c r="AM13" s="24"/>
      <c r="AN13" s="23">
        <f t="shared" si="5"/>
        <v>0</v>
      </c>
      <c r="AO13" s="25"/>
      <c r="AP13" s="25"/>
      <c r="AQ13" s="25"/>
      <c r="AR13" s="25"/>
      <c r="AS13" s="25">
        <f t="shared" si="6"/>
        <v>0</v>
      </c>
      <c r="AT13" s="13"/>
      <c r="AU13" s="21"/>
      <c r="AV13" s="21"/>
      <c r="AW13" s="21"/>
      <c r="AX13" s="21"/>
      <c r="AY13" s="21"/>
      <c r="AZ13" s="21"/>
      <c r="BA13" s="77"/>
      <c r="BB13" s="21"/>
      <c r="BC13" s="21"/>
      <c r="BD13" s="21"/>
      <c r="BE13" s="21"/>
      <c r="BF13" s="21"/>
      <c r="BG13" s="77"/>
      <c r="BH13" s="77"/>
      <c r="BI13" s="21"/>
      <c r="BJ13" s="21"/>
      <c r="BK13" s="21"/>
      <c r="BL13" s="21"/>
      <c r="BM13" s="21"/>
      <c r="BN13" s="21"/>
      <c r="BO13" s="77"/>
      <c r="BP13" s="21"/>
      <c r="BQ13" s="21"/>
      <c r="BR13" s="21"/>
      <c r="BS13" s="21"/>
      <c r="BT13" s="21"/>
      <c r="BU13" s="21"/>
      <c r="BV13" s="77"/>
      <c r="BW13" s="96">
        <f t="shared" si="7"/>
        <v>0</v>
      </c>
      <c r="BX13" s="94">
        <f t="shared" si="8"/>
        <v>0</v>
      </c>
      <c r="BY13" s="26"/>
      <c r="CA13" s="50" t="s">
        <v>387</v>
      </c>
      <c r="CB13" s="19" t="b">
        <f t="shared" si="9"/>
        <v>1</v>
      </c>
      <c r="CC13" s="19" t="s">
        <v>387</v>
      </c>
      <c r="CD13" s="19" t="s">
        <v>614</v>
      </c>
      <c r="CE13" s="120" t="s">
        <v>615</v>
      </c>
      <c r="CF13" s="120" t="s">
        <v>616</v>
      </c>
      <c r="CG13" s="120" t="s">
        <v>617</v>
      </c>
      <c r="CH13" s="120" t="s">
        <v>618</v>
      </c>
      <c r="CI13" s="120" t="s">
        <v>619</v>
      </c>
      <c r="CJ13" s="120" t="s">
        <v>620</v>
      </c>
      <c r="CK13" s="120" t="s">
        <v>621</v>
      </c>
      <c r="CL13" s="120" t="s">
        <v>622</v>
      </c>
      <c r="CM13" s="120" t="s">
        <v>623</v>
      </c>
      <c r="CN13" s="120" t="s">
        <v>624</v>
      </c>
      <c r="CO13" s="120" t="s">
        <v>625</v>
      </c>
      <c r="CP13" s="120" t="s">
        <v>626</v>
      </c>
      <c r="CQ13" s="120"/>
      <c r="CR13" s="120"/>
      <c r="CS13" s="120" t="s">
        <v>627</v>
      </c>
      <c r="CT13" s="120" t="s">
        <v>628</v>
      </c>
      <c r="CU13" s="120" t="s">
        <v>629</v>
      </c>
      <c r="CV13" s="120" t="s">
        <v>630</v>
      </c>
      <c r="CW13" s="120"/>
      <c r="CX13" s="120"/>
      <c r="CY13" s="120"/>
      <c r="CZ13" s="120"/>
      <c r="DA13" s="120"/>
      <c r="DB13" s="120"/>
      <c r="DC13" s="120"/>
      <c r="DD13" s="120"/>
      <c r="DE13" s="18"/>
      <c r="DF13" s="18"/>
    </row>
    <row r="14" spans="1:110" s="7" customFormat="1" x14ac:dyDescent="0.25">
      <c r="A14" s="19" t="s">
        <v>81</v>
      </c>
      <c r="B14" s="19" t="s">
        <v>96</v>
      </c>
      <c r="C14" s="19" t="str">
        <f t="shared" si="2"/>
        <v>87153170QATAR</v>
      </c>
      <c r="D14" s="19">
        <v>87153170</v>
      </c>
      <c r="E14" s="19" t="s">
        <v>323</v>
      </c>
      <c r="F14" s="19" t="s">
        <v>2067</v>
      </c>
      <c r="G14" s="20" t="s">
        <v>323</v>
      </c>
      <c r="H14" s="136">
        <v>208</v>
      </c>
      <c r="I14" s="19" t="s">
        <v>230</v>
      </c>
      <c r="J14" s="19" t="s">
        <v>324</v>
      </c>
      <c r="K14" s="19" t="s">
        <v>325</v>
      </c>
      <c r="L14" s="19" t="s">
        <v>233</v>
      </c>
      <c r="M14" s="19" t="s">
        <v>268</v>
      </c>
      <c r="N14" s="19" t="s">
        <v>247</v>
      </c>
      <c r="O14" s="19" t="s">
        <v>275</v>
      </c>
      <c r="P14" s="19" t="s">
        <v>237</v>
      </c>
      <c r="Q14" s="19" t="s">
        <v>325</v>
      </c>
      <c r="R14" s="19">
        <v>700</v>
      </c>
      <c r="S14" s="19" t="s">
        <v>272</v>
      </c>
      <c r="T14" s="19" t="s">
        <v>263</v>
      </c>
      <c r="U14" s="20" t="s">
        <v>263</v>
      </c>
      <c r="V14" s="19" t="s">
        <v>1770</v>
      </c>
      <c r="W14" s="19" t="s">
        <v>219</v>
      </c>
      <c r="X14" s="35">
        <v>20</v>
      </c>
      <c r="Y14" s="35"/>
      <c r="Z14" s="32"/>
      <c r="AA14" s="22">
        <v>40</v>
      </c>
      <c r="AB14" s="22"/>
      <c r="AC14" s="22"/>
      <c r="AD14" s="22"/>
      <c r="AE14" s="60">
        <f t="shared" si="3"/>
        <v>40</v>
      </c>
      <c r="AF14" s="22"/>
      <c r="AG14" s="40">
        <f t="shared" si="4"/>
        <v>40</v>
      </c>
      <c r="AH14" s="24">
        <v>40</v>
      </c>
      <c r="AI14" s="24"/>
      <c r="AJ14" s="121">
        <v>40</v>
      </c>
      <c r="AK14" s="121"/>
      <c r="AL14" s="24"/>
      <c r="AM14" s="24"/>
      <c r="AN14" s="23">
        <f t="shared" si="5"/>
        <v>0</v>
      </c>
      <c r="AO14" s="25"/>
      <c r="AP14" s="25"/>
      <c r="AQ14" s="25"/>
      <c r="AR14" s="25"/>
      <c r="AS14" s="25">
        <f t="shared" si="6"/>
        <v>0</v>
      </c>
      <c r="AT14" s="13"/>
      <c r="AU14" s="21"/>
      <c r="AV14" s="21"/>
      <c r="AW14" s="21"/>
      <c r="AX14" s="21"/>
      <c r="AY14" s="21"/>
      <c r="AZ14" s="21"/>
      <c r="BA14" s="77"/>
      <c r="BB14" s="21"/>
      <c r="BC14" s="21"/>
      <c r="BD14" s="21"/>
      <c r="BE14" s="21"/>
      <c r="BF14" s="21"/>
      <c r="BG14" s="77"/>
      <c r="BH14" s="77"/>
      <c r="BI14" s="21"/>
      <c r="BJ14" s="21"/>
      <c r="BK14" s="21"/>
      <c r="BL14" s="21"/>
      <c r="BM14" s="21"/>
      <c r="BN14" s="21"/>
      <c r="BO14" s="77"/>
      <c r="BP14" s="21"/>
      <c r="BQ14" s="21"/>
      <c r="BR14" s="21"/>
      <c r="BS14" s="21"/>
      <c r="BT14" s="21"/>
      <c r="BU14" s="21"/>
      <c r="BV14" s="77"/>
      <c r="BW14" s="96">
        <f t="shared" si="7"/>
        <v>0</v>
      </c>
      <c r="BX14" s="94">
        <f t="shared" si="8"/>
        <v>0</v>
      </c>
      <c r="BY14" s="26"/>
      <c r="CA14" s="50" t="s">
        <v>323</v>
      </c>
      <c r="CB14" s="19" t="b">
        <f t="shared" si="9"/>
        <v>1</v>
      </c>
      <c r="CC14" s="19" t="s">
        <v>323</v>
      </c>
      <c r="CD14" s="19" t="s">
        <v>631</v>
      </c>
      <c r="CE14" s="120" t="s">
        <v>632</v>
      </c>
      <c r="CF14" s="120" t="s">
        <v>633</v>
      </c>
      <c r="CG14" s="120" t="s">
        <v>634</v>
      </c>
      <c r="CH14" s="120" t="s">
        <v>635</v>
      </c>
      <c r="CI14" s="120" t="s">
        <v>636</v>
      </c>
      <c r="CJ14" s="120" t="s">
        <v>637</v>
      </c>
      <c r="CK14" s="120" t="s">
        <v>638</v>
      </c>
      <c r="CL14" s="120" t="s">
        <v>639</v>
      </c>
      <c r="CM14" s="120" t="s">
        <v>640</v>
      </c>
      <c r="CN14" s="120" t="s">
        <v>641</v>
      </c>
      <c r="CO14" s="120" t="s">
        <v>642</v>
      </c>
      <c r="CP14" s="120" t="s">
        <v>643</v>
      </c>
      <c r="CQ14" s="120"/>
      <c r="CR14" s="120"/>
      <c r="CS14" s="120" t="s">
        <v>644</v>
      </c>
      <c r="CT14" s="120" t="s">
        <v>645</v>
      </c>
      <c r="CU14" s="120" t="s">
        <v>646</v>
      </c>
      <c r="CV14" s="120" t="s">
        <v>647</v>
      </c>
      <c r="CW14" s="120"/>
      <c r="CX14" s="120"/>
      <c r="CY14" s="120"/>
      <c r="CZ14" s="120"/>
      <c r="DA14" s="120"/>
      <c r="DB14" s="120"/>
      <c r="DC14" s="120"/>
      <c r="DD14" s="120"/>
      <c r="DE14" s="18"/>
      <c r="DF14" s="18"/>
    </row>
    <row r="15" spans="1:110" s="7" customFormat="1" x14ac:dyDescent="0.25">
      <c r="A15" s="19" t="s">
        <v>81</v>
      </c>
      <c r="B15" s="19" t="s">
        <v>92</v>
      </c>
      <c r="C15" s="19" t="str">
        <f t="shared" si="2"/>
        <v>87153556UTD.ARAB EMIR.</v>
      </c>
      <c r="D15" s="19">
        <v>87153556</v>
      </c>
      <c r="E15" s="19" t="s">
        <v>2078</v>
      </c>
      <c r="F15" s="19" t="s">
        <v>2067</v>
      </c>
      <c r="G15" s="20" t="s">
        <v>2078</v>
      </c>
      <c r="H15" s="136">
        <v>2</v>
      </c>
      <c r="I15" s="19" t="s">
        <v>230</v>
      </c>
      <c r="J15" s="19" t="s">
        <v>360</v>
      </c>
      <c r="K15" s="19" t="s">
        <v>325</v>
      </c>
      <c r="L15" s="19" t="s">
        <v>233</v>
      </c>
      <c r="M15" s="19" t="s">
        <v>268</v>
      </c>
      <c r="N15" s="19" t="s">
        <v>247</v>
      </c>
      <c r="O15" s="19" t="s">
        <v>275</v>
      </c>
      <c r="P15" s="19" t="s">
        <v>237</v>
      </c>
      <c r="Q15" s="19" t="s">
        <v>325</v>
      </c>
      <c r="R15" s="19">
        <v>700</v>
      </c>
      <c r="S15" s="19" t="s">
        <v>272</v>
      </c>
      <c r="T15" s="19" t="s">
        <v>263</v>
      </c>
      <c r="U15" s="20" t="s">
        <v>263</v>
      </c>
      <c r="V15" s="19" t="s">
        <v>2030</v>
      </c>
      <c r="W15" s="19" t="s">
        <v>219</v>
      </c>
      <c r="X15" s="35"/>
      <c r="Y15" s="35"/>
      <c r="Z15" s="32"/>
      <c r="AA15" s="22">
        <v>118</v>
      </c>
      <c r="AB15" s="22"/>
      <c r="AC15" s="22"/>
      <c r="AD15" s="22"/>
      <c r="AE15" s="60">
        <f t="shared" si="3"/>
        <v>118</v>
      </c>
      <c r="AF15" s="22"/>
      <c r="AG15" s="40">
        <f t="shared" si="4"/>
        <v>118</v>
      </c>
      <c r="AH15" s="24">
        <v>2</v>
      </c>
      <c r="AI15" s="24">
        <v>66</v>
      </c>
      <c r="AJ15" s="121">
        <v>2</v>
      </c>
      <c r="AK15" s="121">
        <v>66</v>
      </c>
      <c r="AL15" s="24"/>
      <c r="AM15" s="24"/>
      <c r="AN15" s="23">
        <f t="shared" si="5"/>
        <v>50</v>
      </c>
      <c r="AO15" s="25"/>
      <c r="AP15" s="25"/>
      <c r="AQ15" s="25">
        <v>25</v>
      </c>
      <c r="AR15" s="25">
        <v>25</v>
      </c>
      <c r="AS15" s="25">
        <f t="shared" si="6"/>
        <v>50</v>
      </c>
      <c r="AT15" s="13">
        <v>66</v>
      </c>
      <c r="AU15" s="21">
        <v>11</v>
      </c>
      <c r="AV15" s="21">
        <v>11</v>
      </c>
      <c r="AW15" s="21">
        <v>11</v>
      </c>
      <c r="AX15" s="21">
        <v>11</v>
      </c>
      <c r="AY15" s="21">
        <v>11</v>
      </c>
      <c r="AZ15" s="21">
        <v>11</v>
      </c>
      <c r="BA15" s="77"/>
      <c r="BB15" s="21"/>
      <c r="BC15" s="21"/>
      <c r="BD15" s="21"/>
      <c r="BE15" s="21"/>
      <c r="BF15" s="21"/>
      <c r="BG15" s="77"/>
      <c r="BH15" s="77"/>
      <c r="BI15" s="21"/>
      <c r="BJ15" s="21"/>
      <c r="BK15" s="21"/>
      <c r="BL15" s="21"/>
      <c r="BM15" s="21">
        <v>5</v>
      </c>
      <c r="BN15" s="21">
        <v>5</v>
      </c>
      <c r="BO15" s="77"/>
      <c r="BP15" s="21">
        <v>5</v>
      </c>
      <c r="BQ15" s="21">
        <v>5</v>
      </c>
      <c r="BR15" s="21">
        <v>5</v>
      </c>
      <c r="BS15" s="21">
        <v>5</v>
      </c>
      <c r="BT15" s="21">
        <v>5</v>
      </c>
      <c r="BU15" s="21">
        <v>5</v>
      </c>
      <c r="BV15" s="77"/>
      <c r="BW15" s="96">
        <f t="shared" si="7"/>
        <v>95</v>
      </c>
      <c r="BX15" s="94">
        <f t="shared" si="8"/>
        <v>-45</v>
      </c>
      <c r="BY15" s="26" t="s">
        <v>2285</v>
      </c>
      <c r="CA15" s="50" t="s">
        <v>2078</v>
      </c>
      <c r="CB15" s="19" t="b">
        <f t="shared" si="9"/>
        <v>1</v>
      </c>
      <c r="CC15" s="19" t="s">
        <v>2078</v>
      </c>
      <c r="CD15" s="19" t="s">
        <v>2146</v>
      </c>
      <c r="CE15" s="120" t="s">
        <v>632</v>
      </c>
      <c r="CF15" s="120" t="s">
        <v>633</v>
      </c>
      <c r="CG15" s="120" t="s">
        <v>2147</v>
      </c>
      <c r="CH15" s="120" t="s">
        <v>1868</v>
      </c>
      <c r="CI15" s="120" t="s">
        <v>649</v>
      </c>
      <c r="CJ15" s="120" t="s">
        <v>650</v>
      </c>
      <c r="CK15" s="120" t="s">
        <v>638</v>
      </c>
      <c r="CL15" s="120" t="s">
        <v>639</v>
      </c>
      <c r="CM15" s="120" t="s">
        <v>2235</v>
      </c>
      <c r="CN15" s="120" t="s">
        <v>2236</v>
      </c>
      <c r="CO15" s="120" t="s">
        <v>1875</v>
      </c>
      <c r="CP15" s="120" t="s">
        <v>1876</v>
      </c>
      <c r="CQ15" s="120"/>
      <c r="CR15" s="120"/>
      <c r="CS15" s="120" t="s">
        <v>644</v>
      </c>
      <c r="CT15" s="120" t="s">
        <v>645</v>
      </c>
      <c r="CU15" s="120" t="s">
        <v>2148</v>
      </c>
      <c r="CV15" s="120" t="s">
        <v>2149</v>
      </c>
      <c r="CW15" s="120"/>
      <c r="CX15" s="120"/>
      <c r="CY15" s="120"/>
      <c r="CZ15" s="120"/>
      <c r="DA15" s="120"/>
      <c r="DB15" s="120"/>
      <c r="DC15" s="120"/>
      <c r="DD15" s="120"/>
      <c r="DE15" s="18"/>
      <c r="DF15" s="18"/>
    </row>
    <row r="16" spans="1:110" s="7" customFormat="1" x14ac:dyDescent="0.25">
      <c r="A16" s="19" t="s">
        <v>81</v>
      </c>
      <c r="B16" s="19" t="s">
        <v>86</v>
      </c>
      <c r="C16" s="19" t="str">
        <f t="shared" si="2"/>
        <v>87153526MOZAMBIQUE</v>
      </c>
      <c r="D16" s="19">
        <v>87153526</v>
      </c>
      <c r="E16" s="19" t="s">
        <v>2079</v>
      </c>
      <c r="F16" s="19" t="s">
        <v>2067</v>
      </c>
      <c r="G16" s="20" t="s">
        <v>2079</v>
      </c>
      <c r="H16" s="136" t="s">
        <v>2234</v>
      </c>
      <c r="I16" s="19" t="s">
        <v>230</v>
      </c>
      <c r="J16" s="19" t="s">
        <v>340</v>
      </c>
      <c r="K16" s="19" t="s">
        <v>342</v>
      </c>
      <c r="L16" s="19" t="s">
        <v>233</v>
      </c>
      <c r="M16" s="19" t="s">
        <v>268</v>
      </c>
      <c r="N16" s="19" t="s">
        <v>247</v>
      </c>
      <c r="O16" s="19" t="s">
        <v>275</v>
      </c>
      <c r="P16" s="19" t="s">
        <v>237</v>
      </c>
      <c r="Q16" s="19" t="s">
        <v>343</v>
      </c>
      <c r="R16" s="19">
        <v>800</v>
      </c>
      <c r="S16" s="19" t="s">
        <v>272</v>
      </c>
      <c r="T16" s="19" t="s">
        <v>263</v>
      </c>
      <c r="U16" s="20" t="s">
        <v>263</v>
      </c>
      <c r="V16" s="19" t="s">
        <v>2032</v>
      </c>
      <c r="W16" s="19" t="s">
        <v>219</v>
      </c>
      <c r="X16" s="35">
        <v>2</v>
      </c>
      <c r="Y16" s="35">
        <v>2</v>
      </c>
      <c r="Z16" s="32"/>
      <c r="AA16" s="22">
        <v>2</v>
      </c>
      <c r="AB16" s="22"/>
      <c r="AC16" s="22"/>
      <c r="AD16" s="22"/>
      <c r="AE16" s="60">
        <f t="shared" si="3"/>
        <v>2</v>
      </c>
      <c r="AF16" s="22"/>
      <c r="AG16" s="40">
        <f t="shared" si="4"/>
        <v>2</v>
      </c>
      <c r="AH16" s="24"/>
      <c r="AI16" s="24">
        <v>2</v>
      </c>
      <c r="AJ16" s="121"/>
      <c r="AK16" s="121">
        <v>2</v>
      </c>
      <c r="AL16" s="24"/>
      <c r="AM16" s="24"/>
      <c r="AN16" s="23">
        <f t="shared" si="5"/>
        <v>0</v>
      </c>
      <c r="AO16" s="25"/>
      <c r="AP16" s="25"/>
      <c r="AQ16" s="25"/>
      <c r="AR16" s="25"/>
      <c r="AS16" s="25">
        <f t="shared" si="6"/>
        <v>0</v>
      </c>
      <c r="AT16" s="13">
        <v>2</v>
      </c>
      <c r="AU16" s="21"/>
      <c r="AV16" s="21"/>
      <c r="AW16" s="21">
        <v>2</v>
      </c>
      <c r="AX16" s="21"/>
      <c r="AY16" s="21"/>
      <c r="AZ16" s="21"/>
      <c r="BA16" s="77"/>
      <c r="BB16" s="21"/>
      <c r="BC16" s="21"/>
      <c r="BD16" s="21"/>
      <c r="BE16" s="21"/>
      <c r="BF16" s="21"/>
      <c r="BG16" s="77"/>
      <c r="BH16" s="77"/>
      <c r="BI16" s="21"/>
      <c r="BJ16" s="21"/>
      <c r="BK16" s="21"/>
      <c r="BL16" s="21"/>
      <c r="BM16" s="21"/>
      <c r="BN16" s="21"/>
      <c r="BO16" s="77"/>
      <c r="BP16" s="21"/>
      <c r="BQ16" s="21"/>
      <c r="BR16" s="21"/>
      <c r="BS16" s="21"/>
      <c r="BT16" s="21"/>
      <c r="BU16" s="21"/>
      <c r="BV16" s="77"/>
      <c r="BW16" s="96">
        <f t="shared" si="7"/>
        <v>2</v>
      </c>
      <c r="BX16" s="94">
        <f t="shared" si="8"/>
        <v>-2</v>
      </c>
      <c r="BY16" s="26"/>
      <c r="CA16" s="50" t="s">
        <v>2079</v>
      </c>
      <c r="CB16" s="19" t="b">
        <f t="shared" si="9"/>
        <v>1</v>
      </c>
      <c r="CC16" s="19" t="s">
        <v>2079</v>
      </c>
      <c r="CD16" s="19" t="s">
        <v>2150</v>
      </c>
      <c r="CE16" s="120" t="s">
        <v>632</v>
      </c>
      <c r="CF16" s="120" t="s">
        <v>677</v>
      </c>
      <c r="CG16" s="120" t="s">
        <v>678</v>
      </c>
      <c r="CH16" s="120" t="s">
        <v>679</v>
      </c>
      <c r="CI16" s="120" t="s">
        <v>680</v>
      </c>
      <c r="CJ16" s="120" t="s">
        <v>681</v>
      </c>
      <c r="CK16" s="120" t="s">
        <v>682</v>
      </c>
      <c r="CL16" s="120" t="s">
        <v>667</v>
      </c>
      <c r="CM16" s="120" t="s">
        <v>683</v>
      </c>
      <c r="CN16" s="120" t="s">
        <v>127</v>
      </c>
      <c r="CO16" s="120" t="s">
        <v>684</v>
      </c>
      <c r="CP16" s="120" t="s">
        <v>685</v>
      </c>
      <c r="CQ16" s="120"/>
      <c r="CR16" s="120"/>
      <c r="CS16" s="120" t="s">
        <v>686</v>
      </c>
      <c r="CT16" s="120" t="s">
        <v>687</v>
      </c>
      <c r="CU16" s="120" t="s">
        <v>688</v>
      </c>
      <c r="CV16" s="120" t="s">
        <v>689</v>
      </c>
      <c r="CW16" s="120"/>
      <c r="CX16" s="120"/>
      <c r="CY16" s="120"/>
      <c r="CZ16" s="120"/>
      <c r="DA16" s="120"/>
      <c r="DB16" s="120"/>
      <c r="DC16" s="120"/>
      <c r="DD16" s="120"/>
      <c r="DE16" s="18"/>
      <c r="DF16" s="18"/>
    </row>
    <row r="17" spans="1:110" s="7" customFormat="1" x14ac:dyDescent="0.25">
      <c r="A17" s="19" t="s">
        <v>81</v>
      </c>
      <c r="B17" s="19" t="s">
        <v>85</v>
      </c>
      <c r="C17" s="19" t="str">
        <f t="shared" si="2"/>
        <v>87153526ZIMBABWE</v>
      </c>
      <c r="D17" s="19">
        <v>87153526</v>
      </c>
      <c r="E17" s="19" t="s">
        <v>2079</v>
      </c>
      <c r="F17" s="19" t="s">
        <v>2067</v>
      </c>
      <c r="G17" s="20" t="s">
        <v>2079</v>
      </c>
      <c r="H17" s="136" t="s">
        <v>2234</v>
      </c>
      <c r="I17" s="19" t="s">
        <v>230</v>
      </c>
      <c r="J17" s="19" t="s">
        <v>340</v>
      </c>
      <c r="K17" s="19" t="s">
        <v>342</v>
      </c>
      <c r="L17" s="19" t="s">
        <v>233</v>
      </c>
      <c r="M17" s="19" t="s">
        <v>268</v>
      </c>
      <c r="N17" s="19" t="s">
        <v>247</v>
      </c>
      <c r="O17" s="19" t="s">
        <v>275</v>
      </c>
      <c r="P17" s="19" t="s">
        <v>237</v>
      </c>
      <c r="Q17" s="19" t="s">
        <v>343</v>
      </c>
      <c r="R17" s="19">
        <v>800</v>
      </c>
      <c r="S17" s="19" t="s">
        <v>272</v>
      </c>
      <c r="T17" s="19" t="s">
        <v>263</v>
      </c>
      <c r="U17" s="20" t="s">
        <v>263</v>
      </c>
      <c r="V17" s="19" t="s">
        <v>2032</v>
      </c>
      <c r="W17" s="19" t="s">
        <v>219</v>
      </c>
      <c r="X17" s="35">
        <v>10</v>
      </c>
      <c r="Y17" s="35">
        <v>10</v>
      </c>
      <c r="Z17" s="32"/>
      <c r="AA17" s="22">
        <v>10</v>
      </c>
      <c r="AB17" s="22"/>
      <c r="AC17" s="22"/>
      <c r="AD17" s="22"/>
      <c r="AE17" s="60">
        <f t="shared" si="3"/>
        <v>10</v>
      </c>
      <c r="AF17" s="22"/>
      <c r="AG17" s="40">
        <f t="shared" si="4"/>
        <v>10</v>
      </c>
      <c r="AH17" s="24"/>
      <c r="AI17" s="24">
        <v>32</v>
      </c>
      <c r="AJ17" s="121"/>
      <c r="AK17" s="121">
        <v>10</v>
      </c>
      <c r="AL17" s="24"/>
      <c r="AM17" s="24"/>
      <c r="AN17" s="23">
        <f t="shared" si="5"/>
        <v>0</v>
      </c>
      <c r="AO17" s="25"/>
      <c r="AP17" s="25"/>
      <c r="AQ17" s="25"/>
      <c r="AR17" s="25"/>
      <c r="AS17" s="25">
        <f t="shared" si="6"/>
        <v>0</v>
      </c>
      <c r="AT17" s="13">
        <v>10</v>
      </c>
      <c r="AU17" s="21">
        <v>2</v>
      </c>
      <c r="AV17" s="21">
        <v>2</v>
      </c>
      <c r="AW17" s="21">
        <v>2</v>
      </c>
      <c r="AX17" s="21">
        <v>2</v>
      </c>
      <c r="AY17" s="21">
        <v>2</v>
      </c>
      <c r="AZ17" s="21"/>
      <c r="BA17" s="77"/>
      <c r="BB17" s="21"/>
      <c r="BC17" s="21"/>
      <c r="BD17" s="21"/>
      <c r="BE17" s="21"/>
      <c r="BF17" s="21"/>
      <c r="BG17" s="77"/>
      <c r="BH17" s="77"/>
      <c r="BI17" s="21"/>
      <c r="BJ17" s="21"/>
      <c r="BK17" s="21"/>
      <c r="BL17" s="21"/>
      <c r="BM17" s="21"/>
      <c r="BN17" s="21"/>
      <c r="BO17" s="77"/>
      <c r="BP17" s="21"/>
      <c r="BQ17" s="21"/>
      <c r="BR17" s="21"/>
      <c r="BS17" s="21"/>
      <c r="BT17" s="21"/>
      <c r="BU17" s="21"/>
      <c r="BV17" s="77"/>
      <c r="BW17" s="96">
        <f t="shared" si="7"/>
        <v>8</v>
      </c>
      <c r="BX17" s="94">
        <f t="shared" si="8"/>
        <v>-8</v>
      </c>
      <c r="BY17" s="26"/>
      <c r="CA17" s="50" t="s">
        <v>2079</v>
      </c>
      <c r="CB17" s="19" t="b">
        <f t="shared" si="9"/>
        <v>1</v>
      </c>
      <c r="CC17" s="19" t="s">
        <v>2079</v>
      </c>
      <c r="CD17" s="19" t="s">
        <v>2150</v>
      </c>
      <c r="CE17" s="120" t="s">
        <v>632</v>
      </c>
      <c r="CF17" s="120" t="s">
        <v>677</v>
      </c>
      <c r="CG17" s="120" t="s">
        <v>678</v>
      </c>
      <c r="CH17" s="120" t="s">
        <v>679</v>
      </c>
      <c r="CI17" s="120" t="s">
        <v>680</v>
      </c>
      <c r="CJ17" s="120" t="s">
        <v>681</v>
      </c>
      <c r="CK17" s="120" t="s">
        <v>682</v>
      </c>
      <c r="CL17" s="120" t="s">
        <v>667</v>
      </c>
      <c r="CM17" s="120" t="s">
        <v>683</v>
      </c>
      <c r="CN17" s="120" t="s">
        <v>127</v>
      </c>
      <c r="CO17" s="120" t="s">
        <v>684</v>
      </c>
      <c r="CP17" s="120" t="s">
        <v>685</v>
      </c>
      <c r="CQ17" s="120"/>
      <c r="CR17" s="120"/>
      <c r="CS17" s="120" t="s">
        <v>686</v>
      </c>
      <c r="CT17" s="120" t="s">
        <v>687</v>
      </c>
      <c r="CU17" s="120" t="s">
        <v>688</v>
      </c>
      <c r="CV17" s="120" t="s">
        <v>689</v>
      </c>
      <c r="CW17" s="120"/>
      <c r="CX17" s="120"/>
      <c r="CY17" s="120"/>
      <c r="CZ17" s="120"/>
      <c r="DA17" s="120"/>
      <c r="DB17" s="120"/>
      <c r="DC17" s="120"/>
      <c r="DD17" s="120"/>
      <c r="DE17" s="18"/>
      <c r="DF17" s="18"/>
    </row>
    <row r="18" spans="1:110" s="7" customFormat="1" x14ac:dyDescent="0.25">
      <c r="A18" s="19" t="s">
        <v>81</v>
      </c>
      <c r="B18" s="19" t="s">
        <v>86</v>
      </c>
      <c r="C18" s="19" t="str">
        <f t="shared" si="2"/>
        <v>87154898MOZAMBIQUE</v>
      </c>
      <c r="D18" s="19">
        <v>87154898</v>
      </c>
      <c r="E18" s="19" t="s">
        <v>344</v>
      </c>
      <c r="F18" s="19" t="s">
        <v>2067</v>
      </c>
      <c r="G18" s="20" t="s">
        <v>344</v>
      </c>
      <c r="H18" s="136">
        <v>118</v>
      </c>
      <c r="I18" s="19" t="s">
        <v>230</v>
      </c>
      <c r="J18" s="19" t="s">
        <v>340</v>
      </c>
      <c r="K18" s="19" t="s">
        <v>342</v>
      </c>
      <c r="L18" s="19" t="s">
        <v>233</v>
      </c>
      <c r="M18" s="19" t="s">
        <v>268</v>
      </c>
      <c r="N18" s="19" t="s">
        <v>247</v>
      </c>
      <c r="O18" s="19" t="s">
        <v>275</v>
      </c>
      <c r="P18" s="19" t="s">
        <v>237</v>
      </c>
      <c r="Q18" s="19" t="s">
        <v>343</v>
      </c>
      <c r="R18" s="19">
        <v>800</v>
      </c>
      <c r="S18" s="19" t="s">
        <v>272</v>
      </c>
      <c r="T18" s="19" t="s">
        <v>263</v>
      </c>
      <c r="U18" s="20" t="s">
        <v>263</v>
      </c>
      <c r="V18" s="19" t="s">
        <v>127</v>
      </c>
      <c r="W18" s="19" t="s">
        <v>221</v>
      </c>
      <c r="X18" s="35"/>
      <c r="Y18" s="35"/>
      <c r="Z18" s="32"/>
      <c r="AA18" s="22">
        <v>4</v>
      </c>
      <c r="AB18" s="22"/>
      <c r="AC18" s="22"/>
      <c r="AD18" s="22"/>
      <c r="AE18" s="60">
        <f t="shared" si="3"/>
        <v>4</v>
      </c>
      <c r="AF18" s="22"/>
      <c r="AG18" s="40">
        <f t="shared" si="4"/>
        <v>4</v>
      </c>
      <c r="AH18" s="24">
        <v>4</v>
      </c>
      <c r="AI18" s="24"/>
      <c r="AJ18" s="121">
        <v>4</v>
      </c>
      <c r="AK18" s="121"/>
      <c r="AL18" s="24"/>
      <c r="AM18" s="24"/>
      <c r="AN18" s="23">
        <f t="shared" si="5"/>
        <v>0</v>
      </c>
      <c r="AO18" s="25"/>
      <c r="AP18" s="25"/>
      <c r="AQ18" s="25"/>
      <c r="AR18" s="25"/>
      <c r="AS18" s="25">
        <f t="shared" si="6"/>
        <v>0</v>
      </c>
      <c r="AT18" s="13"/>
      <c r="AU18" s="21"/>
      <c r="AV18" s="21"/>
      <c r="AW18" s="21"/>
      <c r="AX18" s="21"/>
      <c r="AY18" s="21"/>
      <c r="AZ18" s="21"/>
      <c r="BA18" s="77"/>
      <c r="BB18" s="21"/>
      <c r="BC18" s="21"/>
      <c r="BD18" s="21"/>
      <c r="BE18" s="21"/>
      <c r="BF18" s="21"/>
      <c r="BG18" s="77"/>
      <c r="BH18" s="77"/>
      <c r="BI18" s="21"/>
      <c r="BJ18" s="21"/>
      <c r="BK18" s="21"/>
      <c r="BL18" s="21"/>
      <c r="BM18" s="21"/>
      <c r="BN18" s="21"/>
      <c r="BO18" s="77"/>
      <c r="BP18" s="21"/>
      <c r="BQ18" s="21"/>
      <c r="BR18" s="21"/>
      <c r="BS18" s="21"/>
      <c r="BT18" s="21"/>
      <c r="BU18" s="21"/>
      <c r="BV18" s="77"/>
      <c r="BW18" s="96">
        <f t="shared" si="7"/>
        <v>0</v>
      </c>
      <c r="BX18" s="94">
        <f t="shared" si="8"/>
        <v>0</v>
      </c>
      <c r="BY18" s="26"/>
      <c r="CA18" s="50" t="s">
        <v>344</v>
      </c>
      <c r="CB18" s="19" t="b">
        <f t="shared" si="9"/>
        <v>1</v>
      </c>
      <c r="CC18" s="19" t="s">
        <v>344</v>
      </c>
      <c r="CD18" s="19" t="s">
        <v>676</v>
      </c>
      <c r="CE18" s="120" t="s">
        <v>632</v>
      </c>
      <c r="CF18" s="120" t="s">
        <v>677</v>
      </c>
      <c r="CG18" s="120" t="s">
        <v>678</v>
      </c>
      <c r="CH18" s="120" t="s">
        <v>679</v>
      </c>
      <c r="CI18" s="120" t="s">
        <v>680</v>
      </c>
      <c r="CJ18" s="120" t="s">
        <v>681</v>
      </c>
      <c r="CK18" s="120" t="s">
        <v>682</v>
      </c>
      <c r="CL18" s="120" t="s">
        <v>667</v>
      </c>
      <c r="CM18" s="120" t="s">
        <v>683</v>
      </c>
      <c r="CN18" s="120" t="s">
        <v>127</v>
      </c>
      <c r="CO18" s="120" t="s">
        <v>684</v>
      </c>
      <c r="CP18" s="120" t="s">
        <v>685</v>
      </c>
      <c r="CQ18" s="120"/>
      <c r="CR18" s="120"/>
      <c r="CS18" s="120" t="s">
        <v>686</v>
      </c>
      <c r="CT18" s="120" t="s">
        <v>687</v>
      </c>
      <c r="CU18" s="120" t="s">
        <v>688</v>
      </c>
      <c r="CV18" s="120" t="s">
        <v>689</v>
      </c>
      <c r="CW18" s="120"/>
      <c r="CX18" s="120"/>
      <c r="CY18" s="120"/>
      <c r="CZ18" s="120"/>
      <c r="DA18" s="120"/>
      <c r="DB18" s="120"/>
      <c r="DC18" s="120"/>
      <c r="DD18" s="120"/>
      <c r="DE18" s="18"/>
      <c r="DF18" s="18"/>
    </row>
    <row r="19" spans="1:110" s="7" customFormat="1" x14ac:dyDescent="0.25">
      <c r="A19" s="19" t="s">
        <v>81</v>
      </c>
      <c r="B19" s="19" t="s">
        <v>98</v>
      </c>
      <c r="C19" s="19" t="str">
        <f t="shared" si="2"/>
        <v>87154898South Africa</v>
      </c>
      <c r="D19" s="19">
        <v>87154898</v>
      </c>
      <c r="E19" s="19" t="s">
        <v>344</v>
      </c>
      <c r="F19" s="19" t="s">
        <v>2067</v>
      </c>
      <c r="G19" s="20" t="s">
        <v>344</v>
      </c>
      <c r="H19" s="136">
        <v>118</v>
      </c>
      <c r="I19" s="19" t="s">
        <v>230</v>
      </c>
      <c r="J19" s="19" t="s">
        <v>340</v>
      </c>
      <c r="K19" s="19" t="s">
        <v>342</v>
      </c>
      <c r="L19" s="19" t="s">
        <v>233</v>
      </c>
      <c r="M19" s="19" t="s">
        <v>268</v>
      </c>
      <c r="N19" s="19" t="s">
        <v>247</v>
      </c>
      <c r="O19" s="19" t="s">
        <v>275</v>
      </c>
      <c r="P19" s="19" t="s">
        <v>237</v>
      </c>
      <c r="Q19" s="19" t="s">
        <v>343</v>
      </c>
      <c r="R19" s="19">
        <v>800</v>
      </c>
      <c r="S19" s="19" t="s">
        <v>272</v>
      </c>
      <c r="T19" s="19" t="s">
        <v>263</v>
      </c>
      <c r="U19" s="20" t="s">
        <v>263</v>
      </c>
      <c r="V19" s="19" t="s">
        <v>127</v>
      </c>
      <c r="W19" s="19" t="s">
        <v>219</v>
      </c>
      <c r="X19" s="35"/>
      <c r="Y19" s="35"/>
      <c r="Z19" s="32"/>
      <c r="AA19" s="22">
        <v>60</v>
      </c>
      <c r="AB19" s="22"/>
      <c r="AC19" s="22"/>
      <c r="AD19" s="22"/>
      <c r="AE19" s="60">
        <f t="shared" si="3"/>
        <v>60</v>
      </c>
      <c r="AF19" s="22"/>
      <c r="AG19" s="40">
        <f t="shared" si="4"/>
        <v>60</v>
      </c>
      <c r="AH19" s="24">
        <v>4</v>
      </c>
      <c r="AI19" s="24">
        <v>34</v>
      </c>
      <c r="AJ19" s="121">
        <v>4</v>
      </c>
      <c r="AK19" s="121">
        <v>34</v>
      </c>
      <c r="AL19" s="24"/>
      <c r="AM19" s="24"/>
      <c r="AN19" s="23">
        <f t="shared" si="5"/>
        <v>22</v>
      </c>
      <c r="AO19" s="25"/>
      <c r="AP19" s="25"/>
      <c r="AQ19" s="25"/>
      <c r="AR19" s="25">
        <v>22</v>
      </c>
      <c r="AS19" s="25">
        <f t="shared" si="6"/>
        <v>22</v>
      </c>
      <c r="AT19" s="13">
        <v>34</v>
      </c>
      <c r="AU19" s="21"/>
      <c r="AV19" s="21">
        <v>6</v>
      </c>
      <c r="AW19" s="21">
        <v>7</v>
      </c>
      <c r="AX19" s="21">
        <v>7</v>
      </c>
      <c r="AY19" s="21">
        <v>7</v>
      </c>
      <c r="AZ19" s="21">
        <v>7</v>
      </c>
      <c r="BA19" s="77"/>
      <c r="BB19" s="21"/>
      <c r="BC19" s="21"/>
      <c r="BD19" s="21"/>
      <c r="BE19" s="21"/>
      <c r="BF19" s="21"/>
      <c r="BG19" s="77"/>
      <c r="BH19" s="77"/>
      <c r="BI19" s="21"/>
      <c r="BJ19" s="21"/>
      <c r="BK19" s="21"/>
      <c r="BL19" s="21"/>
      <c r="BM19" s="21"/>
      <c r="BN19" s="21"/>
      <c r="BO19" s="77"/>
      <c r="BP19" s="21"/>
      <c r="BQ19" s="21"/>
      <c r="BR19" s="21"/>
      <c r="BS19" s="21">
        <v>2</v>
      </c>
      <c r="BT19" s="21">
        <v>5</v>
      </c>
      <c r="BU19" s="21">
        <v>5</v>
      </c>
      <c r="BV19" s="77"/>
      <c r="BW19" s="96">
        <f t="shared" si="7"/>
        <v>46</v>
      </c>
      <c r="BX19" s="94">
        <f t="shared" si="8"/>
        <v>-24</v>
      </c>
      <c r="BY19" s="26" t="s">
        <v>2286</v>
      </c>
      <c r="CA19" s="50" t="s">
        <v>344</v>
      </c>
      <c r="CB19" s="19" t="b">
        <f t="shared" si="9"/>
        <v>1</v>
      </c>
      <c r="CC19" s="19" t="s">
        <v>344</v>
      </c>
      <c r="CD19" s="19" t="s">
        <v>676</v>
      </c>
      <c r="CE19" s="120" t="s">
        <v>632</v>
      </c>
      <c r="CF19" s="120" t="s">
        <v>677</v>
      </c>
      <c r="CG19" s="120" t="s">
        <v>678</v>
      </c>
      <c r="CH19" s="120" t="s">
        <v>679</v>
      </c>
      <c r="CI19" s="120" t="s">
        <v>680</v>
      </c>
      <c r="CJ19" s="120" t="s">
        <v>681</v>
      </c>
      <c r="CK19" s="120" t="s">
        <v>682</v>
      </c>
      <c r="CL19" s="120" t="s">
        <v>667</v>
      </c>
      <c r="CM19" s="120" t="s">
        <v>683</v>
      </c>
      <c r="CN19" s="120" t="s">
        <v>127</v>
      </c>
      <c r="CO19" s="120" t="s">
        <v>684</v>
      </c>
      <c r="CP19" s="120" t="s">
        <v>685</v>
      </c>
      <c r="CQ19" s="120"/>
      <c r="CR19" s="120"/>
      <c r="CS19" s="120" t="s">
        <v>686</v>
      </c>
      <c r="CT19" s="120" t="s">
        <v>687</v>
      </c>
      <c r="CU19" s="120" t="s">
        <v>688</v>
      </c>
      <c r="CV19" s="120" t="s">
        <v>689</v>
      </c>
      <c r="CW19" s="120"/>
      <c r="CX19" s="120"/>
      <c r="CY19" s="120"/>
      <c r="CZ19" s="120"/>
      <c r="DA19" s="120"/>
      <c r="DB19" s="120"/>
      <c r="DC19" s="120"/>
      <c r="DD19" s="120"/>
      <c r="DE19" s="18"/>
      <c r="DF19" s="18"/>
    </row>
    <row r="20" spans="1:110" s="7" customFormat="1" x14ac:dyDescent="0.25">
      <c r="A20" s="19" t="s">
        <v>81</v>
      </c>
      <c r="B20" s="19" t="s">
        <v>85</v>
      </c>
      <c r="C20" s="19" t="str">
        <f t="shared" si="2"/>
        <v>87154898ZIMBABWE</v>
      </c>
      <c r="D20" s="19">
        <v>87154898</v>
      </c>
      <c r="E20" s="19" t="s">
        <v>344</v>
      </c>
      <c r="F20" s="19" t="s">
        <v>2067</v>
      </c>
      <c r="G20" s="20" t="s">
        <v>344</v>
      </c>
      <c r="H20" s="136">
        <v>118</v>
      </c>
      <c r="I20" s="19" t="s">
        <v>230</v>
      </c>
      <c r="J20" s="19" t="s">
        <v>340</v>
      </c>
      <c r="K20" s="19" t="s">
        <v>342</v>
      </c>
      <c r="L20" s="19" t="s">
        <v>233</v>
      </c>
      <c r="M20" s="19" t="s">
        <v>268</v>
      </c>
      <c r="N20" s="19" t="s">
        <v>247</v>
      </c>
      <c r="O20" s="19" t="s">
        <v>275</v>
      </c>
      <c r="P20" s="19" t="s">
        <v>237</v>
      </c>
      <c r="Q20" s="19" t="s">
        <v>343</v>
      </c>
      <c r="R20" s="19">
        <v>800</v>
      </c>
      <c r="S20" s="19" t="s">
        <v>272</v>
      </c>
      <c r="T20" s="19" t="s">
        <v>263</v>
      </c>
      <c r="U20" s="20" t="s">
        <v>263</v>
      </c>
      <c r="V20" s="19" t="s">
        <v>127</v>
      </c>
      <c r="W20" s="19" t="s">
        <v>219</v>
      </c>
      <c r="X20" s="35"/>
      <c r="Y20" s="35"/>
      <c r="Z20" s="32"/>
      <c r="AA20" s="22">
        <v>18</v>
      </c>
      <c r="AB20" s="22"/>
      <c r="AC20" s="22"/>
      <c r="AD20" s="22"/>
      <c r="AE20" s="60">
        <f t="shared" si="3"/>
        <v>18</v>
      </c>
      <c r="AF20" s="22"/>
      <c r="AG20" s="40">
        <f t="shared" si="4"/>
        <v>18</v>
      </c>
      <c r="AH20" s="24">
        <v>18</v>
      </c>
      <c r="AI20" s="24"/>
      <c r="AJ20" s="121">
        <v>18</v>
      </c>
      <c r="AK20" s="121"/>
      <c r="AL20" s="24"/>
      <c r="AM20" s="24"/>
      <c r="AN20" s="23">
        <f t="shared" si="5"/>
        <v>0</v>
      </c>
      <c r="AO20" s="25"/>
      <c r="AP20" s="25"/>
      <c r="AQ20" s="25"/>
      <c r="AR20" s="25"/>
      <c r="AS20" s="25">
        <f t="shared" si="6"/>
        <v>0</v>
      </c>
      <c r="AT20" s="13"/>
      <c r="AU20" s="21"/>
      <c r="AV20" s="21"/>
      <c r="AW20" s="21"/>
      <c r="AX20" s="21"/>
      <c r="AY20" s="21"/>
      <c r="AZ20" s="21"/>
      <c r="BA20" s="77"/>
      <c r="BB20" s="21"/>
      <c r="BC20" s="21"/>
      <c r="BD20" s="21"/>
      <c r="BE20" s="21"/>
      <c r="BF20" s="21"/>
      <c r="BG20" s="77"/>
      <c r="BH20" s="77"/>
      <c r="BI20" s="21"/>
      <c r="BJ20" s="21"/>
      <c r="BK20" s="21"/>
      <c r="BL20" s="21"/>
      <c r="BM20" s="21"/>
      <c r="BN20" s="21"/>
      <c r="BO20" s="77"/>
      <c r="BP20" s="21"/>
      <c r="BQ20" s="21"/>
      <c r="BR20" s="21"/>
      <c r="BS20" s="21"/>
      <c r="BT20" s="21"/>
      <c r="BU20" s="21"/>
      <c r="BV20" s="77"/>
      <c r="BW20" s="96">
        <f t="shared" si="7"/>
        <v>0</v>
      </c>
      <c r="BX20" s="94">
        <f t="shared" si="8"/>
        <v>0</v>
      </c>
      <c r="BY20" s="26"/>
      <c r="CA20" s="50" t="s">
        <v>344</v>
      </c>
      <c r="CB20" s="19" t="b">
        <f t="shared" si="9"/>
        <v>1</v>
      </c>
      <c r="CC20" s="19" t="s">
        <v>344</v>
      </c>
      <c r="CD20" s="19" t="s">
        <v>676</v>
      </c>
      <c r="CE20" s="120" t="s">
        <v>632</v>
      </c>
      <c r="CF20" s="120" t="s">
        <v>677</v>
      </c>
      <c r="CG20" s="120" t="s">
        <v>678</v>
      </c>
      <c r="CH20" s="120" t="s">
        <v>679</v>
      </c>
      <c r="CI20" s="120" t="s">
        <v>680</v>
      </c>
      <c r="CJ20" s="120" t="s">
        <v>681</v>
      </c>
      <c r="CK20" s="120" t="s">
        <v>682</v>
      </c>
      <c r="CL20" s="120" t="s">
        <v>667</v>
      </c>
      <c r="CM20" s="120" t="s">
        <v>683</v>
      </c>
      <c r="CN20" s="120" t="s">
        <v>127</v>
      </c>
      <c r="CO20" s="120" t="s">
        <v>684</v>
      </c>
      <c r="CP20" s="120" t="s">
        <v>685</v>
      </c>
      <c r="CQ20" s="120"/>
      <c r="CR20" s="120"/>
      <c r="CS20" s="120" t="s">
        <v>686</v>
      </c>
      <c r="CT20" s="120" t="s">
        <v>687</v>
      </c>
      <c r="CU20" s="120" t="s">
        <v>688</v>
      </c>
      <c r="CV20" s="120" t="s">
        <v>689</v>
      </c>
      <c r="CW20" s="120"/>
      <c r="CX20" s="120"/>
      <c r="CY20" s="120"/>
      <c r="CZ20" s="120"/>
      <c r="DA20" s="120"/>
      <c r="DB20" s="120"/>
      <c r="DC20" s="120"/>
      <c r="DD20" s="120"/>
      <c r="DE20" s="18"/>
      <c r="DF20" s="18"/>
    </row>
    <row r="21" spans="1:110" s="7" customFormat="1" x14ac:dyDescent="0.25">
      <c r="A21" s="19" t="s">
        <v>228</v>
      </c>
      <c r="B21" s="19" t="s">
        <v>80</v>
      </c>
      <c r="C21" s="19" t="str">
        <f t="shared" si="2"/>
        <v>96509238India</v>
      </c>
      <c r="D21" s="19">
        <v>96509238</v>
      </c>
      <c r="E21" s="19" t="s">
        <v>1840</v>
      </c>
      <c r="F21" s="19" t="s">
        <v>2067</v>
      </c>
      <c r="G21" s="20" t="s">
        <v>1840</v>
      </c>
      <c r="H21" s="136">
        <v>29</v>
      </c>
      <c r="I21" s="19" t="s">
        <v>230</v>
      </c>
      <c r="J21" s="19" t="s">
        <v>231</v>
      </c>
      <c r="K21" s="19" t="s">
        <v>342</v>
      </c>
      <c r="L21" s="19" t="s">
        <v>233</v>
      </c>
      <c r="M21" s="19" t="s">
        <v>268</v>
      </c>
      <c r="N21" s="19" t="s">
        <v>247</v>
      </c>
      <c r="O21" s="19" t="s">
        <v>275</v>
      </c>
      <c r="P21" s="19" t="s">
        <v>237</v>
      </c>
      <c r="Q21" s="19" t="s">
        <v>343</v>
      </c>
      <c r="R21" s="19">
        <v>800</v>
      </c>
      <c r="S21" s="19" t="s">
        <v>272</v>
      </c>
      <c r="T21" s="19" t="s">
        <v>263</v>
      </c>
      <c r="U21" s="20" t="s">
        <v>263</v>
      </c>
      <c r="V21" s="19" t="s">
        <v>2194</v>
      </c>
      <c r="W21" s="19" t="s">
        <v>222</v>
      </c>
      <c r="X21" s="35"/>
      <c r="Y21" s="35"/>
      <c r="Z21" s="32"/>
      <c r="AA21" s="22"/>
      <c r="AB21" s="22">
        <v>1</v>
      </c>
      <c r="AC21" s="22"/>
      <c r="AD21" s="22"/>
      <c r="AE21" s="60">
        <f t="shared" si="3"/>
        <v>1</v>
      </c>
      <c r="AF21" s="22"/>
      <c r="AG21" s="40">
        <f t="shared" si="4"/>
        <v>1</v>
      </c>
      <c r="AH21" s="24"/>
      <c r="AI21" s="24">
        <v>9</v>
      </c>
      <c r="AJ21" s="121"/>
      <c r="AK21" s="121">
        <v>1</v>
      </c>
      <c r="AL21" s="24"/>
      <c r="AM21" s="24"/>
      <c r="AN21" s="23">
        <f t="shared" si="5"/>
        <v>0</v>
      </c>
      <c r="AO21" s="25"/>
      <c r="AP21" s="25"/>
      <c r="AQ21" s="25"/>
      <c r="AR21" s="25"/>
      <c r="AS21" s="25">
        <f t="shared" si="6"/>
        <v>0</v>
      </c>
      <c r="AT21" s="13">
        <v>1</v>
      </c>
      <c r="AU21" s="21"/>
      <c r="AV21" s="21">
        <v>1</v>
      </c>
      <c r="AW21" s="21"/>
      <c r="AX21" s="21"/>
      <c r="AY21" s="21"/>
      <c r="AZ21" s="21"/>
      <c r="BA21" s="77"/>
      <c r="BB21" s="21"/>
      <c r="BC21" s="21"/>
      <c r="BD21" s="21"/>
      <c r="BE21" s="21"/>
      <c r="BF21" s="21"/>
      <c r="BG21" s="77"/>
      <c r="BH21" s="77"/>
      <c r="BI21" s="21"/>
      <c r="BJ21" s="21"/>
      <c r="BK21" s="21"/>
      <c r="BL21" s="21"/>
      <c r="BM21" s="21"/>
      <c r="BN21" s="21"/>
      <c r="BO21" s="77"/>
      <c r="BP21" s="21"/>
      <c r="BQ21" s="21"/>
      <c r="BR21" s="21"/>
      <c r="BS21" s="21"/>
      <c r="BT21" s="21"/>
      <c r="BU21" s="21"/>
      <c r="BV21" s="77"/>
      <c r="BW21" s="96">
        <f t="shared" si="7"/>
        <v>1</v>
      </c>
      <c r="BX21" s="94">
        <f t="shared" si="8"/>
        <v>-1</v>
      </c>
      <c r="BY21" s="26"/>
      <c r="CA21" s="50" t="s">
        <v>1840</v>
      </c>
      <c r="CB21" s="19" t="b">
        <f t="shared" si="9"/>
        <v>1</v>
      </c>
      <c r="CC21" s="19" t="s">
        <v>1840</v>
      </c>
      <c r="CD21" s="19" t="s">
        <v>1883</v>
      </c>
      <c r="CE21" s="120" t="s">
        <v>696</v>
      </c>
      <c r="CF21" s="120" t="s">
        <v>697</v>
      </c>
      <c r="CG21" s="120" t="s">
        <v>698</v>
      </c>
      <c r="CH21" s="120" t="s">
        <v>699</v>
      </c>
      <c r="CI21" s="120" t="s">
        <v>691</v>
      </c>
      <c r="CJ21" s="120" t="s">
        <v>692</v>
      </c>
      <c r="CK21" s="120" t="s">
        <v>700</v>
      </c>
      <c r="CL21" s="120" t="s">
        <v>701</v>
      </c>
      <c r="CM21" s="120" t="s">
        <v>1884</v>
      </c>
      <c r="CN21" s="120" t="s">
        <v>1880</v>
      </c>
      <c r="CO21" s="120" t="s">
        <v>1885</v>
      </c>
      <c r="CP21" s="120" t="s">
        <v>1886</v>
      </c>
      <c r="CQ21" s="120"/>
      <c r="CR21" s="120"/>
      <c r="CS21" s="120" t="s">
        <v>686</v>
      </c>
      <c r="CT21" s="120" t="s">
        <v>687</v>
      </c>
      <c r="CU21" s="120" t="s">
        <v>702</v>
      </c>
      <c r="CV21" s="120" t="s">
        <v>703</v>
      </c>
      <c r="CW21" s="120"/>
      <c r="CX21" s="120"/>
      <c r="CY21" s="120"/>
      <c r="CZ21" s="120"/>
      <c r="DA21" s="120"/>
      <c r="DB21" s="120"/>
      <c r="DC21" s="120"/>
      <c r="DD21" s="120"/>
      <c r="DE21" s="18"/>
      <c r="DF21" s="18"/>
    </row>
    <row r="22" spans="1:110" s="7" customFormat="1" x14ac:dyDescent="0.25">
      <c r="A22" s="19" t="s">
        <v>228</v>
      </c>
      <c r="B22" s="19" t="s">
        <v>80</v>
      </c>
      <c r="C22" s="19" t="str">
        <f t="shared" si="2"/>
        <v>96559243India</v>
      </c>
      <c r="D22" s="19">
        <v>96559243</v>
      </c>
      <c r="E22" s="19" t="s">
        <v>426</v>
      </c>
      <c r="F22" s="19" t="s">
        <v>2067</v>
      </c>
      <c r="G22" s="20" t="s">
        <v>426</v>
      </c>
      <c r="H22" s="136">
        <v>240</v>
      </c>
      <c r="I22" s="19" t="s">
        <v>230</v>
      </c>
      <c r="J22" s="19" t="s">
        <v>231</v>
      </c>
      <c r="K22" s="19" t="s">
        <v>427</v>
      </c>
      <c r="L22" s="19" t="s">
        <v>279</v>
      </c>
      <c r="M22" s="19" t="s">
        <v>268</v>
      </c>
      <c r="N22" s="19" t="s">
        <v>247</v>
      </c>
      <c r="O22" s="19" t="s">
        <v>275</v>
      </c>
      <c r="P22" s="19" t="s">
        <v>237</v>
      </c>
      <c r="Q22" s="19" t="s">
        <v>428</v>
      </c>
      <c r="R22" s="19">
        <v>900</v>
      </c>
      <c r="S22" s="19" t="s">
        <v>272</v>
      </c>
      <c r="T22" s="19" t="s">
        <v>263</v>
      </c>
      <c r="U22" s="20" t="s">
        <v>263</v>
      </c>
      <c r="V22" s="19" t="s">
        <v>161</v>
      </c>
      <c r="W22" s="19" t="s">
        <v>221</v>
      </c>
      <c r="X22" s="35">
        <v>5</v>
      </c>
      <c r="Y22" s="35">
        <v>5</v>
      </c>
      <c r="Z22" s="32"/>
      <c r="AA22" s="22"/>
      <c r="AB22" s="22"/>
      <c r="AC22" s="22"/>
      <c r="AD22" s="22"/>
      <c r="AE22" s="60">
        <f t="shared" si="3"/>
        <v>0</v>
      </c>
      <c r="AF22" s="22"/>
      <c r="AG22" s="40">
        <f t="shared" si="4"/>
        <v>0</v>
      </c>
      <c r="AH22" s="24"/>
      <c r="AI22" s="24"/>
      <c r="AJ22" s="121"/>
      <c r="AK22" s="121"/>
      <c r="AL22" s="24">
        <v>5</v>
      </c>
      <c r="AM22" s="24"/>
      <c r="AN22" s="23">
        <f t="shared" si="5"/>
        <v>5</v>
      </c>
      <c r="AO22" s="25"/>
      <c r="AP22" s="25">
        <v>5</v>
      </c>
      <c r="AQ22" s="25"/>
      <c r="AR22" s="25"/>
      <c r="AS22" s="25">
        <f t="shared" si="6"/>
        <v>5</v>
      </c>
      <c r="AT22" s="13"/>
      <c r="AU22" s="21"/>
      <c r="AV22" s="21"/>
      <c r="AW22" s="21"/>
      <c r="AX22" s="21"/>
      <c r="AY22" s="21"/>
      <c r="AZ22" s="21"/>
      <c r="BA22" s="77"/>
      <c r="BB22" s="21"/>
      <c r="BC22" s="21"/>
      <c r="BD22" s="21"/>
      <c r="BE22" s="21"/>
      <c r="BF22" s="21"/>
      <c r="BG22" s="77"/>
      <c r="BH22" s="77"/>
      <c r="BI22" s="21"/>
      <c r="BJ22" s="21"/>
      <c r="BK22" s="21"/>
      <c r="BL22" s="21"/>
      <c r="BM22" s="21"/>
      <c r="BN22" s="21"/>
      <c r="BO22" s="77"/>
      <c r="BP22" s="21"/>
      <c r="BQ22" s="21"/>
      <c r="BR22" s="21"/>
      <c r="BS22" s="21"/>
      <c r="BT22" s="21"/>
      <c r="BU22" s="21"/>
      <c r="BV22" s="77"/>
      <c r="BW22" s="96">
        <f t="shared" si="7"/>
        <v>0</v>
      </c>
      <c r="BX22" s="94">
        <f t="shared" si="8"/>
        <v>5</v>
      </c>
      <c r="BY22" s="26"/>
      <c r="CA22" s="50" t="s">
        <v>426</v>
      </c>
      <c r="CB22" s="19" t="b">
        <f t="shared" si="9"/>
        <v>1</v>
      </c>
      <c r="CC22" s="19" t="s">
        <v>426</v>
      </c>
      <c r="CD22" s="19" t="s">
        <v>724</v>
      </c>
      <c r="CE22" s="120" t="s">
        <v>696</v>
      </c>
      <c r="CF22" s="120" t="s">
        <v>697</v>
      </c>
      <c r="CG22" s="120" t="s">
        <v>698</v>
      </c>
      <c r="CH22" s="120" t="s">
        <v>699</v>
      </c>
      <c r="CI22" s="120" t="s">
        <v>691</v>
      </c>
      <c r="CJ22" s="120" t="s">
        <v>692</v>
      </c>
      <c r="CK22" s="120" t="s">
        <v>700</v>
      </c>
      <c r="CL22" s="120" t="s">
        <v>701</v>
      </c>
      <c r="CM22" s="120" t="s">
        <v>725</v>
      </c>
      <c r="CN22" s="120" t="s">
        <v>726</v>
      </c>
      <c r="CO22" s="120" t="s">
        <v>727</v>
      </c>
      <c r="CP22" s="120" t="s">
        <v>728</v>
      </c>
      <c r="CQ22" s="120"/>
      <c r="CR22" s="120"/>
      <c r="CS22" s="120" t="s">
        <v>686</v>
      </c>
      <c r="CT22" s="120" t="s">
        <v>687</v>
      </c>
      <c r="CU22" s="120" t="s">
        <v>702</v>
      </c>
      <c r="CV22" s="120" t="s">
        <v>703</v>
      </c>
      <c r="CW22" s="120"/>
      <c r="CX22" s="120"/>
      <c r="CY22" s="120"/>
      <c r="CZ22" s="120"/>
      <c r="DA22" s="120"/>
      <c r="DB22" s="120"/>
      <c r="DC22" s="120"/>
      <c r="DD22" s="120"/>
      <c r="DE22" s="18"/>
      <c r="DF22" s="18"/>
    </row>
    <row r="23" spans="1:110" s="7" customFormat="1" x14ac:dyDescent="0.25">
      <c r="A23" s="19" t="s">
        <v>228</v>
      </c>
      <c r="B23" s="19" t="s">
        <v>80</v>
      </c>
      <c r="C23" s="19" t="str">
        <f t="shared" si="2"/>
        <v>96551089India</v>
      </c>
      <c r="D23" s="19">
        <v>96551089</v>
      </c>
      <c r="E23" s="19" t="s">
        <v>455</v>
      </c>
      <c r="F23" s="19" t="s">
        <v>2067</v>
      </c>
      <c r="G23" s="20" t="s">
        <v>455</v>
      </c>
      <c r="H23" s="136">
        <v>197</v>
      </c>
      <c r="I23" s="19" t="s">
        <v>230</v>
      </c>
      <c r="J23" s="19" t="s">
        <v>231</v>
      </c>
      <c r="K23" s="19" t="s">
        <v>427</v>
      </c>
      <c r="L23" s="19" t="s">
        <v>279</v>
      </c>
      <c r="M23" s="19" t="s">
        <v>268</v>
      </c>
      <c r="N23" s="19" t="s">
        <v>269</v>
      </c>
      <c r="O23" s="19" t="s">
        <v>275</v>
      </c>
      <c r="P23" s="19" t="s">
        <v>237</v>
      </c>
      <c r="Q23" s="19" t="s">
        <v>428</v>
      </c>
      <c r="R23" s="19">
        <v>900</v>
      </c>
      <c r="S23" s="19" t="s">
        <v>272</v>
      </c>
      <c r="T23" s="19" t="s">
        <v>263</v>
      </c>
      <c r="U23" s="20" t="s">
        <v>263</v>
      </c>
      <c r="V23" s="19" t="s">
        <v>1601</v>
      </c>
      <c r="W23" s="19" t="s">
        <v>221</v>
      </c>
      <c r="X23" s="35">
        <v>13.000000000000005</v>
      </c>
      <c r="Y23" s="35">
        <v>13.000000000000005</v>
      </c>
      <c r="Z23" s="32"/>
      <c r="AA23" s="22">
        <v>10.999999999999986</v>
      </c>
      <c r="AB23" s="22">
        <v>2.0000000000000027</v>
      </c>
      <c r="AC23" s="22">
        <v>5</v>
      </c>
      <c r="AD23" s="22"/>
      <c r="AE23" s="60">
        <f t="shared" si="3"/>
        <v>17.999999999999989</v>
      </c>
      <c r="AF23" s="22"/>
      <c r="AG23" s="40">
        <f t="shared" si="4"/>
        <v>17.999999999999989</v>
      </c>
      <c r="AH23" s="24"/>
      <c r="AI23" s="24">
        <v>12</v>
      </c>
      <c r="AJ23" s="121"/>
      <c r="AK23" s="121">
        <v>12</v>
      </c>
      <c r="AL23" s="24">
        <v>10</v>
      </c>
      <c r="AM23" s="24"/>
      <c r="AN23" s="23">
        <f t="shared" si="5"/>
        <v>15.999999999999989</v>
      </c>
      <c r="AO23" s="25">
        <v>8</v>
      </c>
      <c r="AP23" s="25">
        <v>8</v>
      </c>
      <c r="AQ23" s="25"/>
      <c r="AR23" s="25"/>
      <c r="AS23" s="25">
        <f t="shared" si="6"/>
        <v>16</v>
      </c>
      <c r="AT23" s="13">
        <v>12</v>
      </c>
      <c r="AU23" s="21">
        <v>3</v>
      </c>
      <c r="AV23" s="21">
        <v>3</v>
      </c>
      <c r="AW23" s="21">
        <v>3</v>
      </c>
      <c r="AX23" s="21">
        <v>3</v>
      </c>
      <c r="AY23" s="21">
        <v>3</v>
      </c>
      <c r="AZ23" s="21">
        <v>3</v>
      </c>
      <c r="BA23" s="77"/>
      <c r="BB23" s="21"/>
      <c r="BC23" s="21"/>
      <c r="BD23" s="21"/>
      <c r="BE23" s="21"/>
      <c r="BF23" s="21"/>
      <c r="BG23" s="77"/>
      <c r="BH23" s="77"/>
      <c r="BI23" s="21"/>
      <c r="BJ23" s="21"/>
      <c r="BK23" s="21"/>
      <c r="BL23" s="21"/>
      <c r="BM23" s="21"/>
      <c r="BN23" s="21"/>
      <c r="BO23" s="77"/>
      <c r="BP23" s="21"/>
      <c r="BQ23" s="21"/>
      <c r="BR23" s="21"/>
      <c r="BS23" s="21"/>
      <c r="BT23" s="21"/>
      <c r="BU23" s="21"/>
      <c r="BV23" s="77"/>
      <c r="BW23" s="96">
        <f t="shared" si="7"/>
        <v>15</v>
      </c>
      <c r="BX23" s="94">
        <f t="shared" si="8"/>
        <v>1</v>
      </c>
      <c r="BY23" s="26"/>
      <c r="CA23" s="50" t="s">
        <v>455</v>
      </c>
      <c r="CB23" s="19" t="b">
        <f t="shared" si="9"/>
        <v>1</v>
      </c>
      <c r="CC23" s="19" t="s">
        <v>455</v>
      </c>
      <c r="CD23" s="19" t="s">
        <v>735</v>
      </c>
      <c r="CE23" s="120" t="s">
        <v>696</v>
      </c>
      <c r="CF23" s="120" t="s">
        <v>697</v>
      </c>
      <c r="CG23" s="120" t="s">
        <v>2237</v>
      </c>
      <c r="CH23" s="120" t="s">
        <v>2238</v>
      </c>
      <c r="CI23" s="120" t="s">
        <v>691</v>
      </c>
      <c r="CJ23" s="120" t="s">
        <v>692</v>
      </c>
      <c r="CK23" s="120" t="s">
        <v>695</v>
      </c>
      <c r="CL23" s="120" t="s">
        <v>694</v>
      </c>
      <c r="CM23" s="120" t="s">
        <v>736</v>
      </c>
      <c r="CN23" s="120" t="s">
        <v>726</v>
      </c>
      <c r="CO23" s="120" t="s">
        <v>731</v>
      </c>
      <c r="CP23" s="120" t="s">
        <v>732</v>
      </c>
      <c r="CQ23" s="120"/>
      <c r="CR23" s="120"/>
      <c r="CS23" s="120" t="s">
        <v>686</v>
      </c>
      <c r="CT23" s="120" t="s">
        <v>687</v>
      </c>
      <c r="CU23" s="120" t="s">
        <v>2239</v>
      </c>
      <c r="CV23" s="120" t="s">
        <v>2240</v>
      </c>
      <c r="CW23" s="120"/>
      <c r="CX23" s="120"/>
      <c r="CY23" s="120"/>
      <c r="CZ23" s="120"/>
      <c r="DA23" s="120"/>
      <c r="DB23" s="120"/>
      <c r="DC23" s="120"/>
      <c r="DD23" s="120"/>
      <c r="DE23" s="18"/>
      <c r="DF23" s="18"/>
    </row>
    <row r="24" spans="1:110" s="7" customFormat="1" x14ac:dyDescent="0.25">
      <c r="A24" s="19" t="s">
        <v>228</v>
      </c>
      <c r="B24" s="19" t="s">
        <v>80</v>
      </c>
      <c r="C24" s="19" t="str">
        <f t="shared" si="2"/>
        <v>96559258India</v>
      </c>
      <c r="D24" s="19">
        <v>96559258</v>
      </c>
      <c r="E24" s="19" t="s">
        <v>464</v>
      </c>
      <c r="F24" s="19" t="s">
        <v>2067</v>
      </c>
      <c r="G24" s="20" t="s">
        <v>464</v>
      </c>
      <c r="H24" s="136">
        <v>240</v>
      </c>
      <c r="I24" s="19" t="s">
        <v>230</v>
      </c>
      <c r="J24" s="19" t="s">
        <v>243</v>
      </c>
      <c r="K24" s="19" t="s">
        <v>427</v>
      </c>
      <c r="L24" s="19" t="s">
        <v>279</v>
      </c>
      <c r="M24" s="19" t="s">
        <v>268</v>
      </c>
      <c r="N24" s="19" t="s">
        <v>247</v>
      </c>
      <c r="O24" s="19" t="s">
        <v>275</v>
      </c>
      <c r="P24" s="19" t="s">
        <v>237</v>
      </c>
      <c r="Q24" s="19" t="s">
        <v>428</v>
      </c>
      <c r="R24" s="19">
        <v>900</v>
      </c>
      <c r="S24" s="19" t="s">
        <v>272</v>
      </c>
      <c r="T24" s="19" t="s">
        <v>263</v>
      </c>
      <c r="U24" s="20" t="s">
        <v>263</v>
      </c>
      <c r="V24" s="19" t="s">
        <v>189</v>
      </c>
      <c r="W24" s="19" t="s">
        <v>221</v>
      </c>
      <c r="X24" s="35">
        <v>1</v>
      </c>
      <c r="Y24" s="35">
        <v>1.0000000000000013</v>
      </c>
      <c r="Z24" s="32"/>
      <c r="AA24" s="22"/>
      <c r="AB24" s="22"/>
      <c r="AC24" s="22"/>
      <c r="AD24" s="22"/>
      <c r="AE24" s="60">
        <f t="shared" si="3"/>
        <v>0</v>
      </c>
      <c r="AF24" s="22"/>
      <c r="AG24" s="40">
        <f t="shared" si="4"/>
        <v>0</v>
      </c>
      <c r="AH24" s="24"/>
      <c r="AI24" s="24">
        <v>8</v>
      </c>
      <c r="AJ24" s="121"/>
      <c r="AK24" s="121">
        <v>0</v>
      </c>
      <c r="AL24" s="24"/>
      <c r="AM24" s="24"/>
      <c r="AN24" s="23">
        <f t="shared" si="5"/>
        <v>0</v>
      </c>
      <c r="AO24" s="25"/>
      <c r="AP24" s="25"/>
      <c r="AQ24" s="25"/>
      <c r="AR24" s="25"/>
      <c r="AS24" s="25">
        <f t="shared" si="6"/>
        <v>0</v>
      </c>
      <c r="AT24" s="13"/>
      <c r="AU24" s="21"/>
      <c r="AV24" s="21"/>
      <c r="AW24" s="21"/>
      <c r="AX24" s="21"/>
      <c r="AY24" s="21"/>
      <c r="AZ24" s="21"/>
      <c r="BA24" s="77"/>
      <c r="BB24" s="21"/>
      <c r="BC24" s="21"/>
      <c r="BD24" s="21"/>
      <c r="BE24" s="21"/>
      <c r="BF24" s="21"/>
      <c r="BG24" s="77"/>
      <c r="BH24" s="77"/>
      <c r="BI24" s="21"/>
      <c r="BJ24" s="21"/>
      <c r="BK24" s="21"/>
      <c r="BL24" s="21"/>
      <c r="BM24" s="21"/>
      <c r="BN24" s="21"/>
      <c r="BO24" s="77"/>
      <c r="BP24" s="21"/>
      <c r="BQ24" s="21"/>
      <c r="BR24" s="21"/>
      <c r="BS24" s="21"/>
      <c r="BT24" s="21"/>
      <c r="BU24" s="21"/>
      <c r="BV24" s="77"/>
      <c r="BW24" s="96">
        <f t="shared" si="7"/>
        <v>0</v>
      </c>
      <c r="BX24" s="94">
        <f t="shared" si="8"/>
        <v>0</v>
      </c>
      <c r="BY24" s="26"/>
      <c r="CA24" s="50" t="s">
        <v>464</v>
      </c>
      <c r="CB24" s="19" t="b">
        <f t="shared" si="9"/>
        <v>1</v>
      </c>
      <c r="CC24" s="19" t="s">
        <v>464</v>
      </c>
      <c r="CD24" s="19" t="s">
        <v>743</v>
      </c>
      <c r="CE24" s="120" t="s">
        <v>696</v>
      </c>
      <c r="CF24" s="120" t="s">
        <v>705</v>
      </c>
      <c r="CG24" s="120" t="s">
        <v>706</v>
      </c>
      <c r="CH24" s="120" t="s">
        <v>707</v>
      </c>
      <c r="CI24" s="120" t="s">
        <v>708</v>
      </c>
      <c r="CJ24" s="120" t="s">
        <v>709</v>
      </c>
      <c r="CK24" s="120" t="s">
        <v>710</v>
      </c>
      <c r="CL24" s="120" t="s">
        <v>667</v>
      </c>
      <c r="CM24" s="120" t="s">
        <v>744</v>
      </c>
      <c r="CN24" s="120" t="s">
        <v>745</v>
      </c>
      <c r="CO24" s="120" t="s">
        <v>713</v>
      </c>
      <c r="CP24" s="120" t="s">
        <v>714</v>
      </c>
      <c r="CQ24" s="120"/>
      <c r="CR24" s="120"/>
      <c r="CS24" s="120" t="s">
        <v>715</v>
      </c>
      <c r="CT24" s="120" t="s">
        <v>687</v>
      </c>
      <c r="CU24" s="120" t="s">
        <v>716</v>
      </c>
      <c r="CV24" s="120" t="s">
        <v>717</v>
      </c>
      <c r="CW24" s="120"/>
      <c r="CX24" s="120"/>
      <c r="CY24" s="120"/>
      <c r="CZ24" s="120"/>
      <c r="DA24" s="120"/>
      <c r="DB24" s="120"/>
      <c r="DC24" s="120"/>
      <c r="DD24" s="120"/>
      <c r="DE24" s="18"/>
      <c r="DF24" s="18"/>
    </row>
    <row r="25" spans="1:110" s="7" customFormat="1" x14ac:dyDescent="0.25">
      <c r="A25" s="19" t="s">
        <v>228</v>
      </c>
      <c r="B25" s="19" t="s">
        <v>80</v>
      </c>
      <c r="C25" s="19" t="str">
        <f t="shared" si="2"/>
        <v>96551088India</v>
      </c>
      <c r="D25" s="19">
        <v>96551088</v>
      </c>
      <c r="E25" s="19" t="s">
        <v>455</v>
      </c>
      <c r="F25" s="19" t="s">
        <v>2067</v>
      </c>
      <c r="G25" s="20" t="s">
        <v>455</v>
      </c>
      <c r="H25" s="136">
        <v>197</v>
      </c>
      <c r="I25" s="19" t="s">
        <v>230</v>
      </c>
      <c r="J25" s="19" t="s">
        <v>231</v>
      </c>
      <c r="K25" s="19" t="s">
        <v>427</v>
      </c>
      <c r="L25" s="19" t="s">
        <v>279</v>
      </c>
      <c r="M25" s="19" t="s">
        <v>268</v>
      </c>
      <c r="N25" s="19" t="s">
        <v>269</v>
      </c>
      <c r="O25" s="19" t="s">
        <v>275</v>
      </c>
      <c r="P25" s="19" t="s">
        <v>237</v>
      </c>
      <c r="Q25" s="19" t="s">
        <v>428</v>
      </c>
      <c r="R25" s="19">
        <v>900</v>
      </c>
      <c r="S25" s="19" t="s">
        <v>272</v>
      </c>
      <c r="T25" s="19" t="s">
        <v>263</v>
      </c>
      <c r="U25" s="20" t="s">
        <v>263</v>
      </c>
      <c r="V25" s="19" t="s">
        <v>1605</v>
      </c>
      <c r="W25" s="19" t="s">
        <v>222</v>
      </c>
      <c r="X25" s="35">
        <v>4</v>
      </c>
      <c r="Y25" s="35">
        <v>3.0000000000000013</v>
      </c>
      <c r="Z25" s="32"/>
      <c r="AA25" s="22">
        <v>2.0000000000000027</v>
      </c>
      <c r="AB25" s="22">
        <v>3.0000000000000013</v>
      </c>
      <c r="AC25" s="22"/>
      <c r="AD25" s="22"/>
      <c r="AE25" s="60">
        <f t="shared" si="3"/>
        <v>5.0000000000000036</v>
      </c>
      <c r="AF25" s="22"/>
      <c r="AG25" s="40">
        <f t="shared" si="4"/>
        <v>5.0000000000000036</v>
      </c>
      <c r="AH25" s="24"/>
      <c r="AI25" s="24"/>
      <c r="AJ25" s="121"/>
      <c r="AK25" s="121"/>
      <c r="AL25" s="24">
        <v>4</v>
      </c>
      <c r="AM25" s="24"/>
      <c r="AN25" s="23">
        <f t="shared" si="5"/>
        <v>9.0000000000000036</v>
      </c>
      <c r="AO25" s="25">
        <v>4</v>
      </c>
      <c r="AP25" s="25">
        <v>5</v>
      </c>
      <c r="AQ25" s="25"/>
      <c r="AR25" s="25"/>
      <c r="AS25" s="25">
        <f t="shared" si="6"/>
        <v>9</v>
      </c>
      <c r="AT25" s="13"/>
      <c r="AU25" s="21"/>
      <c r="AV25" s="21">
        <v>4</v>
      </c>
      <c r="AW25" s="21"/>
      <c r="AX25" s="21"/>
      <c r="AY25" s="21"/>
      <c r="AZ25" s="21"/>
      <c r="BA25" s="77"/>
      <c r="BB25" s="21"/>
      <c r="BC25" s="21"/>
      <c r="BD25" s="21">
        <v>1</v>
      </c>
      <c r="BE25" s="21"/>
      <c r="BF25" s="21"/>
      <c r="BG25" s="77"/>
      <c r="BH25" s="77"/>
      <c r="BI25" s="21"/>
      <c r="BJ25" s="21"/>
      <c r="BK25" s="21"/>
      <c r="BL25" s="21"/>
      <c r="BM25" s="21"/>
      <c r="BN25" s="21"/>
      <c r="BO25" s="77"/>
      <c r="BP25" s="21"/>
      <c r="BQ25" s="21"/>
      <c r="BR25" s="21"/>
      <c r="BS25" s="21"/>
      <c r="BT25" s="21"/>
      <c r="BU25" s="21"/>
      <c r="BV25" s="77"/>
      <c r="BW25" s="96">
        <f t="shared" si="7"/>
        <v>5</v>
      </c>
      <c r="BX25" s="94">
        <f t="shared" si="8"/>
        <v>4</v>
      </c>
      <c r="BY25" s="26"/>
      <c r="CA25" s="50" t="s">
        <v>455</v>
      </c>
      <c r="CB25" s="19" t="b">
        <f t="shared" si="9"/>
        <v>1</v>
      </c>
      <c r="CC25" s="19" t="s">
        <v>455</v>
      </c>
      <c r="CD25" s="19" t="s">
        <v>735</v>
      </c>
      <c r="CE25" s="120" t="s">
        <v>696</v>
      </c>
      <c r="CF25" s="120" t="s">
        <v>697</v>
      </c>
      <c r="CG25" s="120" t="s">
        <v>2237</v>
      </c>
      <c r="CH25" s="120" t="s">
        <v>2238</v>
      </c>
      <c r="CI25" s="120" t="s">
        <v>691</v>
      </c>
      <c r="CJ25" s="120" t="s">
        <v>692</v>
      </c>
      <c r="CK25" s="120" t="s">
        <v>695</v>
      </c>
      <c r="CL25" s="120" t="s">
        <v>694</v>
      </c>
      <c r="CM25" s="120" t="s">
        <v>736</v>
      </c>
      <c r="CN25" s="120" t="s">
        <v>726</v>
      </c>
      <c r="CO25" s="120" t="s">
        <v>731</v>
      </c>
      <c r="CP25" s="120" t="s">
        <v>732</v>
      </c>
      <c r="CQ25" s="120"/>
      <c r="CR25" s="120"/>
      <c r="CS25" s="120" t="s">
        <v>686</v>
      </c>
      <c r="CT25" s="120" t="s">
        <v>687</v>
      </c>
      <c r="CU25" s="120" t="s">
        <v>2239</v>
      </c>
      <c r="CV25" s="120" t="s">
        <v>2240</v>
      </c>
      <c r="CW25" s="120"/>
      <c r="CX25" s="120"/>
      <c r="CY25" s="120"/>
      <c r="CZ25" s="120"/>
      <c r="DA25" s="120"/>
      <c r="DB25" s="120"/>
      <c r="DC25" s="120"/>
      <c r="DD25" s="120"/>
      <c r="DE25" s="18"/>
      <c r="DF25" s="18"/>
    </row>
    <row r="26" spans="1:110" s="7" customFormat="1" x14ac:dyDescent="0.25">
      <c r="A26" s="19" t="s">
        <v>228</v>
      </c>
      <c r="B26" s="19" t="s">
        <v>80</v>
      </c>
      <c r="C26" s="19" t="str">
        <f t="shared" si="2"/>
        <v>96556999India</v>
      </c>
      <c r="D26" s="19">
        <v>96556999</v>
      </c>
      <c r="E26" s="19" t="s">
        <v>1606</v>
      </c>
      <c r="F26" s="19" t="s">
        <v>2067</v>
      </c>
      <c r="G26" s="20" t="s">
        <v>1606</v>
      </c>
      <c r="H26" s="136">
        <v>42</v>
      </c>
      <c r="I26" s="19" t="s">
        <v>230</v>
      </c>
      <c r="J26" s="19" t="s">
        <v>231</v>
      </c>
      <c r="K26" s="19" t="s">
        <v>427</v>
      </c>
      <c r="L26" s="19" t="s">
        <v>279</v>
      </c>
      <c r="M26" s="19" t="s">
        <v>268</v>
      </c>
      <c r="N26" s="19" t="s">
        <v>247</v>
      </c>
      <c r="O26" s="19" t="s">
        <v>275</v>
      </c>
      <c r="P26" s="19" t="s">
        <v>237</v>
      </c>
      <c r="Q26" s="19" t="s">
        <v>428</v>
      </c>
      <c r="R26" s="19">
        <v>900</v>
      </c>
      <c r="S26" s="19" t="s">
        <v>272</v>
      </c>
      <c r="T26" s="19" t="s">
        <v>263</v>
      </c>
      <c r="U26" s="20" t="s">
        <v>263</v>
      </c>
      <c r="V26" s="19" t="s">
        <v>1558</v>
      </c>
      <c r="W26" s="19" t="s">
        <v>222</v>
      </c>
      <c r="X26" s="35">
        <v>1.0000000000000013</v>
      </c>
      <c r="Y26" s="35">
        <v>1.0000000000000013</v>
      </c>
      <c r="Z26" s="32"/>
      <c r="AA26" s="22"/>
      <c r="AB26" s="22">
        <v>2.0000000000000027</v>
      </c>
      <c r="AC26" s="22"/>
      <c r="AD26" s="22"/>
      <c r="AE26" s="60">
        <f t="shared" si="3"/>
        <v>2.0000000000000027</v>
      </c>
      <c r="AF26" s="22"/>
      <c r="AG26" s="40">
        <f t="shared" si="4"/>
        <v>2.0000000000000027</v>
      </c>
      <c r="AH26" s="24"/>
      <c r="AI26" s="24"/>
      <c r="AJ26" s="121"/>
      <c r="AK26" s="121"/>
      <c r="AL26" s="24"/>
      <c r="AM26" s="24"/>
      <c r="AN26" s="23">
        <f t="shared" si="5"/>
        <v>2.0000000000000027</v>
      </c>
      <c r="AO26" s="25"/>
      <c r="AP26" s="25">
        <v>2</v>
      </c>
      <c r="AQ26" s="25"/>
      <c r="AR26" s="25"/>
      <c r="AS26" s="25">
        <f t="shared" si="6"/>
        <v>2</v>
      </c>
      <c r="AT26" s="13"/>
      <c r="AU26" s="21"/>
      <c r="AV26" s="21"/>
      <c r="AW26" s="21"/>
      <c r="AX26" s="21"/>
      <c r="AY26" s="21"/>
      <c r="AZ26" s="21"/>
      <c r="BA26" s="77"/>
      <c r="BB26" s="21"/>
      <c r="BC26" s="21"/>
      <c r="BD26" s="21">
        <v>2</v>
      </c>
      <c r="BE26" s="21"/>
      <c r="BF26" s="21"/>
      <c r="BG26" s="77"/>
      <c r="BH26" s="77"/>
      <c r="BI26" s="21"/>
      <c r="BJ26" s="21"/>
      <c r="BK26" s="21"/>
      <c r="BL26" s="21"/>
      <c r="BM26" s="21"/>
      <c r="BN26" s="21"/>
      <c r="BO26" s="77"/>
      <c r="BP26" s="21"/>
      <c r="BQ26" s="21"/>
      <c r="BR26" s="21"/>
      <c r="BS26" s="21"/>
      <c r="BT26" s="21"/>
      <c r="BU26" s="21"/>
      <c r="BV26" s="77"/>
      <c r="BW26" s="96">
        <f t="shared" si="7"/>
        <v>2</v>
      </c>
      <c r="BX26" s="94">
        <f t="shared" si="8"/>
        <v>0</v>
      </c>
      <c r="BY26" s="26"/>
      <c r="CA26" s="50" t="s">
        <v>1606</v>
      </c>
      <c r="CB26" s="19" t="b">
        <f t="shared" si="9"/>
        <v>1</v>
      </c>
      <c r="CC26" s="19" t="s">
        <v>1606</v>
      </c>
      <c r="CD26" s="19" t="s">
        <v>724</v>
      </c>
      <c r="CE26" s="120" t="s">
        <v>696</v>
      </c>
      <c r="CF26" s="120" t="s">
        <v>697</v>
      </c>
      <c r="CG26" s="120" t="s">
        <v>698</v>
      </c>
      <c r="CH26" s="120" t="s">
        <v>699</v>
      </c>
      <c r="CI26" s="120" t="s">
        <v>691</v>
      </c>
      <c r="CJ26" s="120" t="s">
        <v>692</v>
      </c>
      <c r="CK26" s="120" t="s">
        <v>700</v>
      </c>
      <c r="CL26" s="120" t="s">
        <v>701</v>
      </c>
      <c r="CM26" s="120" t="s">
        <v>1640</v>
      </c>
      <c r="CN26" s="120" t="s">
        <v>1641</v>
      </c>
      <c r="CO26" s="120" t="s">
        <v>727</v>
      </c>
      <c r="CP26" s="120" t="s">
        <v>728</v>
      </c>
      <c r="CQ26" s="120"/>
      <c r="CR26" s="120"/>
      <c r="CS26" s="120" t="s">
        <v>686</v>
      </c>
      <c r="CT26" s="120" t="s">
        <v>687</v>
      </c>
      <c r="CU26" s="120" t="s">
        <v>702</v>
      </c>
      <c r="CV26" s="120" t="s">
        <v>703</v>
      </c>
      <c r="CW26" s="120"/>
      <c r="CX26" s="120"/>
      <c r="CY26" s="120"/>
      <c r="CZ26" s="120"/>
      <c r="DA26" s="120"/>
      <c r="DB26" s="120"/>
      <c r="DC26" s="120"/>
      <c r="DD26" s="120"/>
      <c r="DE26" s="18"/>
      <c r="DF26" s="18"/>
    </row>
    <row r="27" spans="1:110" s="7" customFormat="1" x14ac:dyDescent="0.25">
      <c r="A27" s="19" t="s">
        <v>228</v>
      </c>
      <c r="B27" s="19" t="s">
        <v>80</v>
      </c>
      <c r="C27" s="19" t="str">
        <f t="shared" si="2"/>
        <v>96559251India</v>
      </c>
      <c r="D27" s="19">
        <v>96559251</v>
      </c>
      <c r="E27" s="19" t="s">
        <v>454</v>
      </c>
      <c r="F27" s="19" t="s">
        <v>2067</v>
      </c>
      <c r="G27" s="20" t="s">
        <v>454</v>
      </c>
      <c r="H27" s="136">
        <v>169</v>
      </c>
      <c r="I27" s="19" t="s">
        <v>230</v>
      </c>
      <c r="J27" s="19" t="s">
        <v>231</v>
      </c>
      <c r="K27" s="19" t="s">
        <v>427</v>
      </c>
      <c r="L27" s="19" t="s">
        <v>279</v>
      </c>
      <c r="M27" s="19" t="s">
        <v>268</v>
      </c>
      <c r="N27" s="19" t="s">
        <v>247</v>
      </c>
      <c r="O27" s="19" t="s">
        <v>275</v>
      </c>
      <c r="P27" s="19" t="s">
        <v>237</v>
      </c>
      <c r="Q27" s="19" t="s">
        <v>428</v>
      </c>
      <c r="R27" s="19">
        <v>900</v>
      </c>
      <c r="S27" s="19" t="s">
        <v>272</v>
      </c>
      <c r="T27" s="19" t="s">
        <v>263</v>
      </c>
      <c r="U27" s="20" t="s">
        <v>263</v>
      </c>
      <c r="V27" s="19" t="s">
        <v>1560</v>
      </c>
      <c r="W27" s="19" t="s">
        <v>221</v>
      </c>
      <c r="X27" s="35">
        <v>3.000000000000004</v>
      </c>
      <c r="Y27" s="35">
        <v>3.000000000000004</v>
      </c>
      <c r="Z27" s="32"/>
      <c r="AA27" s="22"/>
      <c r="AB27" s="22"/>
      <c r="AC27" s="22"/>
      <c r="AD27" s="22"/>
      <c r="AE27" s="60">
        <f t="shared" si="3"/>
        <v>0</v>
      </c>
      <c r="AF27" s="22"/>
      <c r="AG27" s="40">
        <f t="shared" si="4"/>
        <v>0</v>
      </c>
      <c r="AH27" s="24"/>
      <c r="AI27" s="24">
        <v>5</v>
      </c>
      <c r="AJ27" s="121"/>
      <c r="AK27" s="121">
        <v>0</v>
      </c>
      <c r="AL27" s="24"/>
      <c r="AM27" s="24"/>
      <c r="AN27" s="23">
        <f t="shared" si="5"/>
        <v>0</v>
      </c>
      <c r="AO27" s="25"/>
      <c r="AP27" s="25"/>
      <c r="AQ27" s="25"/>
      <c r="AR27" s="25"/>
      <c r="AS27" s="25">
        <f t="shared" si="6"/>
        <v>0</v>
      </c>
      <c r="AT27" s="13"/>
      <c r="AU27" s="21"/>
      <c r="AV27" s="21"/>
      <c r="AW27" s="21"/>
      <c r="AX27" s="21"/>
      <c r="AY27" s="21"/>
      <c r="AZ27" s="21"/>
      <c r="BA27" s="77"/>
      <c r="BB27" s="21"/>
      <c r="BC27" s="21"/>
      <c r="BD27" s="21"/>
      <c r="BE27" s="21"/>
      <c r="BF27" s="21"/>
      <c r="BG27" s="77"/>
      <c r="BH27" s="77"/>
      <c r="BI27" s="21"/>
      <c r="BJ27" s="21"/>
      <c r="BK27" s="21"/>
      <c r="BL27" s="21"/>
      <c r="BM27" s="21"/>
      <c r="BN27" s="21"/>
      <c r="BO27" s="77"/>
      <c r="BP27" s="21"/>
      <c r="BQ27" s="21"/>
      <c r="BR27" s="21"/>
      <c r="BS27" s="21"/>
      <c r="BT27" s="21"/>
      <c r="BU27" s="21"/>
      <c r="BV27" s="77"/>
      <c r="BW27" s="96">
        <f t="shared" si="7"/>
        <v>0</v>
      </c>
      <c r="BX27" s="94">
        <f t="shared" si="8"/>
        <v>0</v>
      </c>
      <c r="BY27" s="26"/>
      <c r="CA27" s="50" t="s">
        <v>454</v>
      </c>
      <c r="CB27" s="19" t="b">
        <f t="shared" si="9"/>
        <v>1</v>
      </c>
      <c r="CC27" s="19" t="s">
        <v>454</v>
      </c>
      <c r="CD27" s="19" t="s">
        <v>729</v>
      </c>
      <c r="CE27" s="120" t="s">
        <v>696</v>
      </c>
      <c r="CF27" s="120" t="s">
        <v>697</v>
      </c>
      <c r="CG27" s="120" t="s">
        <v>730</v>
      </c>
      <c r="CH27" s="120" t="s">
        <v>690</v>
      </c>
      <c r="CI27" s="120" t="s">
        <v>691</v>
      </c>
      <c r="CJ27" s="120" t="s">
        <v>692</v>
      </c>
      <c r="CK27" s="120" t="s">
        <v>695</v>
      </c>
      <c r="CL27" s="120" t="s">
        <v>694</v>
      </c>
      <c r="CM27" s="120" t="s">
        <v>725</v>
      </c>
      <c r="CN27" s="120" t="s">
        <v>726</v>
      </c>
      <c r="CO27" s="120" t="s">
        <v>731</v>
      </c>
      <c r="CP27" s="120" t="s">
        <v>732</v>
      </c>
      <c r="CQ27" s="120"/>
      <c r="CR27" s="120"/>
      <c r="CS27" s="120" t="s">
        <v>686</v>
      </c>
      <c r="CT27" s="120" t="s">
        <v>687</v>
      </c>
      <c r="CU27" s="120" t="s">
        <v>733</v>
      </c>
      <c r="CV27" s="120" t="s">
        <v>734</v>
      </c>
      <c r="CW27" s="120"/>
      <c r="CX27" s="120"/>
      <c r="CY27" s="120"/>
      <c r="CZ27" s="120"/>
      <c r="DA27" s="120"/>
      <c r="DB27" s="120"/>
      <c r="DC27" s="120"/>
      <c r="DD27" s="120"/>
      <c r="DE27" s="18"/>
      <c r="DF27" s="18"/>
    </row>
    <row r="28" spans="1:110" s="7" customFormat="1" x14ac:dyDescent="0.25">
      <c r="A28" s="19" t="s">
        <v>228</v>
      </c>
      <c r="B28" s="19" t="s">
        <v>80</v>
      </c>
      <c r="C28" s="19" t="str">
        <f t="shared" si="2"/>
        <v>96559420India</v>
      </c>
      <c r="D28" s="19">
        <v>96559420</v>
      </c>
      <c r="E28" s="19" t="s">
        <v>1845</v>
      </c>
      <c r="F28" s="19" t="s">
        <v>2067</v>
      </c>
      <c r="G28" s="20" t="s">
        <v>1845</v>
      </c>
      <c r="H28" s="136">
        <v>19</v>
      </c>
      <c r="I28" s="19" t="s">
        <v>230</v>
      </c>
      <c r="J28" s="19" t="s">
        <v>286</v>
      </c>
      <c r="K28" s="19" t="s">
        <v>427</v>
      </c>
      <c r="L28" s="19" t="s">
        <v>279</v>
      </c>
      <c r="M28" s="19" t="s">
        <v>268</v>
      </c>
      <c r="N28" s="19" t="s">
        <v>269</v>
      </c>
      <c r="O28" s="19" t="s">
        <v>275</v>
      </c>
      <c r="P28" s="19" t="s">
        <v>237</v>
      </c>
      <c r="Q28" s="19" t="s">
        <v>428</v>
      </c>
      <c r="R28" s="19">
        <v>900</v>
      </c>
      <c r="S28" s="19" t="s">
        <v>272</v>
      </c>
      <c r="T28" s="19" t="s">
        <v>263</v>
      </c>
      <c r="U28" s="20" t="s">
        <v>263</v>
      </c>
      <c r="V28" s="19" t="s">
        <v>1801</v>
      </c>
      <c r="W28" s="19" t="s">
        <v>222</v>
      </c>
      <c r="X28" s="35">
        <v>1.0000000000000013</v>
      </c>
      <c r="Y28" s="35">
        <v>1.0000000000000013</v>
      </c>
      <c r="Z28" s="32"/>
      <c r="AA28" s="22"/>
      <c r="AB28" s="22">
        <v>2</v>
      </c>
      <c r="AC28" s="22"/>
      <c r="AD28" s="22"/>
      <c r="AE28" s="60">
        <f t="shared" ref="AE28:AE45" si="10">SUM(AA28:AD28)</f>
        <v>2</v>
      </c>
      <c r="AF28" s="22"/>
      <c r="AG28" s="40">
        <f t="shared" ref="AG28:AG45" si="11">AE28+AF28</f>
        <v>2</v>
      </c>
      <c r="AH28" s="24"/>
      <c r="AI28" s="24">
        <v>4</v>
      </c>
      <c r="AJ28" s="121"/>
      <c r="AK28" s="121">
        <v>2</v>
      </c>
      <c r="AL28" s="24"/>
      <c r="AM28" s="24"/>
      <c r="AN28" s="23">
        <f t="shared" si="5"/>
        <v>0</v>
      </c>
      <c r="AO28" s="25"/>
      <c r="AP28" s="25"/>
      <c r="AQ28" s="25"/>
      <c r="AR28" s="25"/>
      <c r="AS28" s="25">
        <f t="shared" si="6"/>
        <v>0</v>
      </c>
      <c r="AT28" s="13">
        <v>2</v>
      </c>
      <c r="AU28" s="21"/>
      <c r="AV28" s="21">
        <v>1</v>
      </c>
      <c r="AW28" s="21">
        <v>1</v>
      </c>
      <c r="AX28" s="21"/>
      <c r="AY28" s="21"/>
      <c r="AZ28" s="21"/>
      <c r="BA28" s="77"/>
      <c r="BB28" s="21"/>
      <c r="BC28" s="21"/>
      <c r="BD28" s="21"/>
      <c r="BE28" s="21"/>
      <c r="BF28" s="21"/>
      <c r="BG28" s="77"/>
      <c r="BH28" s="77"/>
      <c r="BI28" s="21"/>
      <c r="BJ28" s="21"/>
      <c r="BK28" s="21"/>
      <c r="BL28" s="21"/>
      <c r="BM28" s="21"/>
      <c r="BN28" s="21"/>
      <c r="BO28" s="77"/>
      <c r="BP28" s="21"/>
      <c r="BQ28" s="21"/>
      <c r="BR28" s="21"/>
      <c r="BS28" s="21"/>
      <c r="BT28" s="21"/>
      <c r="BU28" s="21"/>
      <c r="BV28" s="77"/>
      <c r="BW28" s="96">
        <f t="shared" si="7"/>
        <v>2</v>
      </c>
      <c r="BX28" s="94">
        <f t="shared" si="8"/>
        <v>-2</v>
      </c>
      <c r="BY28" s="26"/>
      <c r="CA28" s="50" t="s">
        <v>1845</v>
      </c>
      <c r="CB28" s="19" t="b">
        <f t="shared" ref="CB28:CB45" si="12">CC28=CA28</f>
        <v>1</v>
      </c>
      <c r="CC28" s="19" t="s">
        <v>1845</v>
      </c>
      <c r="CD28" s="19" t="s">
        <v>1891</v>
      </c>
      <c r="CE28" s="120" t="s">
        <v>696</v>
      </c>
      <c r="CF28" s="120" t="s">
        <v>697</v>
      </c>
      <c r="CG28" s="120" t="s">
        <v>718</v>
      </c>
      <c r="CH28" s="120" t="s">
        <v>719</v>
      </c>
      <c r="CI28" s="120" t="s">
        <v>619</v>
      </c>
      <c r="CJ28" s="120" t="s">
        <v>620</v>
      </c>
      <c r="CK28" s="120" t="s">
        <v>700</v>
      </c>
      <c r="CL28" s="120" t="s">
        <v>701</v>
      </c>
      <c r="CM28" s="120" t="s">
        <v>1892</v>
      </c>
      <c r="CN28" s="120" t="s">
        <v>1893</v>
      </c>
      <c r="CO28" s="120" t="s">
        <v>1894</v>
      </c>
      <c r="CP28" s="120" t="s">
        <v>1895</v>
      </c>
      <c r="CQ28" s="120"/>
      <c r="CR28" s="120"/>
      <c r="CS28" s="120" t="s">
        <v>686</v>
      </c>
      <c r="CT28" s="120" t="s">
        <v>687</v>
      </c>
      <c r="CU28" s="120" t="s">
        <v>722</v>
      </c>
      <c r="CV28" s="120" t="s">
        <v>723</v>
      </c>
      <c r="CW28" s="120"/>
      <c r="CX28" s="120"/>
      <c r="CY28" s="120"/>
      <c r="CZ28" s="120"/>
      <c r="DA28" s="120"/>
      <c r="DB28" s="120"/>
      <c r="DC28" s="120"/>
      <c r="DD28" s="120"/>
      <c r="DE28" s="18"/>
      <c r="DF28" s="18"/>
    </row>
    <row r="29" spans="1:110" s="7" customFormat="1" x14ac:dyDescent="0.25">
      <c r="A29" s="19" t="s">
        <v>228</v>
      </c>
      <c r="B29" s="19" t="s">
        <v>80</v>
      </c>
      <c r="C29" s="19" t="str">
        <f t="shared" ref="C29:C45" si="13">D29&amp;B29</f>
        <v>96559422India</v>
      </c>
      <c r="D29" s="19">
        <v>96559422</v>
      </c>
      <c r="E29" s="19" t="s">
        <v>486</v>
      </c>
      <c r="F29" s="19" t="s">
        <v>2067</v>
      </c>
      <c r="G29" s="20" t="s">
        <v>486</v>
      </c>
      <c r="H29" s="136">
        <v>18</v>
      </c>
      <c r="I29" s="19" t="s">
        <v>230</v>
      </c>
      <c r="J29" s="19" t="s">
        <v>286</v>
      </c>
      <c r="K29" s="19" t="s">
        <v>427</v>
      </c>
      <c r="L29" s="19" t="s">
        <v>279</v>
      </c>
      <c r="M29" s="19" t="s">
        <v>268</v>
      </c>
      <c r="N29" s="19" t="s">
        <v>247</v>
      </c>
      <c r="O29" s="19" t="s">
        <v>275</v>
      </c>
      <c r="P29" s="19" t="s">
        <v>237</v>
      </c>
      <c r="Q29" s="19" t="s">
        <v>428</v>
      </c>
      <c r="R29" s="19">
        <v>900</v>
      </c>
      <c r="S29" s="19" t="s">
        <v>272</v>
      </c>
      <c r="T29" s="19" t="s">
        <v>263</v>
      </c>
      <c r="U29" s="20" t="s">
        <v>263</v>
      </c>
      <c r="V29" s="19" t="s">
        <v>211</v>
      </c>
      <c r="W29" s="19" t="s">
        <v>222</v>
      </c>
      <c r="X29" s="35">
        <v>1.0000000000000013</v>
      </c>
      <c r="Y29" s="35">
        <v>1.0000000000000013</v>
      </c>
      <c r="Z29" s="32"/>
      <c r="AA29" s="22"/>
      <c r="AB29" s="22">
        <v>2</v>
      </c>
      <c r="AC29" s="22"/>
      <c r="AD29" s="22"/>
      <c r="AE29" s="60">
        <f t="shared" si="10"/>
        <v>2</v>
      </c>
      <c r="AF29" s="22"/>
      <c r="AG29" s="40">
        <f t="shared" si="11"/>
        <v>2</v>
      </c>
      <c r="AH29" s="24">
        <v>1</v>
      </c>
      <c r="AI29" s="24">
        <v>1</v>
      </c>
      <c r="AJ29" s="121">
        <v>1</v>
      </c>
      <c r="AK29" s="121">
        <v>1</v>
      </c>
      <c r="AL29" s="24"/>
      <c r="AM29" s="24"/>
      <c r="AN29" s="23">
        <f t="shared" ref="AN29:AN45" si="14">AG29-AJ29-AK29+AL29+AM29</f>
        <v>0</v>
      </c>
      <c r="AO29" s="25"/>
      <c r="AP29" s="25"/>
      <c r="AQ29" s="25"/>
      <c r="AR29" s="25"/>
      <c r="AS29" s="25">
        <f t="shared" ref="AS29:AS45" si="15">SUM(AO29:AR29)</f>
        <v>0</v>
      </c>
      <c r="AT29" s="13">
        <v>1</v>
      </c>
      <c r="AU29" s="21"/>
      <c r="AV29" s="21">
        <v>1</v>
      </c>
      <c r="AW29" s="21"/>
      <c r="AX29" s="21"/>
      <c r="AY29" s="21"/>
      <c r="AZ29" s="21"/>
      <c r="BA29" s="77"/>
      <c r="BB29" s="21"/>
      <c r="BC29" s="21"/>
      <c r="BD29" s="21"/>
      <c r="BE29" s="21"/>
      <c r="BF29" s="21"/>
      <c r="BG29" s="77"/>
      <c r="BH29" s="77"/>
      <c r="BI29" s="21"/>
      <c r="BJ29" s="21"/>
      <c r="BK29" s="21"/>
      <c r="BL29" s="21"/>
      <c r="BM29" s="21"/>
      <c r="BN29" s="21"/>
      <c r="BO29" s="77"/>
      <c r="BP29" s="21"/>
      <c r="BQ29" s="21"/>
      <c r="BR29" s="21"/>
      <c r="BS29" s="21"/>
      <c r="BT29" s="21"/>
      <c r="BU29" s="21"/>
      <c r="BV29" s="77"/>
      <c r="BW29" s="96">
        <f t="shared" si="7"/>
        <v>1</v>
      </c>
      <c r="BX29" s="94">
        <f t="shared" si="8"/>
        <v>-1</v>
      </c>
      <c r="BY29" s="26"/>
      <c r="CA29" s="50" t="s">
        <v>486</v>
      </c>
      <c r="CB29" s="19" t="b">
        <f t="shared" si="12"/>
        <v>1</v>
      </c>
      <c r="CC29" s="19" t="s">
        <v>486</v>
      </c>
      <c r="CD29" s="19" t="s">
        <v>751</v>
      </c>
      <c r="CE29" s="120" t="s">
        <v>696</v>
      </c>
      <c r="CF29" s="120" t="s">
        <v>697</v>
      </c>
      <c r="CG29" s="120" t="s">
        <v>752</v>
      </c>
      <c r="CH29" s="120" t="s">
        <v>753</v>
      </c>
      <c r="CI29" s="120" t="s">
        <v>619</v>
      </c>
      <c r="CJ29" s="120" t="s">
        <v>620</v>
      </c>
      <c r="CK29" s="120" t="s">
        <v>754</v>
      </c>
      <c r="CL29" s="120" t="s">
        <v>694</v>
      </c>
      <c r="CM29" s="120" t="s">
        <v>755</v>
      </c>
      <c r="CN29" s="120" t="s">
        <v>756</v>
      </c>
      <c r="CO29" s="120" t="s">
        <v>757</v>
      </c>
      <c r="CP29" s="120" t="s">
        <v>758</v>
      </c>
      <c r="CQ29" s="120"/>
      <c r="CR29" s="120"/>
      <c r="CS29" s="120" t="s">
        <v>686</v>
      </c>
      <c r="CT29" s="120" t="s">
        <v>687</v>
      </c>
      <c r="CU29" s="120" t="s">
        <v>759</v>
      </c>
      <c r="CV29" s="120" t="s">
        <v>760</v>
      </c>
      <c r="CW29" s="120"/>
      <c r="CX29" s="120"/>
      <c r="CY29" s="120"/>
      <c r="CZ29" s="120"/>
      <c r="DA29" s="120"/>
      <c r="DB29" s="120"/>
      <c r="DC29" s="120"/>
      <c r="DD29" s="120"/>
      <c r="DE29" s="18"/>
      <c r="DF29" s="18"/>
    </row>
    <row r="30" spans="1:110" s="7" customFormat="1" x14ac:dyDescent="0.25">
      <c r="A30" s="19" t="s">
        <v>228</v>
      </c>
      <c r="B30" s="19" t="s">
        <v>80</v>
      </c>
      <c r="C30" s="19" t="str">
        <f t="shared" si="13"/>
        <v>96559242India</v>
      </c>
      <c r="D30" s="19">
        <v>96559242</v>
      </c>
      <c r="E30" s="19" t="s">
        <v>426</v>
      </c>
      <c r="F30" s="19" t="s">
        <v>2067</v>
      </c>
      <c r="G30" s="20" t="s">
        <v>426</v>
      </c>
      <c r="H30" s="136">
        <v>240</v>
      </c>
      <c r="I30" s="19" t="s">
        <v>230</v>
      </c>
      <c r="J30" s="19" t="s">
        <v>231</v>
      </c>
      <c r="K30" s="19" t="s">
        <v>427</v>
      </c>
      <c r="L30" s="19" t="s">
        <v>279</v>
      </c>
      <c r="M30" s="19" t="s">
        <v>268</v>
      </c>
      <c r="N30" s="19" t="s">
        <v>269</v>
      </c>
      <c r="O30" s="19" t="s">
        <v>275</v>
      </c>
      <c r="P30" s="19" t="s">
        <v>237</v>
      </c>
      <c r="Q30" s="19" t="s">
        <v>428</v>
      </c>
      <c r="R30" s="19">
        <v>900</v>
      </c>
      <c r="S30" s="19" t="s">
        <v>272</v>
      </c>
      <c r="T30" s="19" t="s">
        <v>263</v>
      </c>
      <c r="U30" s="20" t="s">
        <v>263</v>
      </c>
      <c r="V30" s="19" t="s">
        <v>212</v>
      </c>
      <c r="W30" s="19" t="s">
        <v>222</v>
      </c>
      <c r="X30" s="35"/>
      <c r="Y30" s="35"/>
      <c r="Z30" s="32"/>
      <c r="AA30" s="22"/>
      <c r="AB30" s="22">
        <v>3</v>
      </c>
      <c r="AC30" s="22"/>
      <c r="AD30" s="22"/>
      <c r="AE30" s="60">
        <f t="shared" si="10"/>
        <v>3</v>
      </c>
      <c r="AF30" s="22"/>
      <c r="AG30" s="40">
        <f t="shared" si="11"/>
        <v>3</v>
      </c>
      <c r="AH30" s="24"/>
      <c r="AI30" s="24">
        <v>8</v>
      </c>
      <c r="AJ30" s="121"/>
      <c r="AK30" s="121">
        <v>3</v>
      </c>
      <c r="AL30" s="24"/>
      <c r="AM30" s="24"/>
      <c r="AN30" s="23">
        <f t="shared" si="14"/>
        <v>0</v>
      </c>
      <c r="AO30" s="25"/>
      <c r="AP30" s="25"/>
      <c r="AQ30" s="25"/>
      <c r="AR30" s="25"/>
      <c r="AS30" s="25">
        <f t="shared" si="15"/>
        <v>0</v>
      </c>
      <c r="AT30" s="13">
        <v>3</v>
      </c>
      <c r="AU30" s="21">
        <v>1</v>
      </c>
      <c r="AV30" s="21">
        <v>1</v>
      </c>
      <c r="AW30" s="21">
        <v>1</v>
      </c>
      <c r="AX30" s="21"/>
      <c r="AY30" s="21"/>
      <c r="AZ30" s="21"/>
      <c r="BA30" s="77"/>
      <c r="BB30" s="21"/>
      <c r="BC30" s="21"/>
      <c r="BD30" s="21"/>
      <c r="BE30" s="21"/>
      <c r="BF30" s="21"/>
      <c r="BG30" s="77"/>
      <c r="BH30" s="77"/>
      <c r="BI30" s="21"/>
      <c r="BJ30" s="21"/>
      <c r="BK30" s="21"/>
      <c r="BL30" s="21"/>
      <c r="BM30" s="21"/>
      <c r="BN30" s="21"/>
      <c r="BO30" s="77"/>
      <c r="BP30" s="21"/>
      <c r="BQ30" s="21"/>
      <c r="BR30" s="21"/>
      <c r="BS30" s="21"/>
      <c r="BT30" s="21"/>
      <c r="BU30" s="21"/>
      <c r="BV30" s="77"/>
      <c r="BW30" s="96">
        <f t="shared" si="7"/>
        <v>2</v>
      </c>
      <c r="BX30" s="94">
        <f t="shared" si="8"/>
        <v>-2</v>
      </c>
      <c r="BY30" s="26"/>
      <c r="CA30" s="50" t="s">
        <v>426</v>
      </c>
      <c r="CB30" s="19" t="b">
        <f t="shared" si="12"/>
        <v>1</v>
      </c>
      <c r="CC30" s="19" t="s">
        <v>426</v>
      </c>
      <c r="CD30" s="19" t="s">
        <v>724</v>
      </c>
      <c r="CE30" s="120" t="s">
        <v>696</v>
      </c>
      <c r="CF30" s="120" t="s">
        <v>697</v>
      </c>
      <c r="CG30" s="120" t="s">
        <v>698</v>
      </c>
      <c r="CH30" s="120" t="s">
        <v>699</v>
      </c>
      <c r="CI30" s="120" t="s">
        <v>691</v>
      </c>
      <c r="CJ30" s="120" t="s">
        <v>692</v>
      </c>
      <c r="CK30" s="120" t="s">
        <v>700</v>
      </c>
      <c r="CL30" s="120" t="s">
        <v>701</v>
      </c>
      <c r="CM30" s="120" t="s">
        <v>725</v>
      </c>
      <c r="CN30" s="120" t="s">
        <v>726</v>
      </c>
      <c r="CO30" s="120" t="s">
        <v>727</v>
      </c>
      <c r="CP30" s="120" t="s">
        <v>728</v>
      </c>
      <c r="CQ30" s="120"/>
      <c r="CR30" s="120"/>
      <c r="CS30" s="120" t="s">
        <v>686</v>
      </c>
      <c r="CT30" s="120" t="s">
        <v>687</v>
      </c>
      <c r="CU30" s="120" t="s">
        <v>702</v>
      </c>
      <c r="CV30" s="120" t="s">
        <v>703</v>
      </c>
      <c r="CW30" s="120"/>
      <c r="CX30" s="120"/>
      <c r="CY30" s="120"/>
      <c r="CZ30" s="120"/>
      <c r="DA30" s="120"/>
      <c r="DB30" s="120"/>
      <c r="DC30" s="120"/>
      <c r="DD30" s="120"/>
      <c r="DE30" s="18"/>
      <c r="DF30" s="18"/>
    </row>
    <row r="31" spans="1:110" s="7" customFormat="1" x14ac:dyDescent="0.25">
      <c r="A31" s="19" t="s">
        <v>228</v>
      </c>
      <c r="B31" s="19" t="s">
        <v>80</v>
      </c>
      <c r="C31" s="19" t="str">
        <f t="shared" si="13"/>
        <v>96559244India</v>
      </c>
      <c r="D31" s="19">
        <v>96559244</v>
      </c>
      <c r="E31" s="19" t="s">
        <v>1849</v>
      </c>
      <c r="F31" s="19" t="s">
        <v>2067</v>
      </c>
      <c r="G31" s="20" t="s">
        <v>1849</v>
      </c>
      <c r="H31" s="136">
        <v>26</v>
      </c>
      <c r="I31" s="19" t="s">
        <v>230</v>
      </c>
      <c r="J31" s="19" t="s">
        <v>231</v>
      </c>
      <c r="K31" s="19" t="s">
        <v>427</v>
      </c>
      <c r="L31" s="19" t="s">
        <v>279</v>
      </c>
      <c r="M31" s="19" t="s">
        <v>268</v>
      </c>
      <c r="N31" s="19" t="s">
        <v>269</v>
      </c>
      <c r="O31" s="19" t="s">
        <v>275</v>
      </c>
      <c r="P31" s="19" t="s">
        <v>237</v>
      </c>
      <c r="Q31" s="19" t="s">
        <v>428</v>
      </c>
      <c r="R31" s="19">
        <v>900</v>
      </c>
      <c r="S31" s="19" t="s">
        <v>272</v>
      </c>
      <c r="T31" s="19" t="s">
        <v>263</v>
      </c>
      <c r="U31" s="20" t="s">
        <v>263</v>
      </c>
      <c r="V31" s="19" t="s">
        <v>1808</v>
      </c>
      <c r="W31" s="19" t="s">
        <v>222</v>
      </c>
      <c r="X31" s="35">
        <v>1.0000000000000013</v>
      </c>
      <c r="Y31" s="35">
        <v>1.0000000000000013</v>
      </c>
      <c r="Z31" s="32"/>
      <c r="AA31" s="22"/>
      <c r="AB31" s="22"/>
      <c r="AC31" s="22"/>
      <c r="AD31" s="22"/>
      <c r="AE31" s="60">
        <f t="shared" si="10"/>
        <v>0</v>
      </c>
      <c r="AF31" s="22"/>
      <c r="AG31" s="40">
        <f t="shared" si="11"/>
        <v>0</v>
      </c>
      <c r="AH31" s="24"/>
      <c r="AI31" s="24"/>
      <c r="AJ31" s="121"/>
      <c r="AK31" s="121"/>
      <c r="AL31" s="24"/>
      <c r="AM31" s="24"/>
      <c r="AN31" s="23">
        <f t="shared" si="14"/>
        <v>0</v>
      </c>
      <c r="AO31" s="25"/>
      <c r="AP31" s="25"/>
      <c r="AQ31" s="25"/>
      <c r="AR31" s="25"/>
      <c r="AS31" s="25">
        <f t="shared" si="15"/>
        <v>0</v>
      </c>
      <c r="AT31" s="13"/>
      <c r="AU31" s="21"/>
      <c r="AV31" s="21"/>
      <c r="AW31" s="21"/>
      <c r="AX31" s="21"/>
      <c r="AY31" s="21"/>
      <c r="AZ31" s="21"/>
      <c r="BA31" s="77"/>
      <c r="BB31" s="21"/>
      <c r="BC31" s="21"/>
      <c r="BD31" s="21"/>
      <c r="BE31" s="21"/>
      <c r="BF31" s="21"/>
      <c r="BG31" s="77"/>
      <c r="BH31" s="77"/>
      <c r="BI31" s="21"/>
      <c r="BJ31" s="21"/>
      <c r="BK31" s="21"/>
      <c r="BL31" s="21"/>
      <c r="BM31" s="21"/>
      <c r="BN31" s="21"/>
      <c r="BO31" s="77"/>
      <c r="BP31" s="21"/>
      <c r="BQ31" s="21"/>
      <c r="BR31" s="21"/>
      <c r="BS31" s="21"/>
      <c r="BT31" s="21"/>
      <c r="BU31" s="21"/>
      <c r="BV31" s="77"/>
      <c r="BW31" s="96">
        <f t="shared" si="7"/>
        <v>0</v>
      </c>
      <c r="BX31" s="94">
        <f t="shared" si="8"/>
        <v>0</v>
      </c>
      <c r="BY31" s="26"/>
      <c r="CA31" s="50" t="s">
        <v>1849</v>
      </c>
      <c r="CB31" s="19" t="b">
        <f t="shared" si="12"/>
        <v>1</v>
      </c>
      <c r="CC31" s="19" t="s">
        <v>1849</v>
      </c>
      <c r="CD31" s="19" t="s">
        <v>724</v>
      </c>
      <c r="CE31" s="120" t="s">
        <v>696</v>
      </c>
      <c r="CF31" s="120" t="s">
        <v>697</v>
      </c>
      <c r="CG31" s="120" t="s">
        <v>698</v>
      </c>
      <c r="CH31" s="120" t="s">
        <v>699</v>
      </c>
      <c r="CI31" s="120" t="s">
        <v>691</v>
      </c>
      <c r="CJ31" s="120" t="s">
        <v>692</v>
      </c>
      <c r="CK31" s="120" t="s">
        <v>700</v>
      </c>
      <c r="CL31" s="120" t="s">
        <v>701</v>
      </c>
      <c r="CM31" s="120" t="s">
        <v>736</v>
      </c>
      <c r="CN31" s="120" t="s">
        <v>726</v>
      </c>
      <c r="CO31" s="120" t="s">
        <v>727</v>
      </c>
      <c r="CP31" s="120" t="s">
        <v>728</v>
      </c>
      <c r="CQ31" s="120"/>
      <c r="CR31" s="120"/>
      <c r="CS31" s="120" t="s">
        <v>686</v>
      </c>
      <c r="CT31" s="120" t="s">
        <v>687</v>
      </c>
      <c r="CU31" s="120" t="s">
        <v>702</v>
      </c>
      <c r="CV31" s="120" t="s">
        <v>703</v>
      </c>
      <c r="CW31" s="120"/>
      <c r="CX31" s="120"/>
      <c r="CY31" s="120"/>
      <c r="CZ31" s="120"/>
      <c r="DA31" s="120"/>
      <c r="DB31" s="120"/>
      <c r="DC31" s="120"/>
      <c r="DD31" s="120"/>
      <c r="DE31" s="18"/>
      <c r="DF31" s="18"/>
    </row>
    <row r="32" spans="1:110" s="7" customFormat="1" x14ac:dyDescent="0.25">
      <c r="A32" s="19" t="s">
        <v>228</v>
      </c>
      <c r="B32" s="19" t="s">
        <v>80</v>
      </c>
      <c r="C32" s="19" t="str">
        <f t="shared" si="13"/>
        <v>96559423India</v>
      </c>
      <c r="D32" s="19">
        <v>96559423</v>
      </c>
      <c r="E32" s="19" t="s">
        <v>485</v>
      </c>
      <c r="F32" s="19" t="s">
        <v>2067</v>
      </c>
      <c r="G32" s="20" t="s">
        <v>485</v>
      </c>
      <c r="H32" s="136">
        <v>13</v>
      </c>
      <c r="I32" s="19" t="s">
        <v>230</v>
      </c>
      <c r="J32" s="19" t="s">
        <v>286</v>
      </c>
      <c r="K32" s="19" t="s">
        <v>427</v>
      </c>
      <c r="L32" s="19" t="s">
        <v>279</v>
      </c>
      <c r="M32" s="19" t="s">
        <v>268</v>
      </c>
      <c r="N32" s="19" t="s">
        <v>269</v>
      </c>
      <c r="O32" s="19" t="s">
        <v>275</v>
      </c>
      <c r="P32" s="19" t="s">
        <v>237</v>
      </c>
      <c r="Q32" s="19" t="s">
        <v>428</v>
      </c>
      <c r="R32" s="19">
        <v>900</v>
      </c>
      <c r="S32" s="19" t="s">
        <v>272</v>
      </c>
      <c r="T32" s="19" t="s">
        <v>263</v>
      </c>
      <c r="U32" s="20" t="s">
        <v>263</v>
      </c>
      <c r="V32" s="19" t="s">
        <v>217</v>
      </c>
      <c r="W32" s="19" t="s">
        <v>219</v>
      </c>
      <c r="X32" s="35"/>
      <c r="Y32" s="35"/>
      <c r="Z32" s="32"/>
      <c r="AA32" s="22">
        <v>2</v>
      </c>
      <c r="AB32" s="22"/>
      <c r="AC32" s="22"/>
      <c r="AD32" s="22"/>
      <c r="AE32" s="60">
        <f t="shared" si="10"/>
        <v>2</v>
      </c>
      <c r="AF32" s="22"/>
      <c r="AG32" s="40">
        <f t="shared" si="11"/>
        <v>2</v>
      </c>
      <c r="AH32" s="24">
        <v>2</v>
      </c>
      <c r="AI32" s="24"/>
      <c r="AJ32" s="121">
        <v>2</v>
      </c>
      <c r="AK32" s="121"/>
      <c r="AL32" s="24"/>
      <c r="AM32" s="24"/>
      <c r="AN32" s="23">
        <f t="shared" si="14"/>
        <v>0</v>
      </c>
      <c r="AO32" s="25"/>
      <c r="AP32" s="25"/>
      <c r="AQ32" s="25"/>
      <c r="AR32" s="25"/>
      <c r="AS32" s="25">
        <f t="shared" si="15"/>
        <v>0</v>
      </c>
      <c r="AT32" s="13"/>
      <c r="AU32" s="21"/>
      <c r="AV32" s="21"/>
      <c r="AW32" s="21"/>
      <c r="AX32" s="21"/>
      <c r="AY32" s="21"/>
      <c r="AZ32" s="21"/>
      <c r="BA32" s="77"/>
      <c r="BB32" s="21"/>
      <c r="BC32" s="21"/>
      <c r="BD32" s="21"/>
      <c r="BE32" s="21"/>
      <c r="BF32" s="21"/>
      <c r="BG32" s="77"/>
      <c r="BH32" s="77"/>
      <c r="BI32" s="21"/>
      <c r="BJ32" s="21"/>
      <c r="BK32" s="21"/>
      <c r="BL32" s="21"/>
      <c r="BM32" s="21"/>
      <c r="BN32" s="21"/>
      <c r="BO32" s="77"/>
      <c r="BP32" s="21"/>
      <c r="BQ32" s="21"/>
      <c r="BR32" s="21"/>
      <c r="BS32" s="21"/>
      <c r="BT32" s="21"/>
      <c r="BU32" s="21"/>
      <c r="BV32" s="77"/>
      <c r="BW32" s="96">
        <f t="shared" si="7"/>
        <v>0</v>
      </c>
      <c r="BX32" s="94">
        <f t="shared" si="8"/>
        <v>0</v>
      </c>
      <c r="BY32" s="26"/>
      <c r="CA32" s="50" t="s">
        <v>485</v>
      </c>
      <c r="CB32" s="19" t="b">
        <f t="shared" si="12"/>
        <v>1</v>
      </c>
      <c r="CC32" s="19" t="s">
        <v>485</v>
      </c>
      <c r="CD32" s="19" t="s">
        <v>747</v>
      </c>
      <c r="CE32" s="120" t="s">
        <v>696</v>
      </c>
      <c r="CF32" s="120" t="s">
        <v>697</v>
      </c>
      <c r="CG32" s="120" t="s">
        <v>718</v>
      </c>
      <c r="CH32" s="120" t="s">
        <v>719</v>
      </c>
      <c r="CI32" s="120" t="s">
        <v>619</v>
      </c>
      <c r="CJ32" s="120" t="s">
        <v>620</v>
      </c>
      <c r="CK32" s="120" t="s">
        <v>720</v>
      </c>
      <c r="CL32" s="120" t="s">
        <v>721</v>
      </c>
      <c r="CM32" s="120" t="s">
        <v>748</v>
      </c>
      <c r="CN32" s="120" t="s">
        <v>749</v>
      </c>
      <c r="CO32" s="120" t="s">
        <v>750</v>
      </c>
      <c r="CP32" s="120" t="s">
        <v>746</v>
      </c>
      <c r="CQ32" s="120"/>
      <c r="CR32" s="120"/>
      <c r="CS32" s="120" t="s">
        <v>686</v>
      </c>
      <c r="CT32" s="120" t="s">
        <v>687</v>
      </c>
      <c r="CU32" s="120" t="s">
        <v>722</v>
      </c>
      <c r="CV32" s="120" t="s">
        <v>723</v>
      </c>
      <c r="CW32" s="120"/>
      <c r="CX32" s="120"/>
      <c r="CY32" s="120"/>
      <c r="CZ32" s="120"/>
      <c r="DA32" s="120"/>
      <c r="DB32" s="120"/>
      <c r="DC32" s="120"/>
      <c r="DD32" s="120"/>
      <c r="DE32" s="18"/>
      <c r="DF32" s="18"/>
    </row>
    <row r="33" spans="1:110" s="7" customFormat="1" x14ac:dyDescent="0.25">
      <c r="A33" s="19" t="s">
        <v>228</v>
      </c>
      <c r="B33" s="19" t="s">
        <v>80</v>
      </c>
      <c r="C33" s="19" t="str">
        <f t="shared" si="13"/>
        <v>96558116India</v>
      </c>
      <c r="D33" s="19">
        <v>96558116</v>
      </c>
      <c r="E33" s="19" t="s">
        <v>2086</v>
      </c>
      <c r="F33" s="19" t="s">
        <v>2067</v>
      </c>
      <c r="G33" s="20" t="s">
        <v>2086</v>
      </c>
      <c r="H33" s="136">
        <v>2</v>
      </c>
      <c r="I33" s="19" t="s">
        <v>230</v>
      </c>
      <c r="J33" s="19" t="s">
        <v>286</v>
      </c>
      <c r="K33" s="19" t="s">
        <v>427</v>
      </c>
      <c r="L33" s="19" t="s">
        <v>279</v>
      </c>
      <c r="M33" s="19" t="s">
        <v>268</v>
      </c>
      <c r="N33" s="19" t="s">
        <v>269</v>
      </c>
      <c r="O33" s="19" t="s">
        <v>275</v>
      </c>
      <c r="P33" s="19" t="s">
        <v>237</v>
      </c>
      <c r="Q33" s="19" t="s">
        <v>428</v>
      </c>
      <c r="R33" s="19">
        <v>900</v>
      </c>
      <c r="S33" s="19" t="s">
        <v>272</v>
      </c>
      <c r="T33" s="19" t="s">
        <v>263</v>
      </c>
      <c r="U33" s="20" t="s">
        <v>263</v>
      </c>
      <c r="V33" s="19" t="s">
        <v>2038</v>
      </c>
      <c r="W33" s="19" t="s">
        <v>219</v>
      </c>
      <c r="X33" s="35"/>
      <c r="Y33" s="35"/>
      <c r="Z33" s="32"/>
      <c r="AA33" s="22"/>
      <c r="AB33" s="22">
        <v>5</v>
      </c>
      <c r="AC33" s="22"/>
      <c r="AD33" s="22"/>
      <c r="AE33" s="60">
        <f t="shared" si="10"/>
        <v>5</v>
      </c>
      <c r="AF33" s="22"/>
      <c r="AG33" s="40">
        <f t="shared" si="11"/>
        <v>5</v>
      </c>
      <c r="AH33" s="24"/>
      <c r="AI33" s="24"/>
      <c r="AJ33" s="121"/>
      <c r="AK33" s="121"/>
      <c r="AL33" s="24"/>
      <c r="AM33" s="24"/>
      <c r="AN33" s="23">
        <f t="shared" si="14"/>
        <v>5</v>
      </c>
      <c r="AO33" s="25"/>
      <c r="AP33" s="25">
        <v>5</v>
      </c>
      <c r="AQ33" s="25"/>
      <c r="AR33" s="25"/>
      <c r="AS33" s="25">
        <f t="shared" si="15"/>
        <v>5</v>
      </c>
      <c r="AT33" s="13"/>
      <c r="AU33" s="21"/>
      <c r="AV33" s="21"/>
      <c r="AW33" s="21"/>
      <c r="AX33" s="21"/>
      <c r="AY33" s="21"/>
      <c r="AZ33" s="21"/>
      <c r="BA33" s="77"/>
      <c r="BB33" s="21"/>
      <c r="BC33" s="21"/>
      <c r="BD33" s="21">
        <v>2</v>
      </c>
      <c r="BE33" s="21">
        <v>3</v>
      </c>
      <c r="BF33" s="21"/>
      <c r="BG33" s="77"/>
      <c r="BH33" s="77"/>
      <c r="BI33" s="21"/>
      <c r="BJ33" s="21"/>
      <c r="BK33" s="21"/>
      <c r="BL33" s="21"/>
      <c r="BM33" s="21"/>
      <c r="BN33" s="21"/>
      <c r="BO33" s="77"/>
      <c r="BP33" s="21"/>
      <c r="BQ33" s="21"/>
      <c r="BR33" s="21"/>
      <c r="BS33" s="21"/>
      <c r="BT33" s="21"/>
      <c r="BU33" s="21"/>
      <c r="BV33" s="77"/>
      <c r="BW33" s="96">
        <f t="shared" si="7"/>
        <v>5</v>
      </c>
      <c r="BX33" s="94">
        <f t="shared" si="8"/>
        <v>0</v>
      </c>
      <c r="BY33" s="26"/>
      <c r="CA33" s="50" t="s">
        <v>2086</v>
      </c>
      <c r="CB33" s="19" t="b">
        <f t="shared" si="12"/>
        <v>1</v>
      </c>
      <c r="CC33" s="19" t="s">
        <v>2086</v>
      </c>
      <c r="CD33" s="19" t="s">
        <v>2154</v>
      </c>
      <c r="CE33" s="120" t="s">
        <v>696</v>
      </c>
      <c r="CF33" s="120" t="s">
        <v>697</v>
      </c>
      <c r="CG33" s="120" t="s">
        <v>2155</v>
      </c>
      <c r="CH33" s="120" t="s">
        <v>753</v>
      </c>
      <c r="CI33" s="120" t="s">
        <v>619</v>
      </c>
      <c r="CJ33" s="120" t="s">
        <v>620</v>
      </c>
      <c r="CK33" s="120" t="s">
        <v>693</v>
      </c>
      <c r="CL33" s="120" t="s">
        <v>694</v>
      </c>
      <c r="CM33" s="120" t="s">
        <v>2156</v>
      </c>
      <c r="CN33" s="120" t="s">
        <v>2157</v>
      </c>
      <c r="CO33" s="120" t="s">
        <v>757</v>
      </c>
      <c r="CP33" s="120" t="s">
        <v>758</v>
      </c>
      <c r="CQ33" s="120"/>
      <c r="CR33" s="120"/>
      <c r="CS33" s="120" t="s">
        <v>686</v>
      </c>
      <c r="CT33" s="120" t="s">
        <v>687</v>
      </c>
      <c r="CU33" s="120" t="s">
        <v>2158</v>
      </c>
      <c r="CV33" s="120" t="s">
        <v>2159</v>
      </c>
      <c r="CW33" s="120"/>
      <c r="CX33" s="120"/>
      <c r="CY33" s="120"/>
      <c r="CZ33" s="120"/>
      <c r="DA33" s="120"/>
      <c r="DB33" s="120"/>
      <c r="DC33" s="120"/>
      <c r="DD33" s="120"/>
      <c r="DE33" s="18"/>
      <c r="DF33" s="18"/>
    </row>
    <row r="34" spans="1:110" s="7" customFormat="1" x14ac:dyDescent="0.25">
      <c r="A34" s="19" t="s">
        <v>74</v>
      </c>
      <c r="B34" s="19" t="s">
        <v>2176</v>
      </c>
      <c r="C34" s="19" t="str">
        <f t="shared" si="13"/>
        <v>96059629Police Gandhinagar</v>
      </c>
      <c r="D34" s="19">
        <v>96059629</v>
      </c>
      <c r="E34" s="19" t="s">
        <v>477</v>
      </c>
      <c r="F34" s="19" t="s">
        <v>2067</v>
      </c>
      <c r="G34" s="20" t="s">
        <v>477</v>
      </c>
      <c r="H34" s="136">
        <v>442</v>
      </c>
      <c r="I34" s="19" t="s">
        <v>230</v>
      </c>
      <c r="J34" s="19" t="s">
        <v>243</v>
      </c>
      <c r="K34" s="19" t="s">
        <v>278</v>
      </c>
      <c r="L34" s="19" t="s">
        <v>279</v>
      </c>
      <c r="M34" s="19" t="s">
        <v>268</v>
      </c>
      <c r="N34" s="19" t="s">
        <v>247</v>
      </c>
      <c r="O34" s="19" t="s">
        <v>275</v>
      </c>
      <c r="P34" s="19" t="s">
        <v>237</v>
      </c>
      <c r="Q34" s="19" t="s">
        <v>280</v>
      </c>
      <c r="R34" s="19">
        <v>1000</v>
      </c>
      <c r="S34" s="19" t="s">
        <v>272</v>
      </c>
      <c r="T34" s="19" t="s">
        <v>263</v>
      </c>
      <c r="U34" s="20" t="s">
        <v>263</v>
      </c>
      <c r="V34" s="19" t="s">
        <v>2180</v>
      </c>
      <c r="W34" s="19" t="s">
        <v>219</v>
      </c>
      <c r="X34" s="35"/>
      <c r="Y34" s="35"/>
      <c r="Z34" s="32"/>
      <c r="AA34" s="22"/>
      <c r="AB34" s="22">
        <v>21</v>
      </c>
      <c r="AC34" s="22"/>
      <c r="AD34" s="22"/>
      <c r="AE34" s="60">
        <f t="shared" si="10"/>
        <v>21</v>
      </c>
      <c r="AF34" s="22"/>
      <c r="AG34" s="40">
        <f t="shared" si="11"/>
        <v>21</v>
      </c>
      <c r="AH34" s="24"/>
      <c r="AI34" s="24">
        <v>21</v>
      </c>
      <c r="AJ34" s="121"/>
      <c r="AK34" s="121">
        <v>21</v>
      </c>
      <c r="AL34" s="24"/>
      <c r="AM34" s="24"/>
      <c r="AN34" s="23">
        <f t="shared" si="14"/>
        <v>0</v>
      </c>
      <c r="AO34" s="25"/>
      <c r="AP34" s="25"/>
      <c r="AQ34" s="25"/>
      <c r="AR34" s="25"/>
      <c r="AS34" s="25">
        <f t="shared" si="15"/>
        <v>0</v>
      </c>
      <c r="AT34" s="13">
        <v>21</v>
      </c>
      <c r="AU34" s="21">
        <v>7</v>
      </c>
      <c r="AV34" s="21">
        <v>7</v>
      </c>
      <c r="AW34" s="21">
        <v>7</v>
      </c>
      <c r="AX34" s="21"/>
      <c r="AY34" s="21"/>
      <c r="AZ34" s="21"/>
      <c r="BA34" s="77"/>
      <c r="BB34" s="21"/>
      <c r="BC34" s="21"/>
      <c r="BD34" s="21"/>
      <c r="BE34" s="21"/>
      <c r="BF34" s="21"/>
      <c r="BG34" s="77"/>
      <c r="BH34" s="77"/>
      <c r="BI34" s="21"/>
      <c r="BJ34" s="21"/>
      <c r="BK34" s="21"/>
      <c r="BL34" s="21"/>
      <c r="BM34" s="21"/>
      <c r="BN34" s="21"/>
      <c r="BO34" s="77"/>
      <c r="BP34" s="21"/>
      <c r="BQ34" s="21"/>
      <c r="BR34" s="21"/>
      <c r="BS34" s="21"/>
      <c r="BT34" s="21"/>
      <c r="BU34" s="21"/>
      <c r="BV34" s="77"/>
      <c r="BW34" s="96">
        <f t="shared" si="7"/>
        <v>14</v>
      </c>
      <c r="BX34" s="94">
        <f t="shared" si="8"/>
        <v>-14</v>
      </c>
      <c r="BY34" s="26"/>
      <c r="CA34" s="50" t="s">
        <v>477</v>
      </c>
      <c r="CB34" s="19" t="b">
        <f t="shared" si="12"/>
        <v>1</v>
      </c>
      <c r="CC34" s="19" t="s">
        <v>477</v>
      </c>
      <c r="CD34" s="19" t="s">
        <v>793</v>
      </c>
      <c r="CE34" s="120" t="s">
        <v>762</v>
      </c>
      <c r="CF34" s="120" t="s">
        <v>763</v>
      </c>
      <c r="CG34" s="120" t="s">
        <v>706</v>
      </c>
      <c r="CH34" s="120" t="s">
        <v>707</v>
      </c>
      <c r="CI34" s="120" t="s">
        <v>708</v>
      </c>
      <c r="CJ34" s="120" t="s">
        <v>709</v>
      </c>
      <c r="CK34" s="120" t="s">
        <v>695</v>
      </c>
      <c r="CL34" s="120" t="s">
        <v>694</v>
      </c>
      <c r="CM34" s="120" t="s">
        <v>794</v>
      </c>
      <c r="CN34" s="120" t="s">
        <v>795</v>
      </c>
      <c r="CO34" s="120" t="s">
        <v>796</v>
      </c>
      <c r="CP34" s="120" t="s">
        <v>767</v>
      </c>
      <c r="CQ34" s="120"/>
      <c r="CR34" s="120"/>
      <c r="CS34" s="120" t="s">
        <v>715</v>
      </c>
      <c r="CT34" s="120" t="s">
        <v>687</v>
      </c>
      <c r="CU34" s="120" t="s">
        <v>716</v>
      </c>
      <c r="CV34" s="120" t="s">
        <v>717</v>
      </c>
      <c r="CW34" s="120"/>
      <c r="CX34" s="120"/>
      <c r="CY34" s="120"/>
      <c r="CZ34" s="120"/>
      <c r="DA34" s="120"/>
      <c r="DB34" s="120"/>
      <c r="DC34" s="120"/>
      <c r="DD34" s="120"/>
      <c r="DE34" s="18"/>
      <c r="DF34" s="18"/>
    </row>
    <row r="35" spans="1:110" s="7" customFormat="1" x14ac:dyDescent="0.25">
      <c r="A35" s="19" t="s">
        <v>228</v>
      </c>
      <c r="B35" s="19" t="s">
        <v>80</v>
      </c>
      <c r="C35" s="19" t="str">
        <f t="shared" si="13"/>
        <v>96059616India</v>
      </c>
      <c r="D35" s="19">
        <v>96059616</v>
      </c>
      <c r="E35" s="19" t="s">
        <v>277</v>
      </c>
      <c r="F35" s="19" t="s">
        <v>2067</v>
      </c>
      <c r="G35" s="20" t="s">
        <v>277</v>
      </c>
      <c r="H35" s="136">
        <v>222</v>
      </c>
      <c r="I35" s="19" t="s">
        <v>230</v>
      </c>
      <c r="J35" s="19" t="s">
        <v>231</v>
      </c>
      <c r="K35" s="19" t="s">
        <v>278</v>
      </c>
      <c r="L35" s="19" t="s">
        <v>279</v>
      </c>
      <c r="M35" s="19" t="s">
        <v>268</v>
      </c>
      <c r="N35" s="19" t="s">
        <v>247</v>
      </c>
      <c r="O35" s="19" t="s">
        <v>275</v>
      </c>
      <c r="P35" s="19" t="s">
        <v>237</v>
      </c>
      <c r="Q35" s="19" t="s">
        <v>280</v>
      </c>
      <c r="R35" s="19">
        <v>1000</v>
      </c>
      <c r="S35" s="19" t="s">
        <v>272</v>
      </c>
      <c r="T35" s="19" t="s">
        <v>263</v>
      </c>
      <c r="U35" s="20" t="s">
        <v>263</v>
      </c>
      <c r="V35" s="19" t="s">
        <v>162</v>
      </c>
      <c r="W35" s="19" t="s">
        <v>221</v>
      </c>
      <c r="X35" s="35">
        <v>19.999999999999979</v>
      </c>
      <c r="Y35" s="35">
        <v>19.999999999999979</v>
      </c>
      <c r="Z35" s="32"/>
      <c r="AA35" s="22">
        <v>5</v>
      </c>
      <c r="AB35" s="22">
        <v>5</v>
      </c>
      <c r="AC35" s="22"/>
      <c r="AD35" s="22"/>
      <c r="AE35" s="60">
        <f t="shared" si="10"/>
        <v>10</v>
      </c>
      <c r="AF35" s="22"/>
      <c r="AG35" s="40">
        <f t="shared" si="11"/>
        <v>10</v>
      </c>
      <c r="AH35" s="24"/>
      <c r="AI35" s="24">
        <v>31</v>
      </c>
      <c r="AJ35" s="121"/>
      <c r="AK35" s="121">
        <v>10</v>
      </c>
      <c r="AL35" s="24"/>
      <c r="AM35" s="24"/>
      <c r="AN35" s="23">
        <f t="shared" si="14"/>
        <v>0</v>
      </c>
      <c r="AO35" s="25"/>
      <c r="AP35" s="25"/>
      <c r="AQ35" s="25"/>
      <c r="AR35" s="25"/>
      <c r="AS35" s="25">
        <f t="shared" si="15"/>
        <v>0</v>
      </c>
      <c r="AT35" s="13">
        <v>10</v>
      </c>
      <c r="AU35" s="21">
        <v>3</v>
      </c>
      <c r="AV35" s="21">
        <v>3</v>
      </c>
      <c r="AW35" s="21">
        <v>4</v>
      </c>
      <c r="AX35" s="21"/>
      <c r="AY35" s="21"/>
      <c r="AZ35" s="21"/>
      <c r="BA35" s="77"/>
      <c r="BB35" s="21"/>
      <c r="BC35" s="21"/>
      <c r="BD35" s="21"/>
      <c r="BE35" s="21"/>
      <c r="BF35" s="21"/>
      <c r="BG35" s="77"/>
      <c r="BH35" s="77"/>
      <c r="BI35" s="21"/>
      <c r="BJ35" s="21"/>
      <c r="BK35" s="21"/>
      <c r="BL35" s="21"/>
      <c r="BM35" s="21"/>
      <c r="BN35" s="21"/>
      <c r="BO35" s="77"/>
      <c r="BP35" s="21"/>
      <c r="BQ35" s="21"/>
      <c r="BR35" s="21"/>
      <c r="BS35" s="21"/>
      <c r="BT35" s="21"/>
      <c r="BU35" s="21"/>
      <c r="BV35" s="77"/>
      <c r="BW35" s="96">
        <f t="shared" si="7"/>
        <v>7</v>
      </c>
      <c r="BX35" s="94">
        <f t="shared" si="8"/>
        <v>-7</v>
      </c>
      <c r="BY35" s="26"/>
      <c r="CA35" s="50" t="s">
        <v>277</v>
      </c>
      <c r="CB35" s="19" t="b">
        <f t="shared" si="12"/>
        <v>1</v>
      </c>
      <c r="CC35" s="19" t="s">
        <v>277</v>
      </c>
      <c r="CD35" s="19" t="s">
        <v>768</v>
      </c>
      <c r="CE35" s="120" t="s">
        <v>769</v>
      </c>
      <c r="CF35" s="120" t="s">
        <v>770</v>
      </c>
      <c r="CG35" s="120" t="s">
        <v>771</v>
      </c>
      <c r="CH35" s="120" t="s">
        <v>772</v>
      </c>
      <c r="CI35" s="120" t="s">
        <v>691</v>
      </c>
      <c r="CJ35" s="120" t="s">
        <v>692</v>
      </c>
      <c r="CK35" s="120" t="s">
        <v>695</v>
      </c>
      <c r="CL35" s="120" t="s">
        <v>694</v>
      </c>
      <c r="CM35" s="120" t="s">
        <v>773</v>
      </c>
      <c r="CN35" s="120" t="s">
        <v>774</v>
      </c>
      <c r="CO35" s="120" t="s">
        <v>775</v>
      </c>
      <c r="CP35" s="120" t="s">
        <v>776</v>
      </c>
      <c r="CQ35" s="120"/>
      <c r="CR35" s="120"/>
      <c r="CS35" s="120" t="s">
        <v>686</v>
      </c>
      <c r="CT35" s="120" t="s">
        <v>687</v>
      </c>
      <c r="CU35" s="120" t="s">
        <v>777</v>
      </c>
      <c r="CV35" s="120" t="s">
        <v>778</v>
      </c>
      <c r="CW35" s="120"/>
      <c r="CX35" s="120"/>
      <c r="CY35" s="120"/>
      <c r="CZ35" s="120"/>
      <c r="DA35" s="120"/>
      <c r="DB35" s="120"/>
      <c r="DC35" s="120"/>
      <c r="DD35" s="120"/>
      <c r="DE35" s="18"/>
      <c r="DF35" s="18"/>
    </row>
    <row r="36" spans="1:110" s="7" customFormat="1" x14ac:dyDescent="0.25">
      <c r="A36" s="19" t="s">
        <v>228</v>
      </c>
      <c r="B36" s="19" t="s">
        <v>80</v>
      </c>
      <c r="C36" s="19" t="str">
        <f t="shared" si="13"/>
        <v>96059628India</v>
      </c>
      <c r="D36" s="19">
        <v>96059628</v>
      </c>
      <c r="E36" s="19" t="s">
        <v>429</v>
      </c>
      <c r="F36" s="19" t="s">
        <v>2067</v>
      </c>
      <c r="G36" s="20" t="s">
        <v>429</v>
      </c>
      <c r="H36" s="136">
        <v>229</v>
      </c>
      <c r="I36" s="19" t="s">
        <v>230</v>
      </c>
      <c r="J36" s="19" t="s">
        <v>243</v>
      </c>
      <c r="K36" s="19" t="s">
        <v>278</v>
      </c>
      <c r="L36" s="19" t="s">
        <v>279</v>
      </c>
      <c r="M36" s="19" t="s">
        <v>268</v>
      </c>
      <c r="N36" s="19" t="s">
        <v>247</v>
      </c>
      <c r="O36" s="19" t="s">
        <v>275</v>
      </c>
      <c r="P36" s="19" t="s">
        <v>237</v>
      </c>
      <c r="Q36" s="19" t="s">
        <v>280</v>
      </c>
      <c r="R36" s="19">
        <v>1000</v>
      </c>
      <c r="S36" s="19" t="s">
        <v>272</v>
      </c>
      <c r="T36" s="19" t="s">
        <v>263</v>
      </c>
      <c r="U36" s="20" t="s">
        <v>263</v>
      </c>
      <c r="V36" s="19" t="s">
        <v>163</v>
      </c>
      <c r="W36" s="19" t="s">
        <v>221</v>
      </c>
      <c r="X36" s="35">
        <v>2.0000000000000027</v>
      </c>
      <c r="Y36" s="35">
        <v>2.0000000000000027</v>
      </c>
      <c r="Z36" s="32"/>
      <c r="AA36" s="22"/>
      <c r="AB36" s="22"/>
      <c r="AC36" s="22"/>
      <c r="AD36" s="22"/>
      <c r="AE36" s="60">
        <f t="shared" si="10"/>
        <v>0</v>
      </c>
      <c r="AF36" s="22"/>
      <c r="AG36" s="40">
        <f t="shared" si="11"/>
        <v>0</v>
      </c>
      <c r="AH36" s="24"/>
      <c r="AI36" s="24"/>
      <c r="AJ36" s="121"/>
      <c r="AK36" s="121"/>
      <c r="AL36" s="24"/>
      <c r="AM36" s="24"/>
      <c r="AN36" s="23">
        <f t="shared" si="14"/>
        <v>0</v>
      </c>
      <c r="AO36" s="25"/>
      <c r="AP36" s="25"/>
      <c r="AQ36" s="25"/>
      <c r="AR36" s="25"/>
      <c r="AS36" s="25">
        <f t="shared" si="15"/>
        <v>0</v>
      </c>
      <c r="AT36" s="13"/>
      <c r="AU36" s="21"/>
      <c r="AV36" s="21"/>
      <c r="AW36" s="21"/>
      <c r="AX36" s="21"/>
      <c r="AY36" s="21"/>
      <c r="AZ36" s="21"/>
      <c r="BA36" s="77"/>
      <c r="BB36" s="21"/>
      <c r="BC36" s="21"/>
      <c r="BD36" s="21"/>
      <c r="BE36" s="21"/>
      <c r="BF36" s="21"/>
      <c r="BG36" s="77"/>
      <c r="BH36" s="77"/>
      <c r="BI36" s="21"/>
      <c r="BJ36" s="21"/>
      <c r="BK36" s="21"/>
      <c r="BL36" s="21"/>
      <c r="BM36" s="21"/>
      <c r="BN36" s="21"/>
      <c r="BO36" s="77"/>
      <c r="BP36" s="21"/>
      <c r="BQ36" s="21"/>
      <c r="BR36" s="21"/>
      <c r="BS36" s="21"/>
      <c r="BT36" s="21"/>
      <c r="BU36" s="21"/>
      <c r="BV36" s="77"/>
      <c r="BW36" s="96">
        <f t="shared" ref="BW36:BW67" si="16">SUM(AV36:BV36)</f>
        <v>0</v>
      </c>
      <c r="BX36" s="94">
        <f t="shared" ref="BX36:BX67" si="17">AS36-BW36</f>
        <v>0</v>
      </c>
      <c r="BY36" s="26"/>
      <c r="CA36" s="50" t="s">
        <v>429</v>
      </c>
      <c r="CB36" s="19" t="b">
        <f t="shared" si="12"/>
        <v>1</v>
      </c>
      <c r="CC36" s="19" t="s">
        <v>429</v>
      </c>
      <c r="CD36" s="19" t="s">
        <v>785</v>
      </c>
      <c r="CE36" s="120" t="s">
        <v>762</v>
      </c>
      <c r="CF36" s="120" t="s">
        <v>763</v>
      </c>
      <c r="CG36" s="120" t="s">
        <v>706</v>
      </c>
      <c r="CH36" s="120" t="s">
        <v>707</v>
      </c>
      <c r="CI36" s="120" t="s">
        <v>708</v>
      </c>
      <c r="CJ36" s="120" t="s">
        <v>709</v>
      </c>
      <c r="CK36" s="120" t="s">
        <v>710</v>
      </c>
      <c r="CL36" s="120" t="s">
        <v>667</v>
      </c>
      <c r="CM36" s="120" t="s">
        <v>786</v>
      </c>
      <c r="CN36" s="120" t="s">
        <v>787</v>
      </c>
      <c r="CO36" s="120" t="s">
        <v>788</v>
      </c>
      <c r="CP36" s="120" t="s">
        <v>789</v>
      </c>
      <c r="CQ36" s="120"/>
      <c r="CR36" s="120"/>
      <c r="CS36" s="120" t="s">
        <v>715</v>
      </c>
      <c r="CT36" s="120" t="s">
        <v>687</v>
      </c>
      <c r="CU36" s="120" t="s">
        <v>716</v>
      </c>
      <c r="CV36" s="120" t="s">
        <v>717</v>
      </c>
      <c r="CW36" s="120"/>
      <c r="CX36" s="120"/>
      <c r="CY36" s="120"/>
      <c r="CZ36" s="120"/>
      <c r="DA36" s="120"/>
      <c r="DB36" s="120"/>
      <c r="DC36" s="120"/>
      <c r="DD36" s="120"/>
      <c r="DE36" s="18"/>
      <c r="DF36" s="18"/>
    </row>
    <row r="37" spans="1:110" s="7" customFormat="1" x14ac:dyDescent="0.25">
      <c r="A37" s="19" t="s">
        <v>228</v>
      </c>
      <c r="B37" s="19" t="s">
        <v>80</v>
      </c>
      <c r="C37" s="19" t="str">
        <f t="shared" si="13"/>
        <v>96059613India</v>
      </c>
      <c r="D37" s="19">
        <v>96059613</v>
      </c>
      <c r="E37" s="19" t="s">
        <v>430</v>
      </c>
      <c r="F37" s="19" t="s">
        <v>2067</v>
      </c>
      <c r="G37" s="20" t="s">
        <v>430</v>
      </c>
      <c r="H37" s="136">
        <v>523</v>
      </c>
      <c r="I37" s="19" t="s">
        <v>230</v>
      </c>
      <c r="J37" s="19" t="s">
        <v>243</v>
      </c>
      <c r="K37" s="19" t="s">
        <v>278</v>
      </c>
      <c r="L37" s="19" t="s">
        <v>267</v>
      </c>
      <c r="M37" s="19" t="s">
        <v>268</v>
      </c>
      <c r="N37" s="19" t="s">
        <v>247</v>
      </c>
      <c r="O37" s="19" t="s">
        <v>275</v>
      </c>
      <c r="P37" s="19" t="s">
        <v>237</v>
      </c>
      <c r="Q37" s="19" t="s">
        <v>280</v>
      </c>
      <c r="R37" s="19">
        <v>1000</v>
      </c>
      <c r="S37" s="19" t="s">
        <v>272</v>
      </c>
      <c r="T37" s="19" t="s">
        <v>263</v>
      </c>
      <c r="U37" s="20" t="s">
        <v>263</v>
      </c>
      <c r="V37" s="19" t="s">
        <v>164</v>
      </c>
      <c r="W37" s="19" t="s">
        <v>221</v>
      </c>
      <c r="X37" s="35">
        <v>55</v>
      </c>
      <c r="Y37" s="35">
        <v>55</v>
      </c>
      <c r="Z37" s="32"/>
      <c r="AA37" s="22">
        <v>15.000000000000039</v>
      </c>
      <c r="AB37" s="22">
        <v>10</v>
      </c>
      <c r="AC37" s="22">
        <v>5</v>
      </c>
      <c r="AD37" s="22"/>
      <c r="AE37" s="60">
        <f t="shared" si="10"/>
        <v>30.000000000000039</v>
      </c>
      <c r="AF37" s="22"/>
      <c r="AG37" s="40">
        <f t="shared" si="11"/>
        <v>30.000000000000039</v>
      </c>
      <c r="AH37" s="24"/>
      <c r="AI37" s="24">
        <v>25</v>
      </c>
      <c r="AJ37" s="121"/>
      <c r="AK37" s="121">
        <v>25</v>
      </c>
      <c r="AL37" s="24">
        <v>50</v>
      </c>
      <c r="AM37" s="24"/>
      <c r="AN37" s="23">
        <f t="shared" si="14"/>
        <v>55.000000000000043</v>
      </c>
      <c r="AO37" s="25">
        <v>20</v>
      </c>
      <c r="AP37" s="25">
        <v>20</v>
      </c>
      <c r="AQ37" s="25">
        <v>15</v>
      </c>
      <c r="AR37" s="25"/>
      <c r="AS37" s="25">
        <f t="shared" si="15"/>
        <v>55</v>
      </c>
      <c r="AT37" s="13">
        <v>25</v>
      </c>
      <c r="AU37" s="21">
        <v>5</v>
      </c>
      <c r="AV37" s="21">
        <v>5</v>
      </c>
      <c r="AW37" s="21">
        <v>5</v>
      </c>
      <c r="AX37" s="21">
        <v>5</v>
      </c>
      <c r="AY37" s="21">
        <v>5</v>
      </c>
      <c r="AZ37" s="21">
        <v>5</v>
      </c>
      <c r="BA37" s="77"/>
      <c r="BB37" s="21"/>
      <c r="BC37" s="21"/>
      <c r="BD37" s="21"/>
      <c r="BE37" s="21"/>
      <c r="BF37" s="21"/>
      <c r="BG37" s="77"/>
      <c r="BH37" s="77"/>
      <c r="BI37" s="21"/>
      <c r="BJ37" s="21"/>
      <c r="BK37" s="21"/>
      <c r="BL37" s="21"/>
      <c r="BM37" s="21"/>
      <c r="BN37" s="21"/>
      <c r="BO37" s="77"/>
      <c r="BP37" s="21"/>
      <c r="BQ37" s="21"/>
      <c r="BR37" s="21"/>
      <c r="BS37" s="21"/>
      <c r="BT37" s="21"/>
      <c r="BU37" s="21"/>
      <c r="BV37" s="77"/>
      <c r="BW37" s="96">
        <f t="shared" si="16"/>
        <v>25</v>
      </c>
      <c r="BX37" s="94">
        <f t="shared" si="17"/>
        <v>30</v>
      </c>
      <c r="BY37" s="26"/>
      <c r="CA37" s="50" t="s">
        <v>430</v>
      </c>
      <c r="CB37" s="19" t="b">
        <f t="shared" si="12"/>
        <v>1</v>
      </c>
      <c r="CC37" s="19" t="s">
        <v>430</v>
      </c>
      <c r="CD37" s="19" t="s">
        <v>761</v>
      </c>
      <c r="CE37" s="120" t="s">
        <v>762</v>
      </c>
      <c r="CF37" s="120" t="s">
        <v>763</v>
      </c>
      <c r="CG37" s="120" t="s">
        <v>706</v>
      </c>
      <c r="CH37" s="120" t="s">
        <v>707</v>
      </c>
      <c r="CI37" s="120" t="s">
        <v>708</v>
      </c>
      <c r="CJ37" s="120" t="s">
        <v>709</v>
      </c>
      <c r="CK37" s="120" t="s">
        <v>695</v>
      </c>
      <c r="CL37" s="120" t="s">
        <v>694</v>
      </c>
      <c r="CM37" s="120" t="s">
        <v>764</v>
      </c>
      <c r="CN37" s="120" t="s">
        <v>765</v>
      </c>
      <c r="CO37" s="120" t="s">
        <v>766</v>
      </c>
      <c r="CP37" s="120" t="s">
        <v>767</v>
      </c>
      <c r="CQ37" s="120"/>
      <c r="CR37" s="120"/>
      <c r="CS37" s="120" t="s">
        <v>715</v>
      </c>
      <c r="CT37" s="120" t="s">
        <v>687</v>
      </c>
      <c r="CU37" s="120" t="s">
        <v>716</v>
      </c>
      <c r="CV37" s="120" t="s">
        <v>717</v>
      </c>
      <c r="CW37" s="120"/>
      <c r="CX37" s="120"/>
      <c r="CY37" s="120"/>
      <c r="CZ37" s="120"/>
      <c r="DA37" s="120"/>
      <c r="DB37" s="120"/>
      <c r="DC37" s="120"/>
      <c r="DD37" s="120"/>
      <c r="DE37" s="18"/>
      <c r="DF37" s="18"/>
    </row>
    <row r="38" spans="1:110" s="7" customFormat="1" x14ac:dyDescent="0.25">
      <c r="A38" s="19" t="s">
        <v>228</v>
      </c>
      <c r="B38" s="19" t="s">
        <v>80</v>
      </c>
      <c r="C38" s="19" t="str">
        <f t="shared" si="13"/>
        <v>96059620India</v>
      </c>
      <c r="D38" s="19">
        <v>96059620</v>
      </c>
      <c r="E38" s="19" t="s">
        <v>432</v>
      </c>
      <c r="F38" s="19" t="s">
        <v>2067</v>
      </c>
      <c r="G38" s="20" t="s">
        <v>432</v>
      </c>
      <c r="H38" s="136">
        <v>95</v>
      </c>
      <c r="I38" s="19" t="s">
        <v>230</v>
      </c>
      <c r="J38" s="19" t="s">
        <v>231</v>
      </c>
      <c r="K38" s="19" t="s">
        <v>278</v>
      </c>
      <c r="L38" s="19" t="s">
        <v>279</v>
      </c>
      <c r="M38" s="19" t="s">
        <v>268</v>
      </c>
      <c r="N38" s="19" t="s">
        <v>247</v>
      </c>
      <c r="O38" s="19" t="s">
        <v>275</v>
      </c>
      <c r="P38" s="19" t="s">
        <v>237</v>
      </c>
      <c r="Q38" s="19" t="s">
        <v>280</v>
      </c>
      <c r="R38" s="19">
        <v>1000</v>
      </c>
      <c r="S38" s="19" t="s">
        <v>272</v>
      </c>
      <c r="T38" s="19" t="s">
        <v>263</v>
      </c>
      <c r="U38" s="20" t="s">
        <v>263</v>
      </c>
      <c r="V38" s="19" t="s">
        <v>166</v>
      </c>
      <c r="W38" s="19" t="s">
        <v>221</v>
      </c>
      <c r="X38" s="35"/>
      <c r="Y38" s="35">
        <v>2.0000000000000027</v>
      </c>
      <c r="Z38" s="32"/>
      <c r="AA38" s="22">
        <v>5</v>
      </c>
      <c r="AB38" s="22"/>
      <c r="AC38" s="22"/>
      <c r="AD38" s="22"/>
      <c r="AE38" s="60">
        <f t="shared" si="10"/>
        <v>5</v>
      </c>
      <c r="AF38" s="22"/>
      <c r="AG38" s="40">
        <f t="shared" si="11"/>
        <v>5</v>
      </c>
      <c r="AH38" s="24"/>
      <c r="AI38" s="24">
        <v>5</v>
      </c>
      <c r="AJ38" s="121"/>
      <c r="AK38" s="121">
        <v>5</v>
      </c>
      <c r="AL38" s="24"/>
      <c r="AM38" s="24"/>
      <c r="AN38" s="23">
        <f t="shared" si="14"/>
        <v>0</v>
      </c>
      <c r="AO38" s="25"/>
      <c r="AP38" s="25"/>
      <c r="AQ38" s="25"/>
      <c r="AR38" s="25"/>
      <c r="AS38" s="25">
        <f t="shared" si="15"/>
        <v>0</v>
      </c>
      <c r="AT38" s="13">
        <v>5</v>
      </c>
      <c r="AU38" s="21">
        <v>3</v>
      </c>
      <c r="AV38" s="21">
        <v>2</v>
      </c>
      <c r="AW38" s="21"/>
      <c r="AX38" s="21"/>
      <c r="AY38" s="21"/>
      <c r="AZ38" s="21"/>
      <c r="BA38" s="77"/>
      <c r="BB38" s="21"/>
      <c r="BC38" s="21"/>
      <c r="BD38" s="21"/>
      <c r="BE38" s="21"/>
      <c r="BF38" s="21"/>
      <c r="BG38" s="77"/>
      <c r="BH38" s="77"/>
      <c r="BI38" s="21"/>
      <c r="BJ38" s="21"/>
      <c r="BK38" s="21"/>
      <c r="BL38" s="21"/>
      <c r="BM38" s="21"/>
      <c r="BN38" s="21"/>
      <c r="BO38" s="77"/>
      <c r="BP38" s="21"/>
      <c r="BQ38" s="21"/>
      <c r="BR38" s="21"/>
      <c r="BS38" s="21"/>
      <c r="BT38" s="21"/>
      <c r="BU38" s="21"/>
      <c r="BV38" s="77"/>
      <c r="BW38" s="96">
        <f t="shared" si="16"/>
        <v>2</v>
      </c>
      <c r="BX38" s="94">
        <f t="shared" si="17"/>
        <v>-2</v>
      </c>
      <c r="BY38" s="26"/>
      <c r="CA38" s="50" t="s">
        <v>432</v>
      </c>
      <c r="CB38" s="19" t="b">
        <f t="shared" si="12"/>
        <v>1</v>
      </c>
      <c r="CC38" s="19" t="s">
        <v>432</v>
      </c>
      <c r="CD38" s="19" t="s">
        <v>790</v>
      </c>
      <c r="CE38" s="120" t="s">
        <v>769</v>
      </c>
      <c r="CF38" s="120" t="s">
        <v>770</v>
      </c>
      <c r="CG38" s="120" t="s">
        <v>698</v>
      </c>
      <c r="CH38" s="120" t="s">
        <v>699</v>
      </c>
      <c r="CI38" s="120" t="s">
        <v>691</v>
      </c>
      <c r="CJ38" s="120" t="s">
        <v>692</v>
      </c>
      <c r="CK38" s="120" t="s">
        <v>695</v>
      </c>
      <c r="CL38" s="120" t="s">
        <v>694</v>
      </c>
      <c r="CM38" s="120" t="s">
        <v>773</v>
      </c>
      <c r="CN38" s="120" t="s">
        <v>774</v>
      </c>
      <c r="CO38" s="120" t="s">
        <v>791</v>
      </c>
      <c r="CP38" s="120" t="s">
        <v>767</v>
      </c>
      <c r="CQ38" s="120"/>
      <c r="CR38" s="120"/>
      <c r="CS38" s="120" t="s">
        <v>686</v>
      </c>
      <c r="CT38" s="120" t="s">
        <v>687</v>
      </c>
      <c r="CU38" s="120" t="s">
        <v>792</v>
      </c>
      <c r="CV38" s="120" t="s">
        <v>703</v>
      </c>
      <c r="CW38" s="120"/>
      <c r="CX38" s="120"/>
      <c r="CY38" s="120"/>
      <c r="CZ38" s="120"/>
      <c r="DA38" s="120"/>
      <c r="DB38" s="120"/>
      <c r="DC38" s="120"/>
      <c r="DD38" s="120"/>
      <c r="DE38" s="18"/>
      <c r="DF38" s="18"/>
    </row>
    <row r="39" spans="1:110" s="7" customFormat="1" x14ac:dyDescent="0.25">
      <c r="A39" s="19" t="s">
        <v>228</v>
      </c>
      <c r="B39" s="19" t="s">
        <v>80</v>
      </c>
      <c r="C39" s="19" t="str">
        <f t="shared" si="13"/>
        <v>96059610India</v>
      </c>
      <c r="D39" s="19">
        <v>96059610</v>
      </c>
      <c r="E39" s="19" t="s">
        <v>477</v>
      </c>
      <c r="F39" s="19" t="s">
        <v>2067</v>
      </c>
      <c r="G39" s="20" t="s">
        <v>477</v>
      </c>
      <c r="H39" s="136">
        <v>442</v>
      </c>
      <c r="I39" s="19" t="s">
        <v>230</v>
      </c>
      <c r="J39" s="19" t="s">
        <v>243</v>
      </c>
      <c r="K39" s="19" t="s">
        <v>278</v>
      </c>
      <c r="L39" s="19" t="s">
        <v>279</v>
      </c>
      <c r="M39" s="19" t="s">
        <v>268</v>
      </c>
      <c r="N39" s="19" t="s">
        <v>247</v>
      </c>
      <c r="O39" s="19" t="s">
        <v>275</v>
      </c>
      <c r="P39" s="19" t="s">
        <v>237</v>
      </c>
      <c r="Q39" s="19" t="s">
        <v>280</v>
      </c>
      <c r="R39" s="19">
        <v>1000</v>
      </c>
      <c r="S39" s="19" t="s">
        <v>272</v>
      </c>
      <c r="T39" s="19" t="s">
        <v>263</v>
      </c>
      <c r="U39" s="20" t="s">
        <v>263</v>
      </c>
      <c r="V39" s="19" t="s">
        <v>1553</v>
      </c>
      <c r="W39" s="19" t="s">
        <v>221</v>
      </c>
      <c r="X39" s="35">
        <v>10</v>
      </c>
      <c r="Y39" s="35">
        <v>5</v>
      </c>
      <c r="Z39" s="32"/>
      <c r="AA39" s="22">
        <v>5</v>
      </c>
      <c r="AB39" s="22">
        <v>5</v>
      </c>
      <c r="AC39" s="22"/>
      <c r="AD39" s="22"/>
      <c r="AE39" s="60">
        <f t="shared" si="10"/>
        <v>10</v>
      </c>
      <c r="AF39" s="22"/>
      <c r="AG39" s="40">
        <f t="shared" si="11"/>
        <v>10</v>
      </c>
      <c r="AH39" s="24">
        <v>2</v>
      </c>
      <c r="AI39" s="24">
        <v>8</v>
      </c>
      <c r="AJ39" s="121">
        <v>2</v>
      </c>
      <c r="AK39" s="121">
        <v>8</v>
      </c>
      <c r="AL39" s="24">
        <v>10</v>
      </c>
      <c r="AM39" s="24"/>
      <c r="AN39" s="23">
        <f t="shared" si="14"/>
        <v>10</v>
      </c>
      <c r="AO39" s="25"/>
      <c r="AP39" s="25"/>
      <c r="AQ39" s="25">
        <v>10</v>
      </c>
      <c r="AR39" s="25"/>
      <c r="AS39" s="25">
        <f t="shared" si="15"/>
        <v>10</v>
      </c>
      <c r="AT39" s="13">
        <v>8</v>
      </c>
      <c r="AU39" s="21">
        <v>4</v>
      </c>
      <c r="AV39" s="21">
        <v>4</v>
      </c>
      <c r="AW39" s="21"/>
      <c r="AX39" s="21"/>
      <c r="AY39" s="21"/>
      <c r="AZ39" s="21"/>
      <c r="BA39" s="77"/>
      <c r="BB39" s="21"/>
      <c r="BC39" s="21"/>
      <c r="BD39" s="21"/>
      <c r="BE39" s="21"/>
      <c r="BF39" s="21"/>
      <c r="BG39" s="77"/>
      <c r="BH39" s="77"/>
      <c r="BI39" s="21"/>
      <c r="BJ39" s="21"/>
      <c r="BK39" s="21"/>
      <c r="BL39" s="21"/>
      <c r="BM39" s="21"/>
      <c r="BN39" s="21"/>
      <c r="BO39" s="77"/>
      <c r="BP39" s="21"/>
      <c r="BQ39" s="21"/>
      <c r="BR39" s="21"/>
      <c r="BS39" s="21"/>
      <c r="BT39" s="21"/>
      <c r="BU39" s="21"/>
      <c r="BV39" s="77"/>
      <c r="BW39" s="96">
        <f t="shared" si="16"/>
        <v>4</v>
      </c>
      <c r="BX39" s="94">
        <f t="shared" si="17"/>
        <v>6</v>
      </c>
      <c r="BY39" s="26"/>
      <c r="CA39" s="50" t="s">
        <v>477</v>
      </c>
      <c r="CB39" s="19" t="b">
        <f t="shared" si="12"/>
        <v>1</v>
      </c>
      <c r="CC39" s="19" t="s">
        <v>477</v>
      </c>
      <c r="CD39" s="19" t="s">
        <v>793</v>
      </c>
      <c r="CE39" s="120" t="s">
        <v>762</v>
      </c>
      <c r="CF39" s="120" t="s">
        <v>763</v>
      </c>
      <c r="CG39" s="120" t="s">
        <v>706</v>
      </c>
      <c r="CH39" s="120" t="s">
        <v>707</v>
      </c>
      <c r="CI39" s="120" t="s">
        <v>708</v>
      </c>
      <c r="CJ39" s="120" t="s">
        <v>709</v>
      </c>
      <c r="CK39" s="120" t="s">
        <v>695</v>
      </c>
      <c r="CL39" s="120" t="s">
        <v>694</v>
      </c>
      <c r="CM39" s="120" t="s">
        <v>794</v>
      </c>
      <c r="CN39" s="120" t="s">
        <v>795</v>
      </c>
      <c r="CO39" s="120" t="s">
        <v>796</v>
      </c>
      <c r="CP39" s="120" t="s">
        <v>767</v>
      </c>
      <c r="CQ39" s="120"/>
      <c r="CR39" s="120"/>
      <c r="CS39" s="120" t="s">
        <v>715</v>
      </c>
      <c r="CT39" s="120" t="s">
        <v>687</v>
      </c>
      <c r="CU39" s="120" t="s">
        <v>716</v>
      </c>
      <c r="CV39" s="120" t="s">
        <v>717</v>
      </c>
      <c r="CW39" s="120"/>
      <c r="CX39" s="120"/>
      <c r="CY39" s="120"/>
      <c r="CZ39" s="120"/>
      <c r="DA39" s="120"/>
      <c r="DB39" s="120"/>
      <c r="DC39" s="120"/>
      <c r="DD39" s="120"/>
      <c r="DE39" s="18"/>
      <c r="DF39" s="18"/>
    </row>
    <row r="40" spans="1:110" s="7" customFormat="1" x14ac:dyDescent="0.25">
      <c r="A40" s="19" t="s">
        <v>228</v>
      </c>
      <c r="B40" s="19" t="s">
        <v>80</v>
      </c>
      <c r="C40" s="19" t="str">
        <f t="shared" si="13"/>
        <v>96051650India</v>
      </c>
      <c r="D40" s="19">
        <v>96051650</v>
      </c>
      <c r="E40" s="19" t="s">
        <v>277</v>
      </c>
      <c r="F40" s="19" t="s">
        <v>2067</v>
      </c>
      <c r="G40" s="20" t="s">
        <v>277</v>
      </c>
      <c r="H40" s="136">
        <v>222</v>
      </c>
      <c r="I40" s="19" t="s">
        <v>230</v>
      </c>
      <c r="J40" s="19" t="s">
        <v>231</v>
      </c>
      <c r="K40" s="19" t="s">
        <v>278</v>
      </c>
      <c r="L40" s="19" t="s">
        <v>279</v>
      </c>
      <c r="M40" s="19" t="s">
        <v>268</v>
      </c>
      <c r="N40" s="19" t="s">
        <v>247</v>
      </c>
      <c r="O40" s="19" t="s">
        <v>275</v>
      </c>
      <c r="P40" s="19" t="s">
        <v>237</v>
      </c>
      <c r="Q40" s="19" t="s">
        <v>280</v>
      </c>
      <c r="R40" s="19">
        <v>1000</v>
      </c>
      <c r="S40" s="19" t="s">
        <v>272</v>
      </c>
      <c r="T40" s="19" t="s">
        <v>263</v>
      </c>
      <c r="U40" s="20" t="s">
        <v>263</v>
      </c>
      <c r="V40" s="19" t="s">
        <v>187</v>
      </c>
      <c r="W40" s="19" t="s">
        <v>219</v>
      </c>
      <c r="X40" s="35"/>
      <c r="Y40" s="35"/>
      <c r="Z40" s="32"/>
      <c r="AA40" s="22"/>
      <c r="AB40" s="22">
        <v>5</v>
      </c>
      <c r="AC40" s="22"/>
      <c r="AD40" s="22"/>
      <c r="AE40" s="60">
        <f t="shared" si="10"/>
        <v>5</v>
      </c>
      <c r="AF40" s="22"/>
      <c r="AG40" s="40">
        <f t="shared" si="11"/>
        <v>5</v>
      </c>
      <c r="AH40" s="24">
        <v>3</v>
      </c>
      <c r="AI40" s="24">
        <v>2</v>
      </c>
      <c r="AJ40" s="121">
        <v>3</v>
      </c>
      <c r="AK40" s="121">
        <v>2</v>
      </c>
      <c r="AL40" s="24"/>
      <c r="AM40" s="24"/>
      <c r="AN40" s="23">
        <f t="shared" si="14"/>
        <v>0</v>
      </c>
      <c r="AO40" s="25"/>
      <c r="AP40" s="25"/>
      <c r="AQ40" s="25"/>
      <c r="AR40" s="25"/>
      <c r="AS40" s="25">
        <f t="shared" si="15"/>
        <v>0</v>
      </c>
      <c r="AT40" s="13">
        <v>2</v>
      </c>
      <c r="AU40" s="21">
        <v>2</v>
      </c>
      <c r="AV40" s="21"/>
      <c r="AW40" s="21"/>
      <c r="AX40" s="21"/>
      <c r="AY40" s="21"/>
      <c r="AZ40" s="21"/>
      <c r="BA40" s="77"/>
      <c r="BB40" s="21"/>
      <c r="BC40" s="21"/>
      <c r="BD40" s="21"/>
      <c r="BE40" s="21"/>
      <c r="BF40" s="21"/>
      <c r="BG40" s="77"/>
      <c r="BH40" s="77"/>
      <c r="BI40" s="21"/>
      <c r="BJ40" s="21"/>
      <c r="BK40" s="21"/>
      <c r="BL40" s="21"/>
      <c r="BM40" s="21"/>
      <c r="BN40" s="21"/>
      <c r="BO40" s="77"/>
      <c r="BP40" s="21"/>
      <c r="BQ40" s="21"/>
      <c r="BR40" s="21"/>
      <c r="BS40" s="21"/>
      <c r="BT40" s="21"/>
      <c r="BU40" s="21"/>
      <c r="BV40" s="77"/>
      <c r="BW40" s="96">
        <f t="shared" si="16"/>
        <v>0</v>
      </c>
      <c r="BX40" s="94">
        <f t="shared" si="17"/>
        <v>0</v>
      </c>
      <c r="BY40" s="26"/>
      <c r="CA40" s="50" t="s">
        <v>277</v>
      </c>
      <c r="CB40" s="19" t="b">
        <f t="shared" si="12"/>
        <v>1</v>
      </c>
      <c r="CC40" s="19" t="s">
        <v>277</v>
      </c>
      <c r="CD40" s="19" t="s">
        <v>768</v>
      </c>
      <c r="CE40" s="120" t="s">
        <v>769</v>
      </c>
      <c r="CF40" s="120" t="s">
        <v>770</v>
      </c>
      <c r="CG40" s="120" t="s">
        <v>771</v>
      </c>
      <c r="CH40" s="120" t="s">
        <v>772</v>
      </c>
      <c r="CI40" s="120" t="s">
        <v>691</v>
      </c>
      <c r="CJ40" s="120" t="s">
        <v>692</v>
      </c>
      <c r="CK40" s="120" t="s">
        <v>695</v>
      </c>
      <c r="CL40" s="120" t="s">
        <v>694</v>
      </c>
      <c r="CM40" s="120" t="s">
        <v>773</v>
      </c>
      <c r="CN40" s="120" t="s">
        <v>774</v>
      </c>
      <c r="CO40" s="120" t="s">
        <v>775</v>
      </c>
      <c r="CP40" s="120" t="s">
        <v>776</v>
      </c>
      <c r="CQ40" s="120"/>
      <c r="CR40" s="120"/>
      <c r="CS40" s="120" t="s">
        <v>686</v>
      </c>
      <c r="CT40" s="120" t="s">
        <v>687</v>
      </c>
      <c r="CU40" s="120" t="s">
        <v>777</v>
      </c>
      <c r="CV40" s="120" t="s">
        <v>778</v>
      </c>
      <c r="CW40" s="120"/>
      <c r="CX40" s="120"/>
      <c r="CY40" s="120"/>
      <c r="CZ40" s="120"/>
      <c r="DA40" s="120"/>
      <c r="DB40" s="120"/>
      <c r="DC40" s="120"/>
      <c r="DD40" s="120"/>
      <c r="DE40" s="18"/>
      <c r="DF40" s="18"/>
    </row>
    <row r="41" spans="1:110" s="7" customFormat="1" x14ac:dyDescent="0.25">
      <c r="A41" s="19" t="s">
        <v>228</v>
      </c>
      <c r="B41" s="19" t="s">
        <v>80</v>
      </c>
      <c r="C41" s="19" t="str">
        <f t="shared" si="13"/>
        <v>96059612India</v>
      </c>
      <c r="D41" s="19">
        <v>96059612</v>
      </c>
      <c r="E41" s="19" t="s">
        <v>477</v>
      </c>
      <c r="F41" s="19" t="s">
        <v>2067</v>
      </c>
      <c r="G41" s="20" t="s">
        <v>477</v>
      </c>
      <c r="H41" s="136">
        <v>442</v>
      </c>
      <c r="I41" s="19" t="s">
        <v>230</v>
      </c>
      <c r="J41" s="19" t="s">
        <v>243</v>
      </c>
      <c r="K41" s="19" t="s">
        <v>278</v>
      </c>
      <c r="L41" s="19" t="s">
        <v>279</v>
      </c>
      <c r="M41" s="19" t="s">
        <v>268</v>
      </c>
      <c r="N41" s="19" t="s">
        <v>247</v>
      </c>
      <c r="O41" s="19" t="s">
        <v>275</v>
      </c>
      <c r="P41" s="19" t="s">
        <v>237</v>
      </c>
      <c r="Q41" s="19" t="s">
        <v>280</v>
      </c>
      <c r="R41" s="19">
        <v>1000</v>
      </c>
      <c r="S41" s="19" t="s">
        <v>272</v>
      </c>
      <c r="T41" s="19" t="s">
        <v>263</v>
      </c>
      <c r="U41" s="20" t="s">
        <v>263</v>
      </c>
      <c r="V41" s="19" t="s">
        <v>202</v>
      </c>
      <c r="W41" s="19" t="s">
        <v>221</v>
      </c>
      <c r="X41" s="35">
        <v>25</v>
      </c>
      <c r="Y41" s="35">
        <v>24</v>
      </c>
      <c r="Z41" s="32"/>
      <c r="AA41" s="22">
        <v>5</v>
      </c>
      <c r="AB41" s="22">
        <v>8</v>
      </c>
      <c r="AC41" s="22"/>
      <c r="AD41" s="22"/>
      <c r="AE41" s="60">
        <f t="shared" si="10"/>
        <v>13</v>
      </c>
      <c r="AF41" s="22"/>
      <c r="AG41" s="40">
        <f t="shared" si="11"/>
        <v>13</v>
      </c>
      <c r="AH41" s="24"/>
      <c r="AI41" s="24">
        <v>30</v>
      </c>
      <c r="AJ41" s="121"/>
      <c r="AK41" s="121">
        <v>13</v>
      </c>
      <c r="AL41" s="24">
        <v>8</v>
      </c>
      <c r="AM41" s="24"/>
      <c r="AN41" s="23">
        <f t="shared" si="14"/>
        <v>8</v>
      </c>
      <c r="AO41" s="25"/>
      <c r="AP41" s="25">
        <v>8</v>
      </c>
      <c r="AQ41" s="25"/>
      <c r="AR41" s="25"/>
      <c r="AS41" s="25">
        <f t="shared" si="15"/>
        <v>8</v>
      </c>
      <c r="AT41" s="13">
        <v>13</v>
      </c>
      <c r="AU41" s="21">
        <v>5</v>
      </c>
      <c r="AV41" s="21">
        <v>4</v>
      </c>
      <c r="AW41" s="21">
        <v>4</v>
      </c>
      <c r="AX41" s="21"/>
      <c r="AY41" s="21"/>
      <c r="AZ41" s="21"/>
      <c r="BA41" s="77"/>
      <c r="BB41" s="21"/>
      <c r="BC41" s="21"/>
      <c r="BD41" s="21"/>
      <c r="BE41" s="21"/>
      <c r="BF41" s="21"/>
      <c r="BG41" s="77"/>
      <c r="BH41" s="77"/>
      <c r="BI41" s="21"/>
      <c r="BJ41" s="21"/>
      <c r="BK41" s="21"/>
      <c r="BL41" s="21"/>
      <c r="BM41" s="21"/>
      <c r="BN41" s="21"/>
      <c r="BO41" s="77"/>
      <c r="BP41" s="21"/>
      <c r="BQ41" s="21"/>
      <c r="BR41" s="21"/>
      <c r="BS41" s="21"/>
      <c r="BT41" s="21"/>
      <c r="BU41" s="21"/>
      <c r="BV41" s="77"/>
      <c r="BW41" s="96">
        <f t="shared" si="16"/>
        <v>8</v>
      </c>
      <c r="BX41" s="94">
        <f t="shared" si="17"/>
        <v>0</v>
      </c>
      <c r="BY41" s="26"/>
      <c r="CA41" s="50" t="s">
        <v>477</v>
      </c>
      <c r="CB41" s="19" t="b">
        <f t="shared" si="12"/>
        <v>1</v>
      </c>
      <c r="CC41" s="19" t="s">
        <v>477</v>
      </c>
      <c r="CD41" s="19" t="s">
        <v>793</v>
      </c>
      <c r="CE41" s="120" t="s">
        <v>762</v>
      </c>
      <c r="CF41" s="120" t="s">
        <v>763</v>
      </c>
      <c r="CG41" s="120" t="s">
        <v>706</v>
      </c>
      <c r="CH41" s="120" t="s">
        <v>707</v>
      </c>
      <c r="CI41" s="120" t="s">
        <v>708</v>
      </c>
      <c r="CJ41" s="120" t="s">
        <v>709</v>
      </c>
      <c r="CK41" s="120" t="s">
        <v>695</v>
      </c>
      <c r="CL41" s="120" t="s">
        <v>694</v>
      </c>
      <c r="CM41" s="120" t="s">
        <v>794</v>
      </c>
      <c r="CN41" s="120" t="s">
        <v>795</v>
      </c>
      <c r="CO41" s="120" t="s">
        <v>796</v>
      </c>
      <c r="CP41" s="120" t="s">
        <v>767</v>
      </c>
      <c r="CQ41" s="120"/>
      <c r="CR41" s="120"/>
      <c r="CS41" s="120" t="s">
        <v>715</v>
      </c>
      <c r="CT41" s="120" t="s">
        <v>687</v>
      </c>
      <c r="CU41" s="120" t="s">
        <v>716</v>
      </c>
      <c r="CV41" s="120" t="s">
        <v>717</v>
      </c>
      <c r="CW41" s="120"/>
      <c r="CX41" s="120"/>
      <c r="CY41" s="120"/>
      <c r="CZ41" s="120"/>
      <c r="DA41" s="120"/>
      <c r="DB41" s="120"/>
      <c r="DC41" s="120"/>
      <c r="DD41" s="120"/>
      <c r="DE41" s="18"/>
      <c r="DF41" s="18"/>
    </row>
    <row r="42" spans="1:110" s="7" customFormat="1" x14ac:dyDescent="0.25">
      <c r="A42" s="19" t="s">
        <v>228</v>
      </c>
      <c r="B42" s="19" t="s">
        <v>80</v>
      </c>
      <c r="C42" s="19" t="str">
        <f t="shared" si="13"/>
        <v>96059619India</v>
      </c>
      <c r="D42" s="19">
        <v>96059619</v>
      </c>
      <c r="E42" s="19" t="s">
        <v>432</v>
      </c>
      <c r="F42" s="19" t="s">
        <v>2067</v>
      </c>
      <c r="G42" s="20" t="s">
        <v>432</v>
      </c>
      <c r="H42" s="136">
        <v>95</v>
      </c>
      <c r="I42" s="19" t="s">
        <v>230</v>
      </c>
      <c r="J42" s="19" t="s">
        <v>231</v>
      </c>
      <c r="K42" s="19" t="s">
        <v>278</v>
      </c>
      <c r="L42" s="19" t="s">
        <v>279</v>
      </c>
      <c r="M42" s="19" t="s">
        <v>268</v>
      </c>
      <c r="N42" s="19" t="s">
        <v>247</v>
      </c>
      <c r="O42" s="19" t="s">
        <v>275</v>
      </c>
      <c r="P42" s="19" t="s">
        <v>237</v>
      </c>
      <c r="Q42" s="19" t="s">
        <v>280</v>
      </c>
      <c r="R42" s="19">
        <v>1000</v>
      </c>
      <c r="S42" s="19" t="s">
        <v>272</v>
      </c>
      <c r="T42" s="19" t="s">
        <v>263</v>
      </c>
      <c r="U42" s="20" t="s">
        <v>263</v>
      </c>
      <c r="V42" s="19" t="s">
        <v>203</v>
      </c>
      <c r="W42" s="19" t="s">
        <v>222</v>
      </c>
      <c r="X42" s="35">
        <v>2.0000000000000027</v>
      </c>
      <c r="Y42" s="35">
        <v>2.0000000000000027</v>
      </c>
      <c r="Z42" s="32"/>
      <c r="AA42" s="22">
        <v>2</v>
      </c>
      <c r="AB42" s="22">
        <v>1</v>
      </c>
      <c r="AC42" s="22"/>
      <c r="AD42" s="22"/>
      <c r="AE42" s="60">
        <f t="shared" si="10"/>
        <v>3</v>
      </c>
      <c r="AF42" s="22"/>
      <c r="AG42" s="40">
        <f t="shared" si="11"/>
        <v>3</v>
      </c>
      <c r="AH42" s="24"/>
      <c r="AI42" s="24">
        <v>7</v>
      </c>
      <c r="AJ42" s="121"/>
      <c r="AK42" s="121">
        <v>3</v>
      </c>
      <c r="AL42" s="24"/>
      <c r="AM42" s="24"/>
      <c r="AN42" s="23">
        <f t="shared" si="14"/>
        <v>0</v>
      </c>
      <c r="AO42" s="25"/>
      <c r="AP42" s="25"/>
      <c r="AQ42" s="25"/>
      <c r="AR42" s="25"/>
      <c r="AS42" s="25">
        <f t="shared" si="15"/>
        <v>0</v>
      </c>
      <c r="AT42" s="13">
        <v>3</v>
      </c>
      <c r="AU42" s="21">
        <v>3</v>
      </c>
      <c r="AV42" s="21"/>
      <c r="AW42" s="21"/>
      <c r="AX42" s="21"/>
      <c r="AY42" s="21"/>
      <c r="AZ42" s="21"/>
      <c r="BA42" s="77"/>
      <c r="BB42" s="21"/>
      <c r="BC42" s="21"/>
      <c r="BD42" s="21"/>
      <c r="BE42" s="21"/>
      <c r="BF42" s="21"/>
      <c r="BG42" s="77"/>
      <c r="BH42" s="77"/>
      <c r="BI42" s="21"/>
      <c r="BJ42" s="21"/>
      <c r="BK42" s="21"/>
      <c r="BL42" s="21"/>
      <c r="BM42" s="21"/>
      <c r="BN42" s="21"/>
      <c r="BO42" s="77"/>
      <c r="BP42" s="21"/>
      <c r="BQ42" s="21"/>
      <c r="BR42" s="21"/>
      <c r="BS42" s="21"/>
      <c r="BT42" s="21"/>
      <c r="BU42" s="21"/>
      <c r="BV42" s="77"/>
      <c r="BW42" s="96">
        <f t="shared" si="16"/>
        <v>0</v>
      </c>
      <c r="BX42" s="94">
        <f t="shared" si="17"/>
        <v>0</v>
      </c>
      <c r="BY42" s="26"/>
      <c r="CA42" s="50" t="s">
        <v>432</v>
      </c>
      <c r="CB42" s="19" t="b">
        <f t="shared" si="12"/>
        <v>1</v>
      </c>
      <c r="CC42" s="19" t="s">
        <v>432</v>
      </c>
      <c r="CD42" s="19" t="s">
        <v>790</v>
      </c>
      <c r="CE42" s="120" t="s">
        <v>769</v>
      </c>
      <c r="CF42" s="120" t="s">
        <v>770</v>
      </c>
      <c r="CG42" s="120" t="s">
        <v>698</v>
      </c>
      <c r="CH42" s="120" t="s">
        <v>699</v>
      </c>
      <c r="CI42" s="120" t="s">
        <v>691</v>
      </c>
      <c r="CJ42" s="120" t="s">
        <v>692</v>
      </c>
      <c r="CK42" s="120" t="s">
        <v>695</v>
      </c>
      <c r="CL42" s="120" t="s">
        <v>694</v>
      </c>
      <c r="CM42" s="120" t="s">
        <v>773</v>
      </c>
      <c r="CN42" s="120" t="s">
        <v>774</v>
      </c>
      <c r="CO42" s="120" t="s">
        <v>791</v>
      </c>
      <c r="CP42" s="120" t="s">
        <v>767</v>
      </c>
      <c r="CQ42" s="120"/>
      <c r="CR42" s="120"/>
      <c r="CS42" s="120" t="s">
        <v>686</v>
      </c>
      <c r="CT42" s="120" t="s">
        <v>687</v>
      </c>
      <c r="CU42" s="120" t="s">
        <v>792</v>
      </c>
      <c r="CV42" s="120" t="s">
        <v>703</v>
      </c>
      <c r="CW42" s="120"/>
      <c r="CX42" s="120"/>
      <c r="CY42" s="120"/>
      <c r="CZ42" s="120"/>
      <c r="DA42" s="120"/>
      <c r="DB42" s="120"/>
      <c r="DC42" s="120"/>
      <c r="DD42" s="120"/>
      <c r="DE42" s="18"/>
      <c r="DF42" s="18"/>
    </row>
    <row r="43" spans="1:110" s="7" customFormat="1" x14ac:dyDescent="0.25">
      <c r="A43" s="19" t="s">
        <v>228</v>
      </c>
      <c r="B43" s="19" t="s">
        <v>80</v>
      </c>
      <c r="C43" s="19" t="str">
        <f t="shared" si="13"/>
        <v>96059471India</v>
      </c>
      <c r="D43" s="19">
        <v>96059471</v>
      </c>
      <c r="E43" s="19" t="s">
        <v>283</v>
      </c>
      <c r="F43" s="19" t="s">
        <v>2067</v>
      </c>
      <c r="G43" s="20" t="s">
        <v>283</v>
      </c>
      <c r="H43" s="136">
        <v>28</v>
      </c>
      <c r="I43" s="19" t="s">
        <v>230</v>
      </c>
      <c r="J43" s="19" t="s">
        <v>231</v>
      </c>
      <c r="K43" s="19" t="s">
        <v>278</v>
      </c>
      <c r="L43" s="19" t="s">
        <v>279</v>
      </c>
      <c r="M43" s="19" t="s">
        <v>268</v>
      </c>
      <c r="N43" s="19" t="s">
        <v>247</v>
      </c>
      <c r="O43" s="19" t="s">
        <v>275</v>
      </c>
      <c r="P43" s="19" t="s">
        <v>237</v>
      </c>
      <c r="Q43" s="19" t="s">
        <v>280</v>
      </c>
      <c r="R43" s="19">
        <v>1000</v>
      </c>
      <c r="S43" s="19" t="s">
        <v>272</v>
      </c>
      <c r="T43" s="19" t="s">
        <v>263</v>
      </c>
      <c r="U43" s="20" t="s">
        <v>263</v>
      </c>
      <c r="V43" s="19" t="s">
        <v>109</v>
      </c>
      <c r="W43" s="19" t="s">
        <v>219</v>
      </c>
      <c r="X43" s="35">
        <v>30</v>
      </c>
      <c r="Y43" s="35">
        <v>32.000000000000043</v>
      </c>
      <c r="Z43" s="32"/>
      <c r="AA43" s="22"/>
      <c r="AB43" s="22"/>
      <c r="AC43" s="22"/>
      <c r="AD43" s="22">
        <v>19.999999999999979</v>
      </c>
      <c r="AE43" s="60">
        <f t="shared" si="10"/>
        <v>19.999999999999979</v>
      </c>
      <c r="AF43" s="22"/>
      <c r="AG43" s="40">
        <f t="shared" si="11"/>
        <v>19.999999999999979</v>
      </c>
      <c r="AH43" s="24"/>
      <c r="AI43" s="24"/>
      <c r="AJ43" s="121"/>
      <c r="AK43" s="121"/>
      <c r="AL43" s="24">
        <v>30</v>
      </c>
      <c r="AM43" s="24"/>
      <c r="AN43" s="23">
        <f t="shared" si="14"/>
        <v>49.999999999999979</v>
      </c>
      <c r="AO43" s="25">
        <v>20</v>
      </c>
      <c r="AP43" s="25">
        <v>20</v>
      </c>
      <c r="AQ43" s="25">
        <v>10</v>
      </c>
      <c r="AR43" s="25"/>
      <c r="AS43" s="25">
        <f t="shared" si="15"/>
        <v>50</v>
      </c>
      <c r="AT43" s="13"/>
      <c r="AU43" s="21"/>
      <c r="AV43" s="21">
        <v>4</v>
      </c>
      <c r="AW43" s="21">
        <v>4</v>
      </c>
      <c r="AX43" s="21">
        <v>4</v>
      </c>
      <c r="AY43" s="21">
        <v>4</v>
      </c>
      <c r="AZ43" s="21">
        <v>4</v>
      </c>
      <c r="BA43" s="77"/>
      <c r="BB43" s="21"/>
      <c r="BC43" s="21"/>
      <c r="BD43" s="21"/>
      <c r="BE43" s="21"/>
      <c r="BF43" s="21"/>
      <c r="BG43" s="77"/>
      <c r="BH43" s="77"/>
      <c r="BI43" s="21"/>
      <c r="BJ43" s="21"/>
      <c r="BK43" s="21"/>
      <c r="BL43" s="21"/>
      <c r="BM43" s="21"/>
      <c r="BN43" s="21"/>
      <c r="BO43" s="77"/>
      <c r="BP43" s="21"/>
      <c r="BQ43" s="21"/>
      <c r="BR43" s="21"/>
      <c r="BS43" s="21"/>
      <c r="BT43" s="21"/>
      <c r="BU43" s="21"/>
      <c r="BV43" s="77"/>
      <c r="BW43" s="96">
        <f t="shared" si="16"/>
        <v>20</v>
      </c>
      <c r="BX43" s="94">
        <f t="shared" si="17"/>
        <v>30</v>
      </c>
      <c r="BY43" s="26"/>
      <c r="CA43" s="50" t="s">
        <v>283</v>
      </c>
      <c r="CB43" s="19" t="b">
        <f t="shared" si="12"/>
        <v>1</v>
      </c>
      <c r="CC43" s="19" t="s">
        <v>283</v>
      </c>
      <c r="CD43" s="19" t="s">
        <v>779</v>
      </c>
      <c r="CE43" s="120" t="s">
        <v>769</v>
      </c>
      <c r="CF43" s="120" t="s">
        <v>770</v>
      </c>
      <c r="CG43" s="120" t="s">
        <v>780</v>
      </c>
      <c r="CH43" s="120" t="s">
        <v>772</v>
      </c>
      <c r="CI43" s="120" t="s">
        <v>691</v>
      </c>
      <c r="CJ43" s="120" t="s">
        <v>692</v>
      </c>
      <c r="CK43" s="120" t="s">
        <v>693</v>
      </c>
      <c r="CL43" s="120" t="s">
        <v>694</v>
      </c>
      <c r="CM43" s="120" t="s">
        <v>781</v>
      </c>
      <c r="CN43" s="120" t="s">
        <v>782</v>
      </c>
      <c r="CO43" s="120" t="s">
        <v>775</v>
      </c>
      <c r="CP43" s="120" t="s">
        <v>776</v>
      </c>
      <c r="CQ43" s="120"/>
      <c r="CR43" s="120"/>
      <c r="CS43" s="120" t="s">
        <v>686</v>
      </c>
      <c r="CT43" s="120" t="s">
        <v>687</v>
      </c>
      <c r="CU43" s="120" t="s">
        <v>783</v>
      </c>
      <c r="CV43" s="120" t="s">
        <v>784</v>
      </c>
      <c r="CW43" s="120"/>
      <c r="CX43" s="120"/>
      <c r="CY43" s="120"/>
      <c r="CZ43" s="120"/>
      <c r="DA43" s="120"/>
      <c r="DB43" s="120"/>
      <c r="DC43" s="120"/>
      <c r="DD43" s="120"/>
      <c r="DE43" s="18"/>
      <c r="DF43" s="18"/>
    </row>
    <row r="44" spans="1:110" s="7" customFormat="1" x14ac:dyDescent="0.25">
      <c r="A44" s="19" t="s">
        <v>228</v>
      </c>
      <c r="B44" s="19" t="s">
        <v>80</v>
      </c>
      <c r="C44" s="19" t="str">
        <f t="shared" si="13"/>
        <v>96059624India</v>
      </c>
      <c r="D44" s="19">
        <v>96059624</v>
      </c>
      <c r="E44" s="19" t="s">
        <v>481</v>
      </c>
      <c r="F44" s="19" t="s">
        <v>2067</v>
      </c>
      <c r="G44" s="20" t="s">
        <v>481</v>
      </c>
      <c r="H44" s="136">
        <v>27</v>
      </c>
      <c r="I44" s="19" t="s">
        <v>230</v>
      </c>
      <c r="J44" s="19" t="s">
        <v>243</v>
      </c>
      <c r="K44" s="19" t="s">
        <v>278</v>
      </c>
      <c r="L44" s="19" t="s">
        <v>282</v>
      </c>
      <c r="M44" s="19" t="s">
        <v>268</v>
      </c>
      <c r="N44" s="19" t="s">
        <v>247</v>
      </c>
      <c r="O44" s="19" t="s">
        <v>275</v>
      </c>
      <c r="P44" s="19" t="s">
        <v>237</v>
      </c>
      <c r="Q44" s="19" t="s">
        <v>280</v>
      </c>
      <c r="R44" s="19">
        <v>1000</v>
      </c>
      <c r="S44" s="19" t="s">
        <v>272</v>
      </c>
      <c r="T44" s="19" t="s">
        <v>263</v>
      </c>
      <c r="U44" s="20" t="s">
        <v>263</v>
      </c>
      <c r="V44" s="19" t="s">
        <v>1564</v>
      </c>
      <c r="W44" s="19" t="s">
        <v>222</v>
      </c>
      <c r="X44" s="35"/>
      <c r="Y44" s="35"/>
      <c r="Z44" s="32"/>
      <c r="AA44" s="22">
        <v>2</v>
      </c>
      <c r="AB44" s="22">
        <v>3</v>
      </c>
      <c r="AC44" s="22"/>
      <c r="AD44" s="22"/>
      <c r="AE44" s="60">
        <f t="shared" si="10"/>
        <v>5</v>
      </c>
      <c r="AF44" s="22"/>
      <c r="AG44" s="40">
        <f t="shared" si="11"/>
        <v>5</v>
      </c>
      <c r="AH44" s="24"/>
      <c r="AI44" s="24">
        <v>17</v>
      </c>
      <c r="AJ44" s="121"/>
      <c r="AK44" s="121">
        <v>5</v>
      </c>
      <c r="AL44" s="24"/>
      <c r="AM44" s="24"/>
      <c r="AN44" s="23">
        <f t="shared" si="14"/>
        <v>0</v>
      </c>
      <c r="AO44" s="25"/>
      <c r="AP44" s="25"/>
      <c r="AQ44" s="25"/>
      <c r="AR44" s="25"/>
      <c r="AS44" s="25">
        <f t="shared" si="15"/>
        <v>0</v>
      </c>
      <c r="AT44" s="13">
        <v>5</v>
      </c>
      <c r="AU44" s="21">
        <v>5</v>
      </c>
      <c r="AV44" s="21"/>
      <c r="AW44" s="21"/>
      <c r="AX44" s="21"/>
      <c r="AY44" s="21"/>
      <c r="AZ44" s="21"/>
      <c r="BA44" s="77"/>
      <c r="BB44" s="21"/>
      <c r="BC44" s="21"/>
      <c r="BD44" s="21"/>
      <c r="BE44" s="21"/>
      <c r="BF44" s="21"/>
      <c r="BG44" s="77"/>
      <c r="BH44" s="77"/>
      <c r="BI44" s="21"/>
      <c r="BJ44" s="21"/>
      <c r="BK44" s="21"/>
      <c r="BL44" s="21"/>
      <c r="BM44" s="21"/>
      <c r="BN44" s="21"/>
      <c r="BO44" s="77"/>
      <c r="BP44" s="21"/>
      <c r="BQ44" s="21"/>
      <c r="BR44" s="21"/>
      <c r="BS44" s="21"/>
      <c r="BT44" s="21"/>
      <c r="BU44" s="21"/>
      <c r="BV44" s="77"/>
      <c r="BW44" s="96">
        <f t="shared" si="16"/>
        <v>0</v>
      </c>
      <c r="BX44" s="94">
        <f t="shared" si="17"/>
        <v>0</v>
      </c>
      <c r="BY44" s="26"/>
      <c r="CA44" s="50" t="s">
        <v>481</v>
      </c>
      <c r="CB44" s="19" t="b">
        <f t="shared" si="12"/>
        <v>1</v>
      </c>
      <c r="CC44" s="19" t="s">
        <v>481</v>
      </c>
      <c r="CD44" s="19" t="s">
        <v>797</v>
      </c>
      <c r="CE44" s="120" t="s">
        <v>762</v>
      </c>
      <c r="CF44" s="120" t="s">
        <v>763</v>
      </c>
      <c r="CG44" s="120" t="s">
        <v>706</v>
      </c>
      <c r="CH44" s="120" t="s">
        <v>707</v>
      </c>
      <c r="CI44" s="120" t="s">
        <v>708</v>
      </c>
      <c r="CJ44" s="120" t="s">
        <v>709</v>
      </c>
      <c r="CK44" s="120" t="s">
        <v>695</v>
      </c>
      <c r="CL44" s="120" t="s">
        <v>694</v>
      </c>
      <c r="CM44" s="120" t="s">
        <v>798</v>
      </c>
      <c r="CN44" s="120" t="s">
        <v>799</v>
      </c>
      <c r="CO44" s="120" t="s">
        <v>800</v>
      </c>
      <c r="CP44" s="120" t="s">
        <v>801</v>
      </c>
      <c r="CQ44" s="120"/>
      <c r="CR44" s="120"/>
      <c r="CS44" s="120" t="s">
        <v>715</v>
      </c>
      <c r="CT44" s="120" t="s">
        <v>687</v>
      </c>
      <c r="CU44" s="120" t="s">
        <v>716</v>
      </c>
      <c r="CV44" s="120" t="s">
        <v>717</v>
      </c>
      <c r="CW44" s="120"/>
      <c r="CX44" s="120"/>
      <c r="CY44" s="120"/>
      <c r="CZ44" s="120"/>
      <c r="DA44" s="120"/>
      <c r="DB44" s="120"/>
      <c r="DC44" s="120"/>
      <c r="DD44" s="120"/>
      <c r="DE44" s="18"/>
      <c r="DF44" s="18"/>
    </row>
    <row r="45" spans="1:110" s="7" customFormat="1" x14ac:dyDescent="0.25">
      <c r="A45" s="19" t="s">
        <v>228</v>
      </c>
      <c r="B45" s="19" t="s">
        <v>80</v>
      </c>
      <c r="C45" s="19" t="str">
        <f t="shared" si="13"/>
        <v>96051739India</v>
      </c>
      <c r="D45" s="19">
        <v>96051739</v>
      </c>
      <c r="E45" s="19" t="s">
        <v>429</v>
      </c>
      <c r="F45" s="19" t="s">
        <v>2067</v>
      </c>
      <c r="G45" s="20" t="s">
        <v>429</v>
      </c>
      <c r="H45" s="136">
        <v>229</v>
      </c>
      <c r="I45" s="19" t="s">
        <v>230</v>
      </c>
      <c r="J45" s="19" t="s">
        <v>243</v>
      </c>
      <c r="K45" s="19" t="s">
        <v>278</v>
      </c>
      <c r="L45" s="19" t="s">
        <v>279</v>
      </c>
      <c r="M45" s="19" t="s">
        <v>268</v>
      </c>
      <c r="N45" s="19" t="s">
        <v>247</v>
      </c>
      <c r="O45" s="19" t="s">
        <v>275</v>
      </c>
      <c r="P45" s="19" t="s">
        <v>237</v>
      </c>
      <c r="Q45" s="19" t="s">
        <v>280</v>
      </c>
      <c r="R45" s="19">
        <v>1000</v>
      </c>
      <c r="S45" s="19" t="s">
        <v>272</v>
      </c>
      <c r="T45" s="19" t="s">
        <v>263</v>
      </c>
      <c r="U45" s="20" t="s">
        <v>263</v>
      </c>
      <c r="V45" s="19" t="s">
        <v>218</v>
      </c>
      <c r="W45" s="19" t="s">
        <v>222</v>
      </c>
      <c r="X45" s="35">
        <v>7</v>
      </c>
      <c r="Y45" s="35">
        <v>7</v>
      </c>
      <c r="Z45" s="32"/>
      <c r="AA45" s="22"/>
      <c r="AB45" s="22">
        <v>5</v>
      </c>
      <c r="AC45" s="22"/>
      <c r="AD45" s="22"/>
      <c r="AE45" s="60">
        <f t="shared" si="10"/>
        <v>5</v>
      </c>
      <c r="AF45" s="22"/>
      <c r="AG45" s="40">
        <f t="shared" si="11"/>
        <v>5</v>
      </c>
      <c r="AH45" s="24"/>
      <c r="AI45" s="24">
        <v>11</v>
      </c>
      <c r="AJ45" s="121"/>
      <c r="AK45" s="121">
        <v>5</v>
      </c>
      <c r="AL45" s="24"/>
      <c r="AM45" s="24"/>
      <c r="AN45" s="23">
        <f t="shared" si="14"/>
        <v>0</v>
      </c>
      <c r="AO45" s="25"/>
      <c r="AP45" s="25"/>
      <c r="AQ45" s="25"/>
      <c r="AR45" s="25"/>
      <c r="AS45" s="25">
        <f t="shared" si="15"/>
        <v>0</v>
      </c>
      <c r="AT45" s="13">
        <v>5</v>
      </c>
      <c r="AU45" s="21">
        <v>5</v>
      </c>
      <c r="AV45" s="21"/>
      <c r="AW45" s="21"/>
      <c r="AX45" s="21"/>
      <c r="AY45" s="21"/>
      <c r="AZ45" s="21"/>
      <c r="BA45" s="77"/>
      <c r="BB45" s="21"/>
      <c r="BC45" s="21"/>
      <c r="BD45" s="21"/>
      <c r="BE45" s="21"/>
      <c r="BF45" s="21"/>
      <c r="BG45" s="77"/>
      <c r="BH45" s="77"/>
      <c r="BI45" s="21"/>
      <c r="BJ45" s="21"/>
      <c r="BK45" s="21"/>
      <c r="BL45" s="21"/>
      <c r="BM45" s="21"/>
      <c r="BN45" s="21"/>
      <c r="BO45" s="77"/>
      <c r="BP45" s="21"/>
      <c r="BQ45" s="21"/>
      <c r="BR45" s="21"/>
      <c r="BS45" s="21"/>
      <c r="BT45" s="21"/>
      <c r="BU45" s="21"/>
      <c r="BV45" s="77"/>
      <c r="BW45" s="96">
        <f t="shared" si="16"/>
        <v>0</v>
      </c>
      <c r="BX45" s="94">
        <f t="shared" si="17"/>
        <v>0</v>
      </c>
      <c r="BY45" s="26"/>
      <c r="CA45" s="50" t="s">
        <v>429</v>
      </c>
      <c r="CB45" s="19" t="b">
        <f t="shared" si="12"/>
        <v>1</v>
      </c>
      <c r="CC45" s="19" t="s">
        <v>429</v>
      </c>
      <c r="CD45" s="19" t="s">
        <v>785</v>
      </c>
      <c r="CE45" s="120" t="s">
        <v>762</v>
      </c>
      <c r="CF45" s="120" t="s">
        <v>763</v>
      </c>
      <c r="CG45" s="120" t="s">
        <v>706</v>
      </c>
      <c r="CH45" s="120" t="s">
        <v>707</v>
      </c>
      <c r="CI45" s="120" t="s">
        <v>708</v>
      </c>
      <c r="CJ45" s="120" t="s">
        <v>709</v>
      </c>
      <c r="CK45" s="120" t="s">
        <v>710</v>
      </c>
      <c r="CL45" s="120" t="s">
        <v>667</v>
      </c>
      <c r="CM45" s="120" t="s">
        <v>786</v>
      </c>
      <c r="CN45" s="120" t="s">
        <v>787</v>
      </c>
      <c r="CO45" s="120" t="s">
        <v>788</v>
      </c>
      <c r="CP45" s="120" t="s">
        <v>789</v>
      </c>
      <c r="CQ45" s="120"/>
      <c r="CR45" s="120"/>
      <c r="CS45" s="120" t="s">
        <v>715</v>
      </c>
      <c r="CT45" s="120" t="s">
        <v>687</v>
      </c>
      <c r="CU45" s="120" t="s">
        <v>716</v>
      </c>
      <c r="CV45" s="120" t="s">
        <v>717</v>
      </c>
      <c r="CW45" s="120"/>
      <c r="CX45" s="120"/>
      <c r="CY45" s="120"/>
      <c r="CZ45" s="120"/>
      <c r="DA45" s="120"/>
      <c r="DB45" s="120"/>
      <c r="DC45" s="120"/>
      <c r="DD45" s="120"/>
      <c r="DE45" s="18"/>
      <c r="DF45" s="18"/>
    </row>
    <row r="46" spans="1:110" s="7" customFormat="1" x14ac:dyDescent="0.25">
      <c r="A46" s="19" t="s">
        <v>81</v>
      </c>
      <c r="B46" s="19" t="s">
        <v>1740</v>
      </c>
      <c r="C46" s="19" t="str">
        <f t="shared" ref="C46" si="18">D46&amp;B46</f>
        <v>86002197UGANDA</v>
      </c>
      <c r="D46" s="19">
        <v>86002197</v>
      </c>
      <c r="E46" s="19" t="s">
        <v>2066</v>
      </c>
      <c r="F46" s="19" t="s">
        <v>1836</v>
      </c>
      <c r="G46" s="20" t="s">
        <v>1836</v>
      </c>
      <c r="H46" s="136">
        <v>1</v>
      </c>
      <c r="I46" s="19" t="s">
        <v>230</v>
      </c>
      <c r="J46" s="19" t="s">
        <v>337</v>
      </c>
      <c r="K46" s="19" t="s">
        <v>331</v>
      </c>
      <c r="L46" s="19" t="s">
        <v>332</v>
      </c>
      <c r="M46" s="19" t="s">
        <v>234</v>
      </c>
      <c r="N46" s="19" t="s">
        <v>254</v>
      </c>
      <c r="O46" s="19" t="s">
        <v>335</v>
      </c>
      <c r="P46" s="19" t="s">
        <v>237</v>
      </c>
      <c r="Q46" s="19" t="s">
        <v>333</v>
      </c>
      <c r="R46" s="19">
        <v>3100</v>
      </c>
      <c r="S46" s="19" t="s">
        <v>239</v>
      </c>
      <c r="T46" s="19" t="s">
        <v>240</v>
      </c>
      <c r="U46" s="20" t="s">
        <v>240</v>
      </c>
      <c r="V46" s="19" t="s">
        <v>1778</v>
      </c>
      <c r="W46" s="19" t="s">
        <v>219</v>
      </c>
      <c r="X46" s="35"/>
      <c r="Y46" s="35">
        <v>1</v>
      </c>
      <c r="Z46" s="32"/>
      <c r="AA46" s="22"/>
      <c r="AB46" s="22"/>
      <c r="AC46" s="22"/>
      <c r="AD46" s="22"/>
      <c r="AE46" s="60">
        <v>0</v>
      </c>
      <c r="AF46" s="22"/>
      <c r="AG46" s="40">
        <v>0</v>
      </c>
      <c r="AH46" s="24"/>
      <c r="AI46" s="24"/>
      <c r="AJ46" s="121"/>
      <c r="AK46" s="121"/>
      <c r="AL46" s="24"/>
      <c r="AM46" s="24"/>
      <c r="AN46" s="23">
        <f t="shared" ref="AN46" si="19">AG46-AJ46-AK46+AL46+AM46</f>
        <v>0</v>
      </c>
      <c r="AO46" s="25"/>
      <c r="AP46" s="25"/>
      <c r="AQ46" s="25"/>
      <c r="AR46" s="25"/>
      <c r="AS46" s="25">
        <f t="shared" ref="AS46" si="20">SUM(AO46:AR46)</f>
        <v>0</v>
      </c>
      <c r="AT46" s="13"/>
      <c r="AU46" s="21"/>
      <c r="AV46" s="21"/>
      <c r="AW46" s="21"/>
      <c r="AX46" s="21"/>
      <c r="AY46" s="21"/>
      <c r="AZ46" s="21"/>
      <c r="BA46" s="77"/>
      <c r="BB46" s="21"/>
      <c r="BC46" s="21"/>
      <c r="BD46" s="21"/>
      <c r="BE46" s="21"/>
      <c r="BF46" s="21"/>
      <c r="BG46" s="77"/>
      <c r="BH46" s="77"/>
      <c r="BI46" s="21"/>
      <c r="BJ46" s="21"/>
      <c r="BK46" s="21"/>
      <c r="BL46" s="21"/>
      <c r="BM46" s="21"/>
      <c r="BN46" s="21"/>
      <c r="BO46" s="77"/>
      <c r="BP46" s="21"/>
      <c r="BQ46" s="21"/>
      <c r="BR46" s="21"/>
      <c r="BS46" s="21"/>
      <c r="BT46" s="21"/>
      <c r="BU46" s="21"/>
      <c r="BV46" s="77"/>
      <c r="BW46" s="96">
        <f t="shared" si="16"/>
        <v>0</v>
      </c>
      <c r="BX46" s="94">
        <f t="shared" si="17"/>
        <v>0</v>
      </c>
      <c r="BY46" s="26"/>
      <c r="CA46" s="54" t="s">
        <v>1836</v>
      </c>
      <c r="CB46" s="19" t="b">
        <f t="shared" ref="CB46" si="21">CC46=CA46</f>
        <v>1</v>
      </c>
      <c r="CC46" s="19" t="s">
        <v>1836</v>
      </c>
      <c r="CD46" s="19" t="s">
        <v>1963</v>
      </c>
      <c r="CE46" s="120" t="s">
        <v>1961</v>
      </c>
      <c r="CF46" s="120" t="s">
        <v>1962</v>
      </c>
      <c r="CG46" s="120" t="s">
        <v>1964</v>
      </c>
      <c r="CH46" s="120" t="s">
        <v>1870</v>
      </c>
      <c r="CI46" s="120" t="s">
        <v>1965</v>
      </c>
      <c r="CJ46" s="120" t="s">
        <v>1966</v>
      </c>
      <c r="CK46" s="120" t="s">
        <v>1394</v>
      </c>
      <c r="CL46" s="120" t="s">
        <v>1395</v>
      </c>
      <c r="CM46" s="120" t="s">
        <v>1967</v>
      </c>
      <c r="CN46" s="120" t="s">
        <v>1968</v>
      </c>
      <c r="CO46" s="120" t="s">
        <v>1969</v>
      </c>
      <c r="CP46" s="120" t="s">
        <v>1970</v>
      </c>
      <c r="CQ46" s="120" t="s">
        <v>1383</v>
      </c>
      <c r="CR46" s="120" t="s">
        <v>1384</v>
      </c>
      <c r="CS46" s="120" t="s">
        <v>1388</v>
      </c>
      <c r="CT46" s="120" t="s">
        <v>1389</v>
      </c>
      <c r="CU46" s="120" t="s">
        <v>1971</v>
      </c>
      <c r="CV46" s="120" t="s">
        <v>1972</v>
      </c>
      <c r="CW46" s="120"/>
      <c r="CX46" s="120"/>
      <c r="CY46" s="120"/>
      <c r="CZ46" s="120"/>
      <c r="DA46" s="120"/>
      <c r="DB46" s="120"/>
      <c r="DC46" s="120"/>
      <c r="DD46" s="120"/>
      <c r="DE46" s="18"/>
      <c r="DF46" s="18"/>
    </row>
    <row r="47" spans="1:110" s="7" customFormat="1" x14ac:dyDescent="0.25">
      <c r="A47" s="19" t="s">
        <v>228</v>
      </c>
      <c r="B47" s="19" t="s">
        <v>80</v>
      </c>
      <c r="C47" s="19" t="str">
        <f t="shared" ref="C47:C53" si="22">D47&amp;B47</f>
        <v>94959450India</v>
      </c>
      <c r="D47" s="19">
        <v>94959450</v>
      </c>
      <c r="E47" s="19" t="s">
        <v>2066</v>
      </c>
      <c r="F47" s="19" t="s">
        <v>394</v>
      </c>
      <c r="G47" s="20" t="s">
        <v>394</v>
      </c>
      <c r="H47" s="136">
        <v>70</v>
      </c>
      <c r="I47" s="19" t="s">
        <v>230</v>
      </c>
      <c r="J47" s="19" t="s">
        <v>243</v>
      </c>
      <c r="K47" s="19" t="s">
        <v>393</v>
      </c>
      <c r="L47" s="19" t="s">
        <v>264</v>
      </c>
      <c r="M47" s="19" t="s">
        <v>298</v>
      </c>
      <c r="N47" s="19" t="s">
        <v>247</v>
      </c>
      <c r="O47" s="19" t="s">
        <v>395</v>
      </c>
      <c r="P47" s="19" t="s">
        <v>237</v>
      </c>
      <c r="Q47" s="19" t="s">
        <v>259</v>
      </c>
      <c r="R47" s="19">
        <v>3600</v>
      </c>
      <c r="S47" s="19" t="s">
        <v>239</v>
      </c>
      <c r="T47" s="19" t="s">
        <v>240</v>
      </c>
      <c r="U47" s="20" t="s">
        <v>240</v>
      </c>
      <c r="V47" s="19" t="s">
        <v>143</v>
      </c>
      <c r="W47" s="19" t="s">
        <v>222</v>
      </c>
      <c r="X47" s="35">
        <v>3</v>
      </c>
      <c r="Y47" s="35">
        <v>3</v>
      </c>
      <c r="Z47" s="32"/>
      <c r="AA47" s="22">
        <v>1</v>
      </c>
      <c r="AB47" s="22">
        <v>1</v>
      </c>
      <c r="AC47" s="22">
        <v>1</v>
      </c>
      <c r="AD47" s="22"/>
      <c r="AE47" s="60">
        <v>3</v>
      </c>
      <c r="AF47" s="22"/>
      <c r="AG47" s="40">
        <v>3</v>
      </c>
      <c r="AH47" s="24"/>
      <c r="AI47" s="24"/>
      <c r="AJ47" s="121"/>
      <c r="AK47" s="121"/>
      <c r="AL47" s="24"/>
      <c r="AM47" s="24"/>
      <c r="AN47" s="23">
        <f t="shared" ref="AN47:AN53" si="23">AG47-AJ47-AK47+AL47+AM47</f>
        <v>3</v>
      </c>
      <c r="AO47" s="25"/>
      <c r="AP47" s="25"/>
      <c r="AQ47" s="25">
        <v>3</v>
      </c>
      <c r="AR47" s="25"/>
      <c r="AS47" s="25">
        <f t="shared" ref="AS47:AS53" si="24">SUM(AO47:AR47)</f>
        <v>3</v>
      </c>
      <c r="AT47" s="13"/>
      <c r="AU47" s="21"/>
      <c r="AV47" s="21"/>
      <c r="AW47" s="21"/>
      <c r="AX47" s="21"/>
      <c r="AY47" s="21"/>
      <c r="AZ47" s="21"/>
      <c r="BA47" s="77"/>
      <c r="BB47" s="21"/>
      <c r="BC47" s="21"/>
      <c r="BD47" s="21"/>
      <c r="BE47" s="21"/>
      <c r="BF47" s="21"/>
      <c r="BG47" s="77"/>
      <c r="BH47" s="77"/>
      <c r="BI47" s="21"/>
      <c r="BJ47" s="21"/>
      <c r="BK47" s="21">
        <v>2</v>
      </c>
      <c r="BL47" s="21">
        <v>1</v>
      </c>
      <c r="BM47" s="21"/>
      <c r="BN47" s="21"/>
      <c r="BO47" s="77"/>
      <c r="BP47" s="21"/>
      <c r="BQ47" s="21"/>
      <c r="BR47" s="21"/>
      <c r="BS47" s="21"/>
      <c r="BT47" s="21"/>
      <c r="BU47" s="21"/>
      <c r="BV47" s="77"/>
      <c r="BW47" s="96">
        <f t="shared" si="16"/>
        <v>3</v>
      </c>
      <c r="BX47" s="94">
        <f t="shared" si="17"/>
        <v>0</v>
      </c>
      <c r="BY47" s="26"/>
      <c r="CA47" s="54" t="s">
        <v>394</v>
      </c>
      <c r="CB47" s="19" t="b">
        <f t="shared" ref="CB47:CB53" si="25">CC47=CA47</f>
        <v>1</v>
      </c>
      <c r="CC47" s="19" t="s">
        <v>394</v>
      </c>
      <c r="CD47" s="19" t="s">
        <v>1421</v>
      </c>
      <c r="CE47" s="120" t="s">
        <v>1961</v>
      </c>
      <c r="CF47" s="120" t="s">
        <v>1962</v>
      </c>
      <c r="CG47" s="120" t="s">
        <v>1416</v>
      </c>
      <c r="CH47" s="120" t="s">
        <v>1410</v>
      </c>
      <c r="CI47" s="120" t="s">
        <v>1422</v>
      </c>
      <c r="CJ47" s="120" t="s">
        <v>1423</v>
      </c>
      <c r="CK47" s="120" t="s">
        <v>1417</v>
      </c>
      <c r="CL47" s="120" t="s">
        <v>1418</v>
      </c>
      <c r="CM47" s="120" t="s">
        <v>1424</v>
      </c>
      <c r="CN47" s="120" t="s">
        <v>1425</v>
      </c>
      <c r="CO47" s="120" t="s">
        <v>1426</v>
      </c>
      <c r="CP47" s="120" t="s">
        <v>1427</v>
      </c>
      <c r="CQ47" s="120" t="s">
        <v>1383</v>
      </c>
      <c r="CR47" s="120" t="s">
        <v>1384</v>
      </c>
      <c r="CS47" s="120" t="s">
        <v>1419</v>
      </c>
      <c r="CT47" s="120" t="s">
        <v>1420</v>
      </c>
      <c r="CU47" s="120" t="s">
        <v>1428</v>
      </c>
      <c r="CV47" s="120" t="s">
        <v>1429</v>
      </c>
      <c r="CW47" s="120"/>
      <c r="CX47" s="120"/>
      <c r="CY47" s="120"/>
      <c r="CZ47" s="120"/>
      <c r="DA47" s="120"/>
      <c r="DB47" s="120"/>
      <c r="DC47" s="120"/>
      <c r="DD47" s="120"/>
      <c r="DE47" s="18"/>
      <c r="DF47" s="18"/>
    </row>
    <row r="48" spans="1:110" s="7" customFormat="1" x14ac:dyDescent="0.25">
      <c r="A48" s="19" t="s">
        <v>228</v>
      </c>
      <c r="B48" s="19" t="s">
        <v>80</v>
      </c>
      <c r="C48" s="19" t="str">
        <f t="shared" si="22"/>
        <v>94959872India</v>
      </c>
      <c r="D48" s="19">
        <v>94959872</v>
      </c>
      <c r="E48" s="19" t="s">
        <v>2066</v>
      </c>
      <c r="F48" s="19" t="s">
        <v>394</v>
      </c>
      <c r="G48" s="20" t="s">
        <v>394</v>
      </c>
      <c r="H48" s="136">
        <v>70</v>
      </c>
      <c r="I48" s="19" t="s">
        <v>230</v>
      </c>
      <c r="J48" s="19" t="s">
        <v>243</v>
      </c>
      <c r="K48" s="19" t="s">
        <v>393</v>
      </c>
      <c r="L48" s="19" t="s">
        <v>264</v>
      </c>
      <c r="M48" s="19" t="s">
        <v>298</v>
      </c>
      <c r="N48" s="19" t="s">
        <v>247</v>
      </c>
      <c r="O48" s="19" t="s">
        <v>335</v>
      </c>
      <c r="P48" s="19" t="s">
        <v>237</v>
      </c>
      <c r="Q48" s="19" t="s">
        <v>259</v>
      </c>
      <c r="R48" s="19">
        <v>3600</v>
      </c>
      <c r="S48" s="19" t="s">
        <v>239</v>
      </c>
      <c r="T48" s="19" t="s">
        <v>240</v>
      </c>
      <c r="U48" s="20" t="s">
        <v>240</v>
      </c>
      <c r="V48" s="19" t="s">
        <v>144</v>
      </c>
      <c r="W48" s="19" t="s">
        <v>222</v>
      </c>
      <c r="X48" s="35">
        <v>5</v>
      </c>
      <c r="Y48" s="35">
        <v>4</v>
      </c>
      <c r="Z48" s="32"/>
      <c r="AA48" s="22">
        <v>2</v>
      </c>
      <c r="AB48" s="22">
        <v>1</v>
      </c>
      <c r="AC48" s="22">
        <v>1</v>
      </c>
      <c r="AD48" s="22">
        <v>1</v>
      </c>
      <c r="AE48" s="60">
        <v>5</v>
      </c>
      <c r="AF48" s="22"/>
      <c r="AG48" s="40">
        <v>5</v>
      </c>
      <c r="AH48" s="24"/>
      <c r="AI48" s="24"/>
      <c r="AJ48" s="121"/>
      <c r="AK48" s="121"/>
      <c r="AL48" s="24"/>
      <c r="AM48" s="24"/>
      <c r="AN48" s="23">
        <f t="shared" si="23"/>
        <v>5</v>
      </c>
      <c r="AO48" s="25"/>
      <c r="AP48" s="25"/>
      <c r="AQ48" s="25">
        <v>5</v>
      </c>
      <c r="AR48" s="25"/>
      <c r="AS48" s="25">
        <f t="shared" si="24"/>
        <v>5</v>
      </c>
      <c r="AT48" s="13"/>
      <c r="AU48" s="21"/>
      <c r="AV48" s="21"/>
      <c r="AW48" s="21"/>
      <c r="AX48" s="21"/>
      <c r="AY48" s="21"/>
      <c r="AZ48" s="21"/>
      <c r="BA48" s="77"/>
      <c r="BB48" s="21"/>
      <c r="BC48" s="21"/>
      <c r="BD48" s="21"/>
      <c r="BE48" s="21"/>
      <c r="BF48" s="21"/>
      <c r="BG48" s="77"/>
      <c r="BH48" s="77"/>
      <c r="BI48" s="21"/>
      <c r="BJ48" s="21"/>
      <c r="BK48" s="21">
        <v>2</v>
      </c>
      <c r="BL48" s="21">
        <v>3</v>
      </c>
      <c r="BM48" s="21"/>
      <c r="BN48" s="21"/>
      <c r="BO48" s="77"/>
      <c r="BP48" s="21"/>
      <c r="BQ48" s="21"/>
      <c r="BR48" s="21"/>
      <c r="BS48" s="21"/>
      <c r="BT48" s="21"/>
      <c r="BU48" s="21"/>
      <c r="BV48" s="77"/>
      <c r="BW48" s="96">
        <f t="shared" si="16"/>
        <v>5</v>
      </c>
      <c r="BX48" s="94">
        <f t="shared" si="17"/>
        <v>0</v>
      </c>
      <c r="BY48" s="26"/>
      <c r="CA48" s="54" t="s">
        <v>394</v>
      </c>
      <c r="CB48" s="19" t="b">
        <f t="shared" si="25"/>
        <v>1</v>
      </c>
      <c r="CC48" s="19" t="s">
        <v>394</v>
      </c>
      <c r="CD48" s="19" t="s">
        <v>1421</v>
      </c>
      <c r="CE48" s="120" t="s">
        <v>1961</v>
      </c>
      <c r="CF48" s="120" t="s">
        <v>1962</v>
      </c>
      <c r="CG48" s="120" t="s">
        <v>1416</v>
      </c>
      <c r="CH48" s="120" t="s">
        <v>1410</v>
      </c>
      <c r="CI48" s="120" t="s">
        <v>1422</v>
      </c>
      <c r="CJ48" s="120" t="s">
        <v>1423</v>
      </c>
      <c r="CK48" s="120" t="s">
        <v>1417</v>
      </c>
      <c r="CL48" s="120" t="s">
        <v>1418</v>
      </c>
      <c r="CM48" s="120" t="s">
        <v>1424</v>
      </c>
      <c r="CN48" s="120" t="s">
        <v>1425</v>
      </c>
      <c r="CO48" s="120" t="s">
        <v>1426</v>
      </c>
      <c r="CP48" s="120" t="s">
        <v>1427</v>
      </c>
      <c r="CQ48" s="120" t="s">
        <v>1383</v>
      </c>
      <c r="CR48" s="120" t="s">
        <v>1384</v>
      </c>
      <c r="CS48" s="120" t="s">
        <v>1419</v>
      </c>
      <c r="CT48" s="120" t="s">
        <v>1420</v>
      </c>
      <c r="CU48" s="120" t="s">
        <v>1428</v>
      </c>
      <c r="CV48" s="120" t="s">
        <v>1429</v>
      </c>
      <c r="CW48" s="120"/>
      <c r="CX48" s="120"/>
      <c r="CY48" s="120"/>
      <c r="CZ48" s="120"/>
      <c r="DA48" s="120"/>
      <c r="DB48" s="120"/>
      <c r="DC48" s="120"/>
      <c r="DD48" s="120"/>
      <c r="DE48" s="18"/>
      <c r="DF48" s="18"/>
    </row>
    <row r="49" spans="1:110" s="7" customFormat="1" x14ac:dyDescent="0.25">
      <c r="A49" s="19" t="s">
        <v>81</v>
      </c>
      <c r="B49" s="19" t="s">
        <v>2179</v>
      </c>
      <c r="C49" s="19" t="str">
        <f t="shared" si="22"/>
        <v>85852958SOMALIA</v>
      </c>
      <c r="D49" s="19">
        <v>85852958</v>
      </c>
      <c r="E49" s="19" t="s">
        <v>2066</v>
      </c>
      <c r="F49" s="19" t="s">
        <v>326</v>
      </c>
      <c r="G49" s="20" t="s">
        <v>326</v>
      </c>
      <c r="H49" s="136">
        <v>11</v>
      </c>
      <c r="I49" s="19" t="s">
        <v>230</v>
      </c>
      <c r="J49" s="19" t="s">
        <v>327</v>
      </c>
      <c r="K49" s="19" t="s">
        <v>328</v>
      </c>
      <c r="L49" s="19" t="s">
        <v>264</v>
      </c>
      <c r="M49" s="19" t="s">
        <v>234</v>
      </c>
      <c r="N49" s="19" t="s">
        <v>247</v>
      </c>
      <c r="O49" s="19" t="s">
        <v>329</v>
      </c>
      <c r="P49" s="19" t="s">
        <v>237</v>
      </c>
      <c r="Q49" s="19" t="s">
        <v>330</v>
      </c>
      <c r="R49" s="19">
        <v>3900</v>
      </c>
      <c r="S49" s="19" t="s">
        <v>239</v>
      </c>
      <c r="T49" s="19" t="s">
        <v>240</v>
      </c>
      <c r="U49" s="20" t="s">
        <v>240</v>
      </c>
      <c r="V49" s="19" t="s">
        <v>126</v>
      </c>
      <c r="W49" s="19" t="s">
        <v>219</v>
      </c>
      <c r="X49" s="35"/>
      <c r="Y49" s="35"/>
      <c r="Z49" s="32"/>
      <c r="AA49" s="22">
        <v>4</v>
      </c>
      <c r="AB49" s="22"/>
      <c r="AC49" s="22"/>
      <c r="AD49" s="22"/>
      <c r="AE49" s="60">
        <v>4</v>
      </c>
      <c r="AF49" s="22"/>
      <c r="AG49" s="40">
        <v>4</v>
      </c>
      <c r="AH49" s="24"/>
      <c r="AI49" s="24"/>
      <c r="AJ49" s="121"/>
      <c r="AK49" s="121"/>
      <c r="AL49" s="24"/>
      <c r="AM49" s="24"/>
      <c r="AN49" s="23">
        <f t="shared" si="23"/>
        <v>4</v>
      </c>
      <c r="AO49" s="25"/>
      <c r="AP49" s="25"/>
      <c r="AQ49" s="25">
        <v>4</v>
      </c>
      <c r="AR49" s="25"/>
      <c r="AS49" s="25">
        <f t="shared" si="24"/>
        <v>4</v>
      </c>
      <c r="AT49" s="13"/>
      <c r="AU49" s="21"/>
      <c r="AV49" s="21"/>
      <c r="AW49" s="21"/>
      <c r="AX49" s="21"/>
      <c r="AY49" s="21"/>
      <c r="AZ49" s="21"/>
      <c r="BA49" s="77"/>
      <c r="BB49" s="21"/>
      <c r="BC49" s="21"/>
      <c r="BD49" s="21"/>
      <c r="BE49" s="21"/>
      <c r="BF49" s="21"/>
      <c r="BG49" s="77"/>
      <c r="BH49" s="77"/>
      <c r="BI49" s="21"/>
      <c r="BJ49" s="21"/>
      <c r="BK49" s="21"/>
      <c r="BL49" s="21"/>
      <c r="BM49" s="21"/>
      <c r="BN49" s="21"/>
      <c r="BO49" s="77"/>
      <c r="BP49" s="21"/>
      <c r="BQ49" s="21">
        <v>2</v>
      </c>
      <c r="BR49" s="21">
        <v>2</v>
      </c>
      <c r="BS49" s="21"/>
      <c r="BT49" s="21"/>
      <c r="BU49" s="21"/>
      <c r="BV49" s="77"/>
      <c r="BW49" s="96">
        <f t="shared" si="16"/>
        <v>4</v>
      </c>
      <c r="BX49" s="94">
        <f t="shared" si="17"/>
        <v>0</v>
      </c>
      <c r="BY49" s="26"/>
      <c r="CA49" s="138" t="s">
        <v>326</v>
      </c>
      <c r="CB49" s="19" t="b">
        <f t="shared" si="25"/>
        <v>1</v>
      </c>
      <c r="CC49" s="19" t="s">
        <v>326</v>
      </c>
      <c r="CD49" s="19" t="s">
        <v>1435</v>
      </c>
      <c r="CE49" s="120" t="s">
        <v>2090</v>
      </c>
      <c r="CF49" s="120" t="s">
        <v>2091</v>
      </c>
      <c r="CG49" s="120" t="s">
        <v>1436</v>
      </c>
      <c r="CH49" s="120" t="s">
        <v>1437</v>
      </c>
      <c r="CI49" s="120" t="s">
        <v>1438</v>
      </c>
      <c r="CJ49" s="120" t="s">
        <v>1439</v>
      </c>
      <c r="CK49" s="120" t="s">
        <v>1440</v>
      </c>
      <c r="CL49" s="120" t="s">
        <v>1441</v>
      </c>
      <c r="CM49" s="120" t="s">
        <v>1442</v>
      </c>
      <c r="CN49" s="120" t="s">
        <v>1443</v>
      </c>
      <c r="CO49" s="120" t="s">
        <v>1444</v>
      </c>
      <c r="CP49" s="120" t="s">
        <v>1445</v>
      </c>
      <c r="CQ49" s="120" t="s">
        <v>1413</v>
      </c>
      <c r="CR49" s="120" t="s">
        <v>1414</v>
      </c>
      <c r="CS49" s="120" t="s">
        <v>1446</v>
      </c>
      <c r="CT49" s="120" t="s">
        <v>1447</v>
      </c>
      <c r="CU49" s="120" t="s">
        <v>1448</v>
      </c>
      <c r="CV49" s="120" t="s">
        <v>1449</v>
      </c>
      <c r="CW49" s="120"/>
      <c r="CX49" s="120"/>
      <c r="CY49" s="120"/>
      <c r="CZ49" s="120"/>
      <c r="DA49" s="120"/>
      <c r="DB49" s="120"/>
      <c r="DC49" s="120"/>
      <c r="DD49" s="120"/>
      <c r="DE49" s="18"/>
      <c r="DF49" s="18"/>
    </row>
    <row r="50" spans="1:110" s="7" customFormat="1" x14ac:dyDescent="0.25">
      <c r="A50" s="19" t="s">
        <v>228</v>
      </c>
      <c r="B50" s="19" t="s">
        <v>80</v>
      </c>
      <c r="C50" s="19" t="str">
        <f t="shared" si="22"/>
        <v>91859932India</v>
      </c>
      <c r="D50" s="19">
        <v>91859932</v>
      </c>
      <c r="E50" s="19" t="s">
        <v>396</v>
      </c>
      <c r="F50" s="19" t="s">
        <v>396</v>
      </c>
      <c r="G50" s="20" t="s">
        <v>396</v>
      </c>
      <c r="H50" s="136">
        <v>513</v>
      </c>
      <c r="I50" s="19" t="s">
        <v>230</v>
      </c>
      <c r="J50" s="19" t="s">
        <v>243</v>
      </c>
      <c r="K50" s="19" t="s">
        <v>397</v>
      </c>
      <c r="L50" s="19" t="s">
        <v>264</v>
      </c>
      <c r="M50" s="19" t="s">
        <v>298</v>
      </c>
      <c r="N50" s="19" t="s">
        <v>247</v>
      </c>
      <c r="O50" s="19" t="s">
        <v>335</v>
      </c>
      <c r="P50" s="19" t="s">
        <v>237</v>
      </c>
      <c r="Q50" s="19" t="s">
        <v>330</v>
      </c>
      <c r="R50" s="19">
        <v>3900</v>
      </c>
      <c r="S50" s="19" t="s">
        <v>239</v>
      </c>
      <c r="T50" s="19" t="s">
        <v>240</v>
      </c>
      <c r="U50" s="20" t="s">
        <v>240</v>
      </c>
      <c r="V50" s="19" t="s">
        <v>145</v>
      </c>
      <c r="W50" s="19" t="s">
        <v>221</v>
      </c>
      <c r="X50" s="35">
        <v>72</v>
      </c>
      <c r="Y50" s="35">
        <v>60</v>
      </c>
      <c r="Z50" s="32"/>
      <c r="AA50" s="22"/>
      <c r="AB50" s="22">
        <v>36</v>
      </c>
      <c r="AC50" s="22">
        <v>16</v>
      </c>
      <c r="AD50" s="22">
        <v>10</v>
      </c>
      <c r="AE50" s="60">
        <v>62</v>
      </c>
      <c r="AF50" s="22"/>
      <c r="AG50" s="40">
        <v>62</v>
      </c>
      <c r="AH50" s="24"/>
      <c r="AI50" s="24"/>
      <c r="AJ50" s="121"/>
      <c r="AK50" s="121"/>
      <c r="AL50" s="24">
        <v>20</v>
      </c>
      <c r="AM50" s="24">
        <v>15</v>
      </c>
      <c r="AN50" s="23">
        <f t="shared" si="23"/>
        <v>97</v>
      </c>
      <c r="AO50" s="25">
        <v>30</v>
      </c>
      <c r="AP50" s="25">
        <v>37</v>
      </c>
      <c r="AQ50" s="25">
        <v>30</v>
      </c>
      <c r="AR50" s="25"/>
      <c r="AS50" s="25">
        <f t="shared" si="24"/>
        <v>97</v>
      </c>
      <c r="AT50" s="13"/>
      <c r="AU50" s="21"/>
      <c r="AV50" s="21"/>
      <c r="AW50" s="21">
        <v>5</v>
      </c>
      <c r="AX50" s="21">
        <v>5</v>
      </c>
      <c r="AY50" s="21">
        <v>5</v>
      </c>
      <c r="AZ50" s="21">
        <v>5</v>
      </c>
      <c r="BA50" s="77"/>
      <c r="BB50" s="21">
        <v>5</v>
      </c>
      <c r="BC50" s="21">
        <v>5</v>
      </c>
      <c r="BD50" s="21">
        <v>5</v>
      </c>
      <c r="BE50" s="21">
        <v>6</v>
      </c>
      <c r="BF50" s="21">
        <v>7</v>
      </c>
      <c r="BG50" s="77"/>
      <c r="BH50" s="77"/>
      <c r="BI50" s="21">
        <v>7</v>
      </c>
      <c r="BJ50" s="21">
        <v>7</v>
      </c>
      <c r="BK50" s="21"/>
      <c r="BL50" s="21"/>
      <c r="BM50" s="21"/>
      <c r="BN50" s="21"/>
      <c r="BO50" s="77"/>
      <c r="BP50" s="21"/>
      <c r="BQ50" s="21"/>
      <c r="BR50" s="21"/>
      <c r="BS50" s="21"/>
      <c r="BT50" s="21"/>
      <c r="BU50" s="21">
        <v>11</v>
      </c>
      <c r="BV50" s="77"/>
      <c r="BW50" s="96">
        <f t="shared" si="16"/>
        <v>73</v>
      </c>
      <c r="BX50" s="94">
        <f t="shared" si="17"/>
        <v>24</v>
      </c>
      <c r="BY50" s="26"/>
      <c r="CA50" s="138" t="s">
        <v>396</v>
      </c>
      <c r="CB50" s="19" t="b">
        <f t="shared" si="25"/>
        <v>1</v>
      </c>
      <c r="CC50" s="19" t="s">
        <v>396</v>
      </c>
      <c r="CD50" s="19" t="s">
        <v>1450</v>
      </c>
      <c r="CE50" s="120" t="s">
        <v>809</v>
      </c>
      <c r="CF50" s="120" t="s">
        <v>810</v>
      </c>
      <c r="CG50" s="120" t="s">
        <v>1451</v>
      </c>
      <c r="CH50" s="120" t="s">
        <v>1410</v>
      </c>
      <c r="CI50" s="120" t="s">
        <v>1422</v>
      </c>
      <c r="CJ50" s="120" t="s">
        <v>1423</v>
      </c>
      <c r="CK50" s="120" t="s">
        <v>1452</v>
      </c>
      <c r="CL50" s="120" t="s">
        <v>1453</v>
      </c>
      <c r="CM50" s="120" t="s">
        <v>1454</v>
      </c>
      <c r="CN50" s="120" t="s">
        <v>1455</v>
      </c>
      <c r="CO50" s="120" t="s">
        <v>1456</v>
      </c>
      <c r="CP50" s="120" t="s">
        <v>1457</v>
      </c>
      <c r="CQ50" s="120" t="s">
        <v>820</v>
      </c>
      <c r="CR50" s="120" t="s">
        <v>821</v>
      </c>
      <c r="CS50" s="120" t="s">
        <v>1433</v>
      </c>
      <c r="CT50" s="120" t="s">
        <v>1434</v>
      </c>
      <c r="CU50" s="120" t="s">
        <v>1458</v>
      </c>
      <c r="CV50" s="120" t="s">
        <v>1459</v>
      </c>
      <c r="CW50" s="120"/>
      <c r="CX50" s="120"/>
      <c r="CY50" s="120"/>
      <c r="CZ50" s="120"/>
      <c r="DA50" s="120"/>
      <c r="DB50" s="120"/>
      <c r="DC50" s="120"/>
      <c r="DD50" s="120"/>
      <c r="DE50" s="18"/>
      <c r="DF50" s="18"/>
    </row>
    <row r="51" spans="1:110" s="7" customFormat="1" x14ac:dyDescent="0.25">
      <c r="A51" s="19" t="s">
        <v>2200</v>
      </c>
      <c r="B51" s="19" t="s">
        <v>91</v>
      </c>
      <c r="C51" s="19" t="str">
        <f t="shared" si="22"/>
        <v>85802906Sri Lanka</v>
      </c>
      <c r="D51" s="19">
        <v>85802906</v>
      </c>
      <c r="E51" s="19" t="s">
        <v>2066</v>
      </c>
      <c r="F51" s="19" t="s">
        <v>2216</v>
      </c>
      <c r="G51" s="20" t="s">
        <v>2216</v>
      </c>
      <c r="H51" s="136" t="s">
        <v>2234</v>
      </c>
      <c r="I51" s="19" t="s">
        <v>230</v>
      </c>
      <c r="J51" s="19" t="s">
        <v>337</v>
      </c>
      <c r="K51" s="19" t="s">
        <v>2202</v>
      </c>
      <c r="L51" s="19" t="s">
        <v>332</v>
      </c>
      <c r="M51" s="19" t="s">
        <v>2220</v>
      </c>
      <c r="N51" s="19" t="s">
        <v>247</v>
      </c>
      <c r="O51" s="19" t="s">
        <v>335</v>
      </c>
      <c r="P51" s="19" t="s">
        <v>237</v>
      </c>
      <c r="Q51" s="19" t="s">
        <v>330</v>
      </c>
      <c r="R51" s="19">
        <v>3900</v>
      </c>
      <c r="S51" s="19" t="s">
        <v>239</v>
      </c>
      <c r="T51" s="19" t="s">
        <v>240</v>
      </c>
      <c r="U51" s="20" t="s">
        <v>240</v>
      </c>
      <c r="V51" s="19" t="s">
        <v>2224</v>
      </c>
      <c r="W51" s="19"/>
      <c r="X51" s="35"/>
      <c r="Y51" s="35"/>
      <c r="Z51" s="32"/>
      <c r="AA51" s="22"/>
      <c r="AB51" s="22"/>
      <c r="AC51" s="22"/>
      <c r="AD51" s="22">
        <v>1</v>
      </c>
      <c r="AE51" s="60">
        <v>1</v>
      </c>
      <c r="AF51" s="22"/>
      <c r="AG51" s="40">
        <v>1</v>
      </c>
      <c r="AH51" s="24"/>
      <c r="AI51" s="24"/>
      <c r="AJ51" s="121"/>
      <c r="AK51" s="121"/>
      <c r="AL51" s="24"/>
      <c r="AM51" s="24"/>
      <c r="AN51" s="23">
        <f t="shared" si="23"/>
        <v>1</v>
      </c>
      <c r="AO51" s="25"/>
      <c r="AP51" s="25"/>
      <c r="AQ51" s="25"/>
      <c r="AR51" s="25"/>
      <c r="AS51" s="25">
        <f t="shared" si="24"/>
        <v>0</v>
      </c>
      <c r="AT51" s="13"/>
      <c r="AU51" s="21"/>
      <c r="AV51" s="21"/>
      <c r="AW51" s="21"/>
      <c r="AX51" s="21"/>
      <c r="AY51" s="21"/>
      <c r="AZ51" s="21"/>
      <c r="BA51" s="77"/>
      <c r="BB51" s="21"/>
      <c r="BC51" s="21"/>
      <c r="BD51" s="21"/>
      <c r="BE51" s="21"/>
      <c r="BF51" s="21"/>
      <c r="BG51" s="77"/>
      <c r="BH51" s="77"/>
      <c r="BI51" s="21"/>
      <c r="BJ51" s="21"/>
      <c r="BK51" s="21"/>
      <c r="BL51" s="21"/>
      <c r="BM51" s="21"/>
      <c r="BN51" s="21"/>
      <c r="BO51" s="77"/>
      <c r="BP51" s="21"/>
      <c r="BQ51" s="21"/>
      <c r="BR51" s="21"/>
      <c r="BS51" s="21"/>
      <c r="BT51" s="21"/>
      <c r="BU51" s="21"/>
      <c r="BV51" s="77"/>
      <c r="BW51" s="96">
        <f t="shared" si="16"/>
        <v>0</v>
      </c>
      <c r="BX51" s="94">
        <f t="shared" si="17"/>
        <v>0</v>
      </c>
      <c r="BY51" s="26" t="s">
        <v>2288</v>
      </c>
      <c r="CA51" s="138" t="s">
        <v>2216</v>
      </c>
      <c r="CB51" s="19" t="b">
        <f t="shared" si="25"/>
        <v>1</v>
      </c>
      <c r="CC51" s="19" t="s">
        <v>2216</v>
      </c>
      <c r="CD51" s="19" t="s">
        <v>2275</v>
      </c>
      <c r="CE51" s="120" t="s">
        <v>809</v>
      </c>
      <c r="CF51" s="120" t="s">
        <v>810</v>
      </c>
      <c r="CG51" s="120" t="s">
        <v>2272</v>
      </c>
      <c r="CH51" s="120" t="s">
        <v>2222</v>
      </c>
      <c r="CI51" s="120" t="s">
        <v>530</v>
      </c>
      <c r="CJ51" s="120" t="s">
        <v>531</v>
      </c>
      <c r="CK51" s="120"/>
      <c r="CL51" s="120"/>
      <c r="CM51" s="120" t="s">
        <v>2276</v>
      </c>
      <c r="CN51" s="120" t="s">
        <v>2277</v>
      </c>
      <c r="CO51" s="120" t="s">
        <v>2278</v>
      </c>
      <c r="CP51" s="120" t="s">
        <v>2279</v>
      </c>
      <c r="CQ51" s="120" t="s">
        <v>820</v>
      </c>
      <c r="CR51" s="120" t="s">
        <v>821</v>
      </c>
      <c r="CS51" s="120" t="s">
        <v>2273</v>
      </c>
      <c r="CT51" s="120" t="s">
        <v>2274</v>
      </c>
      <c r="CU51" s="120" t="s">
        <v>2280</v>
      </c>
      <c r="CV51" s="120" t="s">
        <v>2281</v>
      </c>
      <c r="CW51" s="120"/>
      <c r="CX51" s="120"/>
      <c r="CY51" s="120"/>
      <c r="CZ51" s="120"/>
      <c r="DA51" s="120"/>
      <c r="DB51" s="120"/>
      <c r="DC51" s="120"/>
      <c r="DD51" s="120"/>
      <c r="DE51" s="18"/>
      <c r="DF51" s="18"/>
    </row>
    <row r="52" spans="1:110" s="7" customFormat="1" x14ac:dyDescent="0.25">
      <c r="A52" s="19" t="s">
        <v>224</v>
      </c>
      <c r="B52" s="19" t="s">
        <v>224</v>
      </c>
      <c r="C52" s="19" t="str">
        <f t="shared" si="22"/>
        <v>91853504NPI Proj</v>
      </c>
      <c r="D52" s="19">
        <v>91853504</v>
      </c>
      <c r="E52" s="19" t="s">
        <v>2066</v>
      </c>
      <c r="F52" s="19" t="s">
        <v>2217</v>
      </c>
      <c r="G52" s="20" t="s">
        <v>2217</v>
      </c>
      <c r="H52" s="136" t="s">
        <v>2234</v>
      </c>
      <c r="I52" s="19" t="s">
        <v>230</v>
      </c>
      <c r="J52" s="19" t="s">
        <v>243</v>
      </c>
      <c r="K52" s="19" t="s">
        <v>2221</v>
      </c>
      <c r="L52" s="19" t="s">
        <v>264</v>
      </c>
      <c r="M52" s="19" t="s">
        <v>298</v>
      </c>
      <c r="N52" s="19" t="s">
        <v>247</v>
      </c>
      <c r="O52" s="19" t="s">
        <v>335</v>
      </c>
      <c r="P52" s="19" t="s">
        <v>237</v>
      </c>
      <c r="Q52" s="19" t="s">
        <v>330</v>
      </c>
      <c r="R52" s="19">
        <v>3900</v>
      </c>
      <c r="S52" s="19" t="s">
        <v>239</v>
      </c>
      <c r="T52" s="19" t="s">
        <v>240</v>
      </c>
      <c r="U52" s="20" t="s">
        <v>240</v>
      </c>
      <c r="V52" s="19" t="s">
        <v>2218</v>
      </c>
      <c r="W52" s="19"/>
      <c r="X52" s="35"/>
      <c r="Y52" s="35"/>
      <c r="Z52" s="32"/>
      <c r="AA52" s="22">
        <v>2</v>
      </c>
      <c r="AB52" s="22"/>
      <c r="AC52" s="22"/>
      <c r="AD52" s="22"/>
      <c r="AE52" s="60">
        <v>2</v>
      </c>
      <c r="AF52" s="22"/>
      <c r="AG52" s="40">
        <v>2</v>
      </c>
      <c r="AH52" s="24"/>
      <c r="AI52" s="24"/>
      <c r="AJ52" s="121"/>
      <c r="AK52" s="121"/>
      <c r="AL52" s="24"/>
      <c r="AM52" s="24"/>
      <c r="AN52" s="23">
        <f t="shared" si="23"/>
        <v>2</v>
      </c>
      <c r="AO52" s="25"/>
      <c r="AP52" s="25"/>
      <c r="AQ52" s="25">
        <v>2</v>
      </c>
      <c r="AR52" s="25"/>
      <c r="AS52" s="25">
        <f t="shared" si="24"/>
        <v>2</v>
      </c>
      <c r="AT52" s="13"/>
      <c r="AU52" s="21"/>
      <c r="AV52" s="21"/>
      <c r="AW52" s="21"/>
      <c r="AX52" s="21"/>
      <c r="AY52" s="21"/>
      <c r="AZ52" s="21"/>
      <c r="BA52" s="77"/>
      <c r="BB52" s="21"/>
      <c r="BC52" s="21"/>
      <c r="BD52" s="21"/>
      <c r="BE52" s="21"/>
      <c r="BF52" s="21"/>
      <c r="BG52" s="77"/>
      <c r="BH52" s="77"/>
      <c r="BI52" s="21"/>
      <c r="BJ52" s="21"/>
      <c r="BK52" s="21"/>
      <c r="BL52" s="21"/>
      <c r="BM52" s="21">
        <v>1</v>
      </c>
      <c r="BN52" s="21">
        <v>1</v>
      </c>
      <c r="BO52" s="77"/>
      <c r="BP52" s="21"/>
      <c r="BQ52" s="21"/>
      <c r="BR52" s="21"/>
      <c r="BS52" s="21"/>
      <c r="BT52" s="21"/>
      <c r="BU52" s="21"/>
      <c r="BV52" s="77"/>
      <c r="BW52" s="96">
        <f t="shared" si="16"/>
        <v>2</v>
      </c>
      <c r="BX52" s="94">
        <f t="shared" si="17"/>
        <v>0</v>
      </c>
      <c r="BY52" s="26" t="s">
        <v>2289</v>
      </c>
      <c r="CA52" s="138" t="s">
        <v>2217</v>
      </c>
      <c r="CB52" s="19" t="b">
        <f t="shared" si="25"/>
        <v>1</v>
      </c>
      <c r="CC52" s="19" t="s">
        <v>2217</v>
      </c>
      <c r="CD52" s="19" t="s">
        <v>2282</v>
      </c>
      <c r="CE52" s="120" t="s">
        <v>809</v>
      </c>
      <c r="CF52" s="120" t="s">
        <v>810</v>
      </c>
      <c r="CG52" s="120" t="s">
        <v>1451</v>
      </c>
      <c r="CH52" s="120" t="s">
        <v>1410</v>
      </c>
      <c r="CI52" s="120" t="s">
        <v>1422</v>
      </c>
      <c r="CJ52" s="120" t="s">
        <v>1423</v>
      </c>
      <c r="CK52" s="120" t="s">
        <v>1452</v>
      </c>
      <c r="CL52" s="120" t="s">
        <v>1453</v>
      </c>
      <c r="CM52" s="120" t="s">
        <v>1454</v>
      </c>
      <c r="CN52" s="120" t="s">
        <v>1455</v>
      </c>
      <c r="CO52" s="120" t="s">
        <v>1456</v>
      </c>
      <c r="CP52" s="120" t="s">
        <v>1457</v>
      </c>
      <c r="CQ52" s="120" t="s">
        <v>820</v>
      </c>
      <c r="CR52" s="120" t="s">
        <v>821</v>
      </c>
      <c r="CS52" s="120" t="s">
        <v>1433</v>
      </c>
      <c r="CT52" s="120" t="s">
        <v>1434</v>
      </c>
      <c r="CU52" s="120" t="s">
        <v>1458</v>
      </c>
      <c r="CV52" s="120" t="s">
        <v>1459</v>
      </c>
      <c r="CW52" s="120"/>
      <c r="CX52" s="120"/>
      <c r="CY52" s="120"/>
      <c r="CZ52" s="120"/>
      <c r="DA52" s="120"/>
      <c r="DB52" s="120"/>
      <c r="DC52" s="120"/>
      <c r="DD52" s="120"/>
      <c r="DE52" s="18"/>
      <c r="DF52" s="18"/>
    </row>
    <row r="53" spans="1:110" s="7" customFormat="1" x14ac:dyDescent="0.25">
      <c r="A53" s="19" t="s">
        <v>74</v>
      </c>
      <c r="B53" s="19" t="s">
        <v>2026</v>
      </c>
      <c r="C53" s="19" t="str">
        <f t="shared" si="22"/>
        <v>94903081Jammu and Kashmir (5)</v>
      </c>
      <c r="D53" s="19">
        <v>94903081</v>
      </c>
      <c r="E53" s="19" t="s">
        <v>2066</v>
      </c>
      <c r="F53" s="19" t="s">
        <v>242</v>
      </c>
      <c r="G53" s="20" t="s">
        <v>242</v>
      </c>
      <c r="H53" s="136">
        <v>25</v>
      </c>
      <c r="I53" s="19" t="s">
        <v>230</v>
      </c>
      <c r="J53" s="19" t="s">
        <v>243</v>
      </c>
      <c r="K53" s="19" t="s">
        <v>244</v>
      </c>
      <c r="L53" s="19" t="s">
        <v>245</v>
      </c>
      <c r="M53" s="19" t="s">
        <v>1578</v>
      </c>
      <c r="N53" s="19" t="s">
        <v>247</v>
      </c>
      <c r="O53" s="19" t="s">
        <v>236</v>
      </c>
      <c r="P53" s="19" t="s">
        <v>237</v>
      </c>
      <c r="Q53" s="19" t="s">
        <v>248</v>
      </c>
      <c r="R53" s="19">
        <v>4100</v>
      </c>
      <c r="S53" s="19" t="s">
        <v>239</v>
      </c>
      <c r="T53" s="19" t="s">
        <v>240</v>
      </c>
      <c r="U53" s="20" t="s">
        <v>240</v>
      </c>
      <c r="V53" s="19" t="s">
        <v>2028</v>
      </c>
      <c r="W53" s="19" t="s">
        <v>219</v>
      </c>
      <c r="X53" s="35"/>
      <c r="Y53" s="35"/>
      <c r="Z53" s="32"/>
      <c r="AA53" s="22">
        <v>5</v>
      </c>
      <c r="AB53" s="22"/>
      <c r="AC53" s="22"/>
      <c r="AD53" s="22"/>
      <c r="AE53" s="60">
        <v>5</v>
      </c>
      <c r="AF53" s="22"/>
      <c r="AG53" s="40">
        <v>5</v>
      </c>
      <c r="AH53" s="24"/>
      <c r="AI53" s="24"/>
      <c r="AJ53" s="121"/>
      <c r="AK53" s="121"/>
      <c r="AL53" s="24"/>
      <c r="AM53" s="24"/>
      <c r="AN53" s="23">
        <f t="shared" si="23"/>
        <v>5</v>
      </c>
      <c r="AO53" s="25"/>
      <c r="AP53" s="25">
        <v>5</v>
      </c>
      <c r="AQ53" s="25"/>
      <c r="AR53" s="25"/>
      <c r="AS53" s="25">
        <f t="shared" si="24"/>
        <v>5</v>
      </c>
      <c r="AT53" s="13"/>
      <c r="AU53" s="21"/>
      <c r="AV53" s="21"/>
      <c r="AW53" s="21"/>
      <c r="AX53" s="21"/>
      <c r="AY53" s="21"/>
      <c r="AZ53" s="21"/>
      <c r="BA53" s="77"/>
      <c r="BB53" s="21"/>
      <c r="BC53" s="21"/>
      <c r="BD53" s="21">
        <v>2</v>
      </c>
      <c r="BE53" s="21">
        <v>3</v>
      </c>
      <c r="BF53" s="21"/>
      <c r="BG53" s="77"/>
      <c r="BH53" s="77"/>
      <c r="BI53" s="21"/>
      <c r="BJ53" s="21"/>
      <c r="BK53" s="21"/>
      <c r="BL53" s="21"/>
      <c r="BM53" s="21"/>
      <c r="BN53" s="21"/>
      <c r="BO53" s="77"/>
      <c r="BP53" s="21"/>
      <c r="BQ53" s="21"/>
      <c r="BR53" s="21"/>
      <c r="BS53" s="21"/>
      <c r="BT53" s="21"/>
      <c r="BU53" s="21"/>
      <c r="BV53" s="77"/>
      <c r="BW53" s="96">
        <f t="shared" si="16"/>
        <v>5</v>
      </c>
      <c r="BX53" s="94">
        <f t="shared" si="17"/>
        <v>0</v>
      </c>
      <c r="BY53" s="26"/>
      <c r="CA53" s="138" t="s">
        <v>242</v>
      </c>
      <c r="CB53" s="19" t="b">
        <f t="shared" si="25"/>
        <v>1</v>
      </c>
      <c r="CC53" s="19" t="s">
        <v>242</v>
      </c>
      <c r="CD53" s="19" t="s">
        <v>2283</v>
      </c>
      <c r="CE53" s="120" t="s">
        <v>809</v>
      </c>
      <c r="CF53" s="120" t="s">
        <v>810</v>
      </c>
      <c r="CG53" s="120" t="s">
        <v>1415</v>
      </c>
      <c r="CH53" s="120" t="s">
        <v>1410</v>
      </c>
      <c r="CI53" s="120" t="s">
        <v>898</v>
      </c>
      <c r="CJ53" s="120" t="s">
        <v>899</v>
      </c>
      <c r="CK53" s="120" t="s">
        <v>1461</v>
      </c>
      <c r="CL53" s="120" t="s">
        <v>1462</v>
      </c>
      <c r="CM53" s="120" t="s">
        <v>1463</v>
      </c>
      <c r="CN53" s="120" t="s">
        <v>1464</v>
      </c>
      <c r="CO53" s="120" t="s">
        <v>1465</v>
      </c>
      <c r="CP53" s="120" t="s">
        <v>1466</v>
      </c>
      <c r="CQ53" s="120" t="s">
        <v>820</v>
      </c>
      <c r="CR53" s="120" t="s">
        <v>821</v>
      </c>
      <c r="CS53" s="120" t="s">
        <v>1467</v>
      </c>
      <c r="CT53" s="120" t="s">
        <v>1468</v>
      </c>
      <c r="CU53" s="120" t="s">
        <v>1430</v>
      </c>
      <c r="CV53" s="120" t="s">
        <v>1431</v>
      </c>
      <c r="CW53" s="120"/>
      <c r="CX53" s="120"/>
      <c r="CY53" s="120"/>
      <c r="CZ53" s="120"/>
      <c r="DA53" s="120"/>
      <c r="DB53" s="120"/>
      <c r="DC53" s="120"/>
      <c r="DD53" s="120"/>
      <c r="DE53" s="18"/>
      <c r="DF53" s="18"/>
    </row>
    <row r="54" spans="1:110" s="7" customFormat="1" x14ac:dyDescent="0.25">
      <c r="A54" s="19" t="s">
        <v>228</v>
      </c>
      <c r="B54" s="19" t="s">
        <v>80</v>
      </c>
      <c r="C54" s="19" t="str">
        <f t="shared" ref="C54:C57" si="26">D54&amp;B54</f>
        <v>94950063India</v>
      </c>
      <c r="D54" s="19">
        <v>94950063</v>
      </c>
      <c r="E54" s="19" t="s">
        <v>2066</v>
      </c>
      <c r="F54" s="19" t="s">
        <v>415</v>
      </c>
      <c r="G54" s="20" t="s">
        <v>415</v>
      </c>
      <c r="H54" s="136">
        <v>1743</v>
      </c>
      <c r="I54" s="19" t="s">
        <v>230</v>
      </c>
      <c r="J54" s="19" t="s">
        <v>243</v>
      </c>
      <c r="K54" s="19" t="s">
        <v>399</v>
      </c>
      <c r="L54" s="19" t="s">
        <v>264</v>
      </c>
      <c r="M54" s="19" t="s">
        <v>298</v>
      </c>
      <c r="N54" s="19" t="s">
        <v>247</v>
      </c>
      <c r="O54" s="19" t="s">
        <v>335</v>
      </c>
      <c r="P54" s="19" t="s">
        <v>237</v>
      </c>
      <c r="Q54" s="19" t="s">
        <v>248</v>
      </c>
      <c r="R54" s="19">
        <v>4100</v>
      </c>
      <c r="S54" s="19" t="s">
        <v>239</v>
      </c>
      <c r="T54" s="19" t="s">
        <v>240</v>
      </c>
      <c r="U54" s="20" t="s">
        <v>240</v>
      </c>
      <c r="V54" s="19" t="s">
        <v>151</v>
      </c>
      <c r="W54" s="19" t="s">
        <v>221</v>
      </c>
      <c r="X54" s="35">
        <v>190</v>
      </c>
      <c r="Y54" s="35">
        <v>145</v>
      </c>
      <c r="Z54" s="32"/>
      <c r="AA54" s="22">
        <v>45</v>
      </c>
      <c r="AB54" s="22">
        <v>38</v>
      </c>
      <c r="AC54" s="22">
        <v>36</v>
      </c>
      <c r="AD54" s="22">
        <v>31</v>
      </c>
      <c r="AE54" s="60">
        <v>150</v>
      </c>
      <c r="AF54" s="22"/>
      <c r="AG54" s="40">
        <v>150</v>
      </c>
      <c r="AH54" s="24"/>
      <c r="AI54" s="24"/>
      <c r="AJ54" s="121"/>
      <c r="AK54" s="121"/>
      <c r="AL54" s="24">
        <v>50</v>
      </c>
      <c r="AM54" s="24">
        <v>25</v>
      </c>
      <c r="AN54" s="23">
        <f t="shared" ref="AN54:AN57" si="27">AG54-AJ54-AK54+AL54+AM54</f>
        <v>225</v>
      </c>
      <c r="AO54" s="25">
        <v>100</v>
      </c>
      <c r="AP54" s="25">
        <v>100</v>
      </c>
      <c r="AQ54" s="25"/>
      <c r="AR54" s="25">
        <v>25</v>
      </c>
      <c r="AS54" s="25">
        <f t="shared" ref="AS54:AS57" si="28">SUM(AO54:AR54)</f>
        <v>225</v>
      </c>
      <c r="AT54" s="13"/>
      <c r="AU54" s="21"/>
      <c r="AV54" s="21">
        <v>10</v>
      </c>
      <c r="AW54" s="21">
        <v>15</v>
      </c>
      <c r="AX54" s="21">
        <v>15</v>
      </c>
      <c r="AY54" s="21">
        <v>15</v>
      </c>
      <c r="AZ54" s="21">
        <v>15</v>
      </c>
      <c r="BA54" s="77"/>
      <c r="BB54" s="21">
        <v>15</v>
      </c>
      <c r="BC54" s="21">
        <v>15</v>
      </c>
      <c r="BD54" s="21">
        <v>10</v>
      </c>
      <c r="BE54" s="21">
        <v>10</v>
      </c>
      <c r="BF54" s="21">
        <v>10</v>
      </c>
      <c r="BG54" s="77"/>
      <c r="BH54" s="77"/>
      <c r="BI54" s="21">
        <v>10</v>
      </c>
      <c r="BJ54" s="21">
        <v>10</v>
      </c>
      <c r="BK54" s="21"/>
      <c r="BL54" s="21"/>
      <c r="BM54" s="21"/>
      <c r="BN54" s="21"/>
      <c r="BO54" s="77"/>
      <c r="BP54" s="21"/>
      <c r="BQ54" s="21"/>
      <c r="BR54" s="21"/>
      <c r="BS54" s="21"/>
      <c r="BT54" s="21"/>
      <c r="BU54" s="21">
        <v>25</v>
      </c>
      <c r="BV54" s="77"/>
      <c r="BW54" s="96">
        <f t="shared" si="16"/>
        <v>175</v>
      </c>
      <c r="BX54" s="94">
        <f t="shared" si="17"/>
        <v>50</v>
      </c>
      <c r="BY54" s="26"/>
      <c r="CA54" s="138" t="s">
        <v>415</v>
      </c>
      <c r="CB54" s="19" t="b">
        <f t="shared" ref="CB54:CB57" si="29">CC54=CA54</f>
        <v>1</v>
      </c>
      <c r="CC54" s="19" t="s">
        <v>415</v>
      </c>
      <c r="CD54" s="19" t="s">
        <v>1484</v>
      </c>
      <c r="CE54" s="120" t="s">
        <v>809</v>
      </c>
      <c r="CF54" s="120" t="s">
        <v>810</v>
      </c>
      <c r="CG54" s="120" t="s">
        <v>1451</v>
      </c>
      <c r="CH54" s="120" t="s">
        <v>1410</v>
      </c>
      <c r="CI54" s="120" t="s">
        <v>1422</v>
      </c>
      <c r="CJ54" s="120" t="s">
        <v>1423</v>
      </c>
      <c r="CK54" s="120" t="s">
        <v>1452</v>
      </c>
      <c r="CL54" s="120" t="s">
        <v>1453</v>
      </c>
      <c r="CM54" s="120" t="s">
        <v>1482</v>
      </c>
      <c r="CN54" s="120" t="s">
        <v>1483</v>
      </c>
      <c r="CO54" s="120" t="s">
        <v>1456</v>
      </c>
      <c r="CP54" s="120" t="s">
        <v>1457</v>
      </c>
      <c r="CQ54" s="120" t="s">
        <v>820</v>
      </c>
      <c r="CR54" s="120" t="s">
        <v>821</v>
      </c>
      <c r="CS54" s="120" t="s">
        <v>1433</v>
      </c>
      <c r="CT54" s="120" t="s">
        <v>1434</v>
      </c>
      <c r="CU54" s="120" t="s">
        <v>1458</v>
      </c>
      <c r="CV54" s="120" t="s">
        <v>1459</v>
      </c>
      <c r="CW54" s="120"/>
      <c r="CX54" s="120"/>
      <c r="CY54" s="120"/>
      <c r="CZ54" s="120"/>
      <c r="DA54" s="120"/>
      <c r="DB54" s="120"/>
      <c r="DC54" s="120"/>
      <c r="DD54" s="120"/>
      <c r="DE54" s="18"/>
      <c r="DF54" s="18"/>
    </row>
    <row r="55" spans="1:110" s="7" customFormat="1" x14ac:dyDescent="0.25">
      <c r="A55" s="19" t="s">
        <v>228</v>
      </c>
      <c r="B55" s="19" t="s">
        <v>80</v>
      </c>
      <c r="C55" s="19" t="str">
        <f t="shared" si="26"/>
        <v>99801222India</v>
      </c>
      <c r="D55" s="19">
        <v>99801222</v>
      </c>
      <c r="E55" s="19" t="s">
        <v>400</v>
      </c>
      <c r="F55" s="19" t="s">
        <v>401</v>
      </c>
      <c r="G55" s="20" t="s">
        <v>400</v>
      </c>
      <c r="H55" s="136">
        <v>288</v>
      </c>
      <c r="I55" s="19" t="s">
        <v>230</v>
      </c>
      <c r="J55" s="19" t="s">
        <v>231</v>
      </c>
      <c r="K55" s="19" t="s">
        <v>402</v>
      </c>
      <c r="L55" s="19" t="s">
        <v>252</v>
      </c>
      <c r="M55" s="19" t="s">
        <v>298</v>
      </c>
      <c r="N55" s="19" t="s">
        <v>235</v>
      </c>
      <c r="O55" s="19" t="s">
        <v>368</v>
      </c>
      <c r="P55" s="19" t="s">
        <v>237</v>
      </c>
      <c r="Q55" s="19" t="s">
        <v>403</v>
      </c>
      <c r="R55" s="19">
        <v>4900</v>
      </c>
      <c r="S55" s="19" t="s">
        <v>239</v>
      </c>
      <c r="T55" s="19" t="s">
        <v>263</v>
      </c>
      <c r="U55" s="20" t="s">
        <v>263</v>
      </c>
      <c r="V55" s="19" t="s">
        <v>146</v>
      </c>
      <c r="W55" s="19" t="s">
        <v>221</v>
      </c>
      <c r="X55" s="35">
        <v>42</v>
      </c>
      <c r="Y55" s="35">
        <v>37</v>
      </c>
      <c r="Z55" s="32"/>
      <c r="AA55" s="22">
        <v>5</v>
      </c>
      <c r="AB55" s="22">
        <v>15</v>
      </c>
      <c r="AC55" s="22">
        <v>8</v>
      </c>
      <c r="AD55" s="22">
        <v>9</v>
      </c>
      <c r="AE55" s="60">
        <f t="shared" ref="AE55:AE57" si="30">SUM(AA55:AD55)</f>
        <v>37</v>
      </c>
      <c r="AF55" s="22"/>
      <c r="AG55" s="40">
        <f t="shared" ref="AG55:AG57" si="31">AE55+AF55</f>
        <v>37</v>
      </c>
      <c r="AH55" s="24"/>
      <c r="AI55" s="24"/>
      <c r="AJ55" s="121"/>
      <c r="AK55" s="121"/>
      <c r="AL55" s="24">
        <v>25</v>
      </c>
      <c r="AM55" s="24"/>
      <c r="AN55" s="23">
        <f t="shared" si="27"/>
        <v>62</v>
      </c>
      <c r="AO55" s="25">
        <v>22</v>
      </c>
      <c r="AP55" s="25">
        <v>15</v>
      </c>
      <c r="AQ55" s="25">
        <v>15</v>
      </c>
      <c r="AR55" s="25">
        <v>10</v>
      </c>
      <c r="AS55" s="25">
        <f t="shared" si="28"/>
        <v>62</v>
      </c>
      <c r="AT55" s="13"/>
      <c r="AU55" s="21"/>
      <c r="AV55" s="21"/>
      <c r="AW55" s="21">
        <v>2</v>
      </c>
      <c r="AX55" s="21">
        <v>4</v>
      </c>
      <c r="AY55" s="21">
        <v>4</v>
      </c>
      <c r="AZ55" s="21">
        <v>4</v>
      </c>
      <c r="BA55" s="77"/>
      <c r="BB55" s="21">
        <v>4</v>
      </c>
      <c r="BC55" s="21">
        <v>4</v>
      </c>
      <c r="BD55" s="21">
        <v>3</v>
      </c>
      <c r="BE55" s="21">
        <v>3</v>
      </c>
      <c r="BF55" s="21">
        <v>3</v>
      </c>
      <c r="BG55" s="77"/>
      <c r="BH55" s="77"/>
      <c r="BI55" s="21">
        <v>3</v>
      </c>
      <c r="BJ55" s="21">
        <v>3</v>
      </c>
      <c r="BK55" s="21"/>
      <c r="BL55" s="21"/>
      <c r="BM55" s="21"/>
      <c r="BN55" s="21"/>
      <c r="BO55" s="77"/>
      <c r="BP55" s="21"/>
      <c r="BQ55" s="21"/>
      <c r="BR55" s="21"/>
      <c r="BS55" s="21"/>
      <c r="BT55" s="21"/>
      <c r="BU55" s="21">
        <v>8</v>
      </c>
      <c r="BV55" s="77"/>
      <c r="BW55" s="96">
        <f t="shared" si="16"/>
        <v>45</v>
      </c>
      <c r="BX55" s="94">
        <f t="shared" si="17"/>
        <v>17</v>
      </c>
      <c r="BY55" s="26"/>
      <c r="CA55" s="51" t="s">
        <v>400</v>
      </c>
      <c r="CB55" s="19" t="b">
        <f t="shared" si="29"/>
        <v>1</v>
      </c>
      <c r="CC55" s="19" t="s">
        <v>400</v>
      </c>
      <c r="CD55" s="19" t="s">
        <v>808</v>
      </c>
      <c r="CE55" s="120" t="s">
        <v>809</v>
      </c>
      <c r="CF55" s="120" t="s">
        <v>810</v>
      </c>
      <c r="CG55" s="120" t="s">
        <v>811</v>
      </c>
      <c r="CH55" s="120" t="s">
        <v>807</v>
      </c>
      <c r="CI55" s="120" t="s">
        <v>812</v>
      </c>
      <c r="CJ55" s="120" t="s">
        <v>813</v>
      </c>
      <c r="CK55" s="120" t="s">
        <v>814</v>
      </c>
      <c r="CL55" s="120" t="s">
        <v>815</v>
      </c>
      <c r="CM55" s="120" t="s">
        <v>816</v>
      </c>
      <c r="CN55" s="120" t="s">
        <v>817</v>
      </c>
      <c r="CO55" s="120" t="s">
        <v>818</v>
      </c>
      <c r="CP55" s="120" t="s">
        <v>819</v>
      </c>
      <c r="CQ55" s="120" t="s">
        <v>820</v>
      </c>
      <c r="CR55" s="120" t="s">
        <v>821</v>
      </c>
      <c r="CS55" s="120" t="s">
        <v>822</v>
      </c>
      <c r="CT55" s="120" t="s">
        <v>823</v>
      </c>
      <c r="CU55" s="120" t="s">
        <v>824</v>
      </c>
      <c r="CV55" s="120" t="s">
        <v>825</v>
      </c>
      <c r="CW55" s="120"/>
      <c r="CX55" s="120"/>
      <c r="CY55" s="120"/>
      <c r="CZ55" s="120"/>
      <c r="DA55" s="120"/>
      <c r="DB55" s="120"/>
      <c r="DC55" s="120"/>
      <c r="DD55" s="120"/>
      <c r="DE55" s="18"/>
      <c r="DF55" s="18"/>
    </row>
    <row r="56" spans="1:110" s="7" customFormat="1" x14ac:dyDescent="0.25">
      <c r="A56" s="19" t="s">
        <v>228</v>
      </c>
      <c r="B56" s="19" t="s">
        <v>80</v>
      </c>
      <c r="C56" s="19" t="str">
        <f t="shared" si="26"/>
        <v>99801221India</v>
      </c>
      <c r="D56" s="19">
        <v>99801221</v>
      </c>
      <c r="E56" s="19" t="s">
        <v>400</v>
      </c>
      <c r="F56" s="19" t="s">
        <v>401</v>
      </c>
      <c r="G56" s="20" t="s">
        <v>400</v>
      </c>
      <c r="H56" s="136">
        <v>288</v>
      </c>
      <c r="I56" s="19" t="s">
        <v>230</v>
      </c>
      <c r="J56" s="19" t="s">
        <v>231</v>
      </c>
      <c r="K56" s="19" t="s">
        <v>402</v>
      </c>
      <c r="L56" s="19" t="s">
        <v>252</v>
      </c>
      <c r="M56" s="19" t="s">
        <v>298</v>
      </c>
      <c r="N56" s="19" t="s">
        <v>235</v>
      </c>
      <c r="O56" s="19" t="s">
        <v>398</v>
      </c>
      <c r="P56" s="19" t="s">
        <v>237</v>
      </c>
      <c r="Q56" s="19" t="s">
        <v>403</v>
      </c>
      <c r="R56" s="19">
        <v>4900</v>
      </c>
      <c r="S56" s="19" t="s">
        <v>239</v>
      </c>
      <c r="T56" s="19" t="s">
        <v>263</v>
      </c>
      <c r="U56" s="20" t="s">
        <v>263</v>
      </c>
      <c r="V56" s="19" t="s">
        <v>147</v>
      </c>
      <c r="W56" s="19" t="s">
        <v>222</v>
      </c>
      <c r="X56" s="35">
        <v>18</v>
      </c>
      <c r="Y56" s="35">
        <v>16</v>
      </c>
      <c r="Z56" s="32"/>
      <c r="AA56" s="22">
        <v>3</v>
      </c>
      <c r="AB56" s="22">
        <v>3</v>
      </c>
      <c r="AC56" s="22">
        <v>5</v>
      </c>
      <c r="AD56" s="22">
        <v>5</v>
      </c>
      <c r="AE56" s="60">
        <f t="shared" si="30"/>
        <v>16</v>
      </c>
      <c r="AF56" s="22"/>
      <c r="AG56" s="40">
        <f t="shared" si="31"/>
        <v>16</v>
      </c>
      <c r="AH56" s="24"/>
      <c r="AI56" s="24"/>
      <c r="AJ56" s="121"/>
      <c r="AK56" s="121"/>
      <c r="AL56" s="24">
        <v>15</v>
      </c>
      <c r="AM56" s="24"/>
      <c r="AN56" s="23">
        <f t="shared" si="27"/>
        <v>31</v>
      </c>
      <c r="AO56" s="25">
        <v>11</v>
      </c>
      <c r="AP56" s="25">
        <v>10</v>
      </c>
      <c r="AQ56" s="25">
        <v>10</v>
      </c>
      <c r="AR56" s="25"/>
      <c r="AS56" s="25">
        <f t="shared" si="28"/>
        <v>31</v>
      </c>
      <c r="AT56" s="13"/>
      <c r="AU56" s="21"/>
      <c r="AV56" s="21"/>
      <c r="AW56" s="21">
        <v>2</v>
      </c>
      <c r="AX56" s="21">
        <v>3</v>
      </c>
      <c r="AY56" s="21">
        <v>3</v>
      </c>
      <c r="AZ56" s="21">
        <v>3</v>
      </c>
      <c r="BA56" s="77"/>
      <c r="BB56" s="21"/>
      <c r="BC56" s="21"/>
      <c r="BD56" s="21">
        <v>2</v>
      </c>
      <c r="BE56" s="21">
        <v>3</v>
      </c>
      <c r="BF56" s="21"/>
      <c r="BG56" s="77"/>
      <c r="BH56" s="77"/>
      <c r="BI56" s="21"/>
      <c r="BJ56" s="21"/>
      <c r="BK56" s="21"/>
      <c r="BL56" s="21"/>
      <c r="BM56" s="21"/>
      <c r="BN56" s="21"/>
      <c r="BO56" s="77"/>
      <c r="BP56" s="21"/>
      <c r="BQ56" s="21"/>
      <c r="BR56" s="21"/>
      <c r="BS56" s="21"/>
      <c r="BT56" s="21"/>
      <c r="BU56" s="21">
        <v>5</v>
      </c>
      <c r="BV56" s="77"/>
      <c r="BW56" s="96">
        <f t="shared" si="16"/>
        <v>21</v>
      </c>
      <c r="BX56" s="94">
        <f t="shared" si="17"/>
        <v>10</v>
      </c>
      <c r="BY56" s="26"/>
      <c r="CA56" s="51" t="s">
        <v>400</v>
      </c>
      <c r="CB56" s="19" t="b">
        <f t="shared" si="29"/>
        <v>1</v>
      </c>
      <c r="CC56" s="19" t="s">
        <v>400</v>
      </c>
      <c r="CD56" s="19" t="s">
        <v>808</v>
      </c>
      <c r="CE56" s="120" t="s">
        <v>809</v>
      </c>
      <c r="CF56" s="120" t="s">
        <v>810</v>
      </c>
      <c r="CG56" s="120" t="s">
        <v>811</v>
      </c>
      <c r="CH56" s="120" t="s">
        <v>807</v>
      </c>
      <c r="CI56" s="120" t="s">
        <v>812</v>
      </c>
      <c r="CJ56" s="120" t="s">
        <v>813</v>
      </c>
      <c r="CK56" s="120" t="s">
        <v>814</v>
      </c>
      <c r="CL56" s="120" t="s">
        <v>815</v>
      </c>
      <c r="CM56" s="120" t="s">
        <v>816</v>
      </c>
      <c r="CN56" s="120" t="s">
        <v>817</v>
      </c>
      <c r="CO56" s="120" t="s">
        <v>818</v>
      </c>
      <c r="CP56" s="120" t="s">
        <v>819</v>
      </c>
      <c r="CQ56" s="120" t="s">
        <v>820</v>
      </c>
      <c r="CR56" s="120" t="s">
        <v>821</v>
      </c>
      <c r="CS56" s="120" t="s">
        <v>822</v>
      </c>
      <c r="CT56" s="120" t="s">
        <v>823</v>
      </c>
      <c r="CU56" s="120" t="s">
        <v>824</v>
      </c>
      <c r="CV56" s="120" t="s">
        <v>825</v>
      </c>
      <c r="CW56" s="120"/>
      <c r="CX56" s="120"/>
      <c r="CY56" s="120"/>
      <c r="CZ56" s="120"/>
      <c r="DA56" s="120"/>
      <c r="DB56" s="120"/>
      <c r="DC56" s="120"/>
      <c r="DD56" s="120"/>
      <c r="DE56" s="18"/>
      <c r="DF56" s="18"/>
    </row>
    <row r="57" spans="1:110" s="7" customFormat="1" x14ac:dyDescent="0.25">
      <c r="A57" s="19" t="s">
        <v>228</v>
      </c>
      <c r="B57" s="19" t="s">
        <v>80</v>
      </c>
      <c r="C57" s="19" t="str">
        <f t="shared" si="26"/>
        <v>99850161India</v>
      </c>
      <c r="D57" s="19">
        <v>99850161</v>
      </c>
      <c r="E57" s="19" t="s">
        <v>406</v>
      </c>
      <c r="F57" s="19" t="s">
        <v>407</v>
      </c>
      <c r="G57" s="20" t="s">
        <v>406</v>
      </c>
      <c r="H57" s="136">
        <v>7</v>
      </c>
      <c r="I57" s="19" t="s">
        <v>230</v>
      </c>
      <c r="J57" s="19" t="s">
        <v>231</v>
      </c>
      <c r="K57" s="19" t="s">
        <v>402</v>
      </c>
      <c r="L57" s="19" t="s">
        <v>252</v>
      </c>
      <c r="M57" s="19" t="s">
        <v>298</v>
      </c>
      <c r="N57" s="19" t="s">
        <v>235</v>
      </c>
      <c r="O57" s="19" t="s">
        <v>368</v>
      </c>
      <c r="P57" s="19" t="s">
        <v>237</v>
      </c>
      <c r="Q57" s="19" t="s">
        <v>403</v>
      </c>
      <c r="R57" s="19">
        <v>4900</v>
      </c>
      <c r="S57" s="19" t="s">
        <v>239</v>
      </c>
      <c r="T57" s="19" t="s">
        <v>263</v>
      </c>
      <c r="U57" s="20" t="s">
        <v>263</v>
      </c>
      <c r="V57" s="19" t="s">
        <v>148</v>
      </c>
      <c r="W57" s="19" t="s">
        <v>222</v>
      </c>
      <c r="X57" s="35">
        <v>6</v>
      </c>
      <c r="Y57" s="35">
        <v>6</v>
      </c>
      <c r="Z57" s="32"/>
      <c r="AA57" s="22">
        <v>1</v>
      </c>
      <c r="AB57" s="22">
        <v>2</v>
      </c>
      <c r="AC57" s="22">
        <v>1</v>
      </c>
      <c r="AD57" s="22">
        <v>2</v>
      </c>
      <c r="AE57" s="60">
        <f t="shared" si="30"/>
        <v>6</v>
      </c>
      <c r="AF57" s="22"/>
      <c r="AG57" s="40">
        <f t="shared" si="31"/>
        <v>6</v>
      </c>
      <c r="AH57" s="24"/>
      <c r="AI57" s="24"/>
      <c r="AJ57" s="121"/>
      <c r="AK57" s="121"/>
      <c r="AL57" s="24"/>
      <c r="AM57" s="24"/>
      <c r="AN57" s="23">
        <f t="shared" si="27"/>
        <v>6</v>
      </c>
      <c r="AO57" s="25"/>
      <c r="AP57" s="25"/>
      <c r="AQ57" s="25">
        <v>6</v>
      </c>
      <c r="AR57" s="25"/>
      <c r="AS57" s="25">
        <f t="shared" si="28"/>
        <v>6</v>
      </c>
      <c r="AT57" s="13"/>
      <c r="AU57" s="21"/>
      <c r="AV57" s="21"/>
      <c r="AW57" s="21"/>
      <c r="AX57" s="21"/>
      <c r="AY57" s="21"/>
      <c r="AZ57" s="21"/>
      <c r="BA57" s="77"/>
      <c r="BB57" s="21"/>
      <c r="BC57" s="21"/>
      <c r="BD57" s="21"/>
      <c r="BE57" s="21"/>
      <c r="BF57" s="21"/>
      <c r="BG57" s="77"/>
      <c r="BH57" s="77"/>
      <c r="BI57" s="21"/>
      <c r="BJ57" s="21"/>
      <c r="BK57" s="21">
        <v>3</v>
      </c>
      <c r="BL57" s="21">
        <v>3</v>
      </c>
      <c r="BM57" s="21"/>
      <c r="BN57" s="21"/>
      <c r="BO57" s="77"/>
      <c r="BP57" s="21"/>
      <c r="BQ57" s="21"/>
      <c r="BR57" s="21"/>
      <c r="BS57" s="21"/>
      <c r="BT57" s="21"/>
      <c r="BU57" s="21"/>
      <c r="BV57" s="77"/>
      <c r="BW57" s="96">
        <f t="shared" si="16"/>
        <v>6</v>
      </c>
      <c r="BX57" s="94">
        <f t="shared" si="17"/>
        <v>0</v>
      </c>
      <c r="BY57" s="26"/>
      <c r="CA57" s="51" t="s">
        <v>406</v>
      </c>
      <c r="CB57" s="19" t="b">
        <f t="shared" si="29"/>
        <v>1</v>
      </c>
      <c r="CC57" s="19" t="s">
        <v>406</v>
      </c>
      <c r="CD57" s="19" t="s">
        <v>831</v>
      </c>
      <c r="CE57" s="120" t="s">
        <v>809</v>
      </c>
      <c r="CF57" s="120" t="s">
        <v>810</v>
      </c>
      <c r="CG57" s="120" t="s">
        <v>811</v>
      </c>
      <c r="CH57" s="120" t="s">
        <v>807</v>
      </c>
      <c r="CI57" s="120" t="s">
        <v>812</v>
      </c>
      <c r="CJ57" s="120" t="s">
        <v>813</v>
      </c>
      <c r="CK57" s="120" t="s">
        <v>814</v>
      </c>
      <c r="CL57" s="120" t="s">
        <v>815</v>
      </c>
      <c r="CM57" s="120" t="s">
        <v>816</v>
      </c>
      <c r="CN57" s="120" t="s">
        <v>817</v>
      </c>
      <c r="CO57" s="120" t="s">
        <v>818</v>
      </c>
      <c r="CP57" s="120" t="s">
        <v>819</v>
      </c>
      <c r="CQ57" s="120" t="s">
        <v>820</v>
      </c>
      <c r="CR57" s="120" t="s">
        <v>821</v>
      </c>
      <c r="CS57" s="120" t="s">
        <v>829</v>
      </c>
      <c r="CT57" s="120" t="s">
        <v>830</v>
      </c>
      <c r="CU57" s="120" t="s">
        <v>824</v>
      </c>
      <c r="CV57" s="120" t="s">
        <v>825</v>
      </c>
      <c r="CW57" s="120"/>
      <c r="CX57" s="120"/>
      <c r="CY57" s="120"/>
      <c r="CZ57" s="120"/>
      <c r="DA57" s="120"/>
      <c r="DB57" s="120"/>
      <c r="DC57" s="120"/>
      <c r="DD57" s="120"/>
      <c r="DE57" s="18"/>
      <c r="DF57" s="18"/>
    </row>
    <row r="58" spans="1:110" s="7" customFormat="1" x14ac:dyDescent="0.25">
      <c r="A58" s="19" t="s">
        <v>228</v>
      </c>
      <c r="B58" s="19" t="s">
        <v>80</v>
      </c>
      <c r="C58" s="19" t="str">
        <f t="shared" ref="C58:C75" si="32">D58&amp;B58</f>
        <v>99850268India</v>
      </c>
      <c r="D58" s="19">
        <v>99850268</v>
      </c>
      <c r="E58" s="19" t="s">
        <v>408</v>
      </c>
      <c r="F58" s="19" t="s">
        <v>408</v>
      </c>
      <c r="G58" s="20" t="s">
        <v>408</v>
      </c>
      <c r="H58" s="136">
        <v>80</v>
      </c>
      <c r="I58" s="19" t="s">
        <v>230</v>
      </c>
      <c r="J58" s="19" t="s">
        <v>231</v>
      </c>
      <c r="K58" s="19" t="s">
        <v>409</v>
      </c>
      <c r="L58" s="19" t="s">
        <v>252</v>
      </c>
      <c r="M58" s="19" t="s">
        <v>298</v>
      </c>
      <c r="N58" s="19" t="s">
        <v>235</v>
      </c>
      <c r="O58" s="19" t="s">
        <v>368</v>
      </c>
      <c r="P58" s="19" t="s">
        <v>237</v>
      </c>
      <c r="Q58" s="19" t="s">
        <v>410</v>
      </c>
      <c r="R58" s="19">
        <v>5140</v>
      </c>
      <c r="S58" s="19" t="s">
        <v>239</v>
      </c>
      <c r="T58" s="19" t="s">
        <v>240</v>
      </c>
      <c r="U58" s="20" t="s">
        <v>240</v>
      </c>
      <c r="V58" s="19" t="s">
        <v>149</v>
      </c>
      <c r="W58" s="19" t="s">
        <v>222</v>
      </c>
      <c r="X58" s="35">
        <v>11</v>
      </c>
      <c r="Y58" s="35">
        <v>10</v>
      </c>
      <c r="Z58" s="32"/>
      <c r="AA58" s="22"/>
      <c r="AB58" s="22"/>
      <c r="AC58" s="22">
        <v>3</v>
      </c>
      <c r="AD58" s="22">
        <v>7</v>
      </c>
      <c r="AE58" s="60">
        <v>10</v>
      </c>
      <c r="AF58" s="22"/>
      <c r="AG58" s="40">
        <v>10</v>
      </c>
      <c r="AH58" s="24"/>
      <c r="AI58" s="24"/>
      <c r="AJ58" s="121"/>
      <c r="AK58" s="121"/>
      <c r="AL58" s="24">
        <v>10</v>
      </c>
      <c r="AM58" s="24"/>
      <c r="AN58" s="23">
        <f t="shared" ref="AN58:AN75" si="33">AG58-AJ58-AK58+AL58+AM58</f>
        <v>20</v>
      </c>
      <c r="AO58" s="25"/>
      <c r="AP58" s="25">
        <v>5</v>
      </c>
      <c r="AQ58" s="25">
        <v>5</v>
      </c>
      <c r="AR58" s="25">
        <v>10</v>
      </c>
      <c r="AS58" s="25">
        <f t="shared" ref="AS58:AS75" si="34">SUM(AO58:AR58)</f>
        <v>20</v>
      </c>
      <c r="AT58" s="13"/>
      <c r="AU58" s="21"/>
      <c r="AV58" s="21"/>
      <c r="AW58" s="21"/>
      <c r="AX58" s="21"/>
      <c r="AY58" s="21"/>
      <c r="AZ58" s="21"/>
      <c r="BA58" s="77"/>
      <c r="BB58" s="21"/>
      <c r="BC58" s="21"/>
      <c r="BD58" s="21">
        <v>2</v>
      </c>
      <c r="BE58" s="21">
        <v>3</v>
      </c>
      <c r="BF58" s="21"/>
      <c r="BG58" s="77"/>
      <c r="BH58" s="77"/>
      <c r="BI58" s="21"/>
      <c r="BJ58" s="21"/>
      <c r="BK58" s="21">
        <v>2</v>
      </c>
      <c r="BL58" s="21">
        <v>3</v>
      </c>
      <c r="BM58" s="21"/>
      <c r="BN58" s="21"/>
      <c r="BO58" s="77"/>
      <c r="BP58" s="21"/>
      <c r="BQ58" s="21"/>
      <c r="BR58" s="21"/>
      <c r="BS58" s="21"/>
      <c r="BT58" s="21"/>
      <c r="BU58" s="21"/>
      <c r="BV58" s="77"/>
      <c r="BW58" s="96">
        <f t="shared" si="16"/>
        <v>10</v>
      </c>
      <c r="BX58" s="94">
        <f t="shared" si="17"/>
        <v>10</v>
      </c>
      <c r="BY58" s="26"/>
      <c r="CA58" s="138" t="s">
        <v>408</v>
      </c>
      <c r="CB58" s="19" t="b">
        <f t="shared" ref="CB58:CB74" si="35">CC58=CA58</f>
        <v>1</v>
      </c>
      <c r="CC58" s="19" t="s">
        <v>408</v>
      </c>
      <c r="CD58" s="19" t="s">
        <v>1500</v>
      </c>
      <c r="CE58" s="120" t="s">
        <v>809</v>
      </c>
      <c r="CF58" s="120" t="s">
        <v>810</v>
      </c>
      <c r="CG58" s="120" t="s">
        <v>1987</v>
      </c>
      <c r="CH58" s="120" t="s">
        <v>1988</v>
      </c>
      <c r="CI58" s="120" t="s">
        <v>1502</v>
      </c>
      <c r="CJ58" s="120" t="s">
        <v>1503</v>
      </c>
      <c r="CK58" s="120" t="s">
        <v>1504</v>
      </c>
      <c r="CL58" s="120" t="s">
        <v>1505</v>
      </c>
      <c r="CM58" s="120" t="s">
        <v>1506</v>
      </c>
      <c r="CN58" s="120" t="s">
        <v>1507</v>
      </c>
      <c r="CO58" s="120" t="s">
        <v>1508</v>
      </c>
      <c r="CP58" s="120" t="s">
        <v>1509</v>
      </c>
      <c r="CQ58" s="120" t="s">
        <v>820</v>
      </c>
      <c r="CR58" s="120" t="s">
        <v>821</v>
      </c>
      <c r="CS58" s="120" t="s">
        <v>1510</v>
      </c>
      <c r="CT58" s="120" t="s">
        <v>1511</v>
      </c>
      <c r="CU58" s="120" t="s">
        <v>1989</v>
      </c>
      <c r="CV58" s="120" t="s">
        <v>1990</v>
      </c>
      <c r="CW58" s="120"/>
      <c r="CX58" s="120"/>
      <c r="CY58" s="120"/>
      <c r="CZ58" s="120"/>
      <c r="DA58" s="120"/>
      <c r="DB58" s="120"/>
      <c r="DC58" s="120"/>
      <c r="DD58" s="120"/>
      <c r="DE58" s="18"/>
      <c r="DF58" s="18"/>
    </row>
    <row r="59" spans="1:110" s="7" customFormat="1" x14ac:dyDescent="0.25">
      <c r="A59" s="19" t="s">
        <v>228</v>
      </c>
      <c r="B59" s="19" t="s">
        <v>80</v>
      </c>
      <c r="C59" s="19" t="str">
        <f t="shared" si="32"/>
        <v>99850523India</v>
      </c>
      <c r="D59" s="19">
        <v>99850523</v>
      </c>
      <c r="E59" s="19" t="s">
        <v>411</v>
      </c>
      <c r="F59" s="19" t="s">
        <v>412</v>
      </c>
      <c r="G59" s="20" t="s">
        <v>412</v>
      </c>
      <c r="H59" s="136">
        <v>59</v>
      </c>
      <c r="I59" s="19" t="s">
        <v>230</v>
      </c>
      <c r="J59" s="19" t="s">
        <v>231</v>
      </c>
      <c r="K59" s="19" t="s">
        <v>413</v>
      </c>
      <c r="L59" s="19" t="s">
        <v>245</v>
      </c>
      <c r="M59" s="19" t="s">
        <v>298</v>
      </c>
      <c r="N59" s="19" t="s">
        <v>235</v>
      </c>
      <c r="O59" s="19" t="s">
        <v>368</v>
      </c>
      <c r="P59" s="19" t="s">
        <v>237</v>
      </c>
      <c r="Q59" s="19" t="s">
        <v>410</v>
      </c>
      <c r="R59" s="19">
        <v>5140</v>
      </c>
      <c r="S59" s="19" t="s">
        <v>239</v>
      </c>
      <c r="T59" s="19" t="s">
        <v>240</v>
      </c>
      <c r="U59" s="20" t="s">
        <v>240</v>
      </c>
      <c r="V59" s="19" t="s">
        <v>1812</v>
      </c>
      <c r="W59" s="19" t="s">
        <v>222</v>
      </c>
      <c r="X59" s="35">
        <v>26</v>
      </c>
      <c r="Y59" s="35">
        <v>23</v>
      </c>
      <c r="Z59" s="32"/>
      <c r="AA59" s="22">
        <v>1</v>
      </c>
      <c r="AB59" s="22">
        <v>10</v>
      </c>
      <c r="AC59" s="22">
        <v>7</v>
      </c>
      <c r="AD59" s="22">
        <v>5</v>
      </c>
      <c r="AE59" s="60">
        <v>23</v>
      </c>
      <c r="AF59" s="22"/>
      <c r="AG59" s="40">
        <v>23</v>
      </c>
      <c r="AH59" s="24"/>
      <c r="AI59" s="24"/>
      <c r="AJ59" s="121"/>
      <c r="AK59" s="121"/>
      <c r="AL59" s="24">
        <v>20</v>
      </c>
      <c r="AM59" s="24"/>
      <c r="AN59" s="23">
        <f t="shared" si="33"/>
        <v>43</v>
      </c>
      <c r="AO59" s="25">
        <v>13</v>
      </c>
      <c r="AP59" s="25">
        <v>15</v>
      </c>
      <c r="AQ59" s="25">
        <v>15</v>
      </c>
      <c r="AR59" s="25"/>
      <c r="AS59" s="25">
        <f t="shared" si="34"/>
        <v>43</v>
      </c>
      <c r="AT59" s="13"/>
      <c r="AU59" s="21"/>
      <c r="AV59" s="21"/>
      <c r="AW59" s="21">
        <v>2</v>
      </c>
      <c r="AX59" s="21">
        <v>3</v>
      </c>
      <c r="AY59" s="21">
        <v>2</v>
      </c>
      <c r="AZ59" s="21">
        <v>3</v>
      </c>
      <c r="BA59" s="77"/>
      <c r="BB59" s="21">
        <v>3</v>
      </c>
      <c r="BC59" s="21"/>
      <c r="BD59" s="21">
        <v>3</v>
      </c>
      <c r="BE59" s="21">
        <v>3</v>
      </c>
      <c r="BF59" s="21">
        <v>4</v>
      </c>
      <c r="BG59" s="77"/>
      <c r="BH59" s="77"/>
      <c r="BI59" s="21"/>
      <c r="BJ59" s="21"/>
      <c r="BK59" s="21"/>
      <c r="BL59" s="21"/>
      <c r="BM59" s="21"/>
      <c r="BN59" s="21"/>
      <c r="BO59" s="77"/>
      <c r="BP59" s="21"/>
      <c r="BQ59" s="21"/>
      <c r="BR59" s="21"/>
      <c r="BS59" s="21"/>
      <c r="BT59" s="21"/>
      <c r="BU59" s="21">
        <v>6</v>
      </c>
      <c r="BV59" s="77"/>
      <c r="BW59" s="96">
        <f t="shared" si="16"/>
        <v>29</v>
      </c>
      <c r="BX59" s="94">
        <f t="shared" si="17"/>
        <v>14</v>
      </c>
      <c r="BY59" s="26"/>
      <c r="CA59" s="138" t="s">
        <v>412</v>
      </c>
      <c r="CB59" s="19" t="b">
        <f t="shared" si="35"/>
        <v>1</v>
      </c>
      <c r="CC59" s="19" t="s">
        <v>412</v>
      </c>
      <c r="CD59" s="19" t="s">
        <v>1514</v>
      </c>
      <c r="CE59" s="120" t="s">
        <v>809</v>
      </c>
      <c r="CF59" s="120" t="s">
        <v>810</v>
      </c>
      <c r="CG59" s="120" t="s">
        <v>1515</v>
      </c>
      <c r="CH59" s="120" t="s">
        <v>1516</v>
      </c>
      <c r="CI59" s="120" t="s">
        <v>1502</v>
      </c>
      <c r="CJ59" s="120" t="s">
        <v>1503</v>
      </c>
      <c r="CK59" s="120" t="s">
        <v>1517</v>
      </c>
      <c r="CL59" s="120" t="s">
        <v>1518</v>
      </c>
      <c r="CM59" s="120" t="s">
        <v>1519</v>
      </c>
      <c r="CN59" s="120" t="s">
        <v>1520</v>
      </c>
      <c r="CO59" s="120" t="s">
        <v>1521</v>
      </c>
      <c r="CP59" s="120" t="s">
        <v>1522</v>
      </c>
      <c r="CQ59" s="120" t="s">
        <v>820</v>
      </c>
      <c r="CR59" s="120" t="s">
        <v>821</v>
      </c>
      <c r="CS59" s="120" t="s">
        <v>1510</v>
      </c>
      <c r="CT59" s="120" t="s">
        <v>1511</v>
      </c>
      <c r="CU59" s="120" t="s">
        <v>1523</v>
      </c>
      <c r="CV59" s="120" t="s">
        <v>1524</v>
      </c>
      <c r="CW59" s="120"/>
      <c r="CX59" s="120"/>
      <c r="CY59" s="120"/>
      <c r="CZ59" s="120"/>
      <c r="DA59" s="120"/>
      <c r="DB59" s="120"/>
      <c r="DC59" s="120"/>
      <c r="DD59" s="120"/>
      <c r="DE59" s="18"/>
      <c r="DF59" s="18"/>
    </row>
    <row r="60" spans="1:110" s="7" customFormat="1" x14ac:dyDescent="0.25">
      <c r="A60" s="19" t="s">
        <v>228</v>
      </c>
      <c r="B60" s="19" t="s">
        <v>80</v>
      </c>
      <c r="C60" s="19" t="str">
        <f t="shared" si="32"/>
        <v>95058875India</v>
      </c>
      <c r="D60" s="19">
        <v>95058875</v>
      </c>
      <c r="E60" s="19" t="s">
        <v>446</v>
      </c>
      <c r="F60" s="19" t="s">
        <v>2067</v>
      </c>
      <c r="G60" s="20" t="s">
        <v>446</v>
      </c>
      <c r="H60" s="136">
        <v>145</v>
      </c>
      <c r="I60" s="19" t="s">
        <v>230</v>
      </c>
      <c r="J60" s="19" t="s">
        <v>250</v>
      </c>
      <c r="K60" s="19" t="s">
        <v>447</v>
      </c>
      <c r="L60" s="19" t="s">
        <v>332</v>
      </c>
      <c r="M60" s="19" t="s">
        <v>268</v>
      </c>
      <c r="N60" s="19" t="s">
        <v>254</v>
      </c>
      <c r="O60" s="19" t="s">
        <v>275</v>
      </c>
      <c r="P60" s="19" t="s">
        <v>237</v>
      </c>
      <c r="Q60" s="19" t="s">
        <v>448</v>
      </c>
      <c r="R60" s="19">
        <v>5200</v>
      </c>
      <c r="S60" s="19" t="s">
        <v>272</v>
      </c>
      <c r="T60" s="19" t="s">
        <v>263</v>
      </c>
      <c r="U60" s="20" t="s">
        <v>263</v>
      </c>
      <c r="V60" s="19" t="s">
        <v>175</v>
      </c>
      <c r="W60" s="19" t="s">
        <v>221</v>
      </c>
      <c r="X60" s="35">
        <v>2.0000000000000027</v>
      </c>
      <c r="Y60" s="35">
        <v>2.0000000000000027</v>
      </c>
      <c r="Z60" s="32"/>
      <c r="AA60" s="22">
        <v>1.0000000000000013</v>
      </c>
      <c r="AB60" s="22">
        <v>1.0000000000000013</v>
      </c>
      <c r="AC60" s="22"/>
      <c r="AD60" s="22"/>
      <c r="AE60" s="60">
        <f t="shared" ref="AE60:AE62" si="36">SUM(AA60:AD60)</f>
        <v>2.0000000000000027</v>
      </c>
      <c r="AF60" s="22"/>
      <c r="AG60" s="40">
        <f t="shared" ref="AG60:AG62" si="37">AE60+AF60</f>
        <v>2.0000000000000027</v>
      </c>
      <c r="AH60" s="24"/>
      <c r="AI60" s="24"/>
      <c r="AJ60" s="121"/>
      <c r="AK60" s="121"/>
      <c r="AL60" s="24"/>
      <c r="AM60" s="24"/>
      <c r="AN60" s="23">
        <f t="shared" si="33"/>
        <v>2.0000000000000027</v>
      </c>
      <c r="AO60" s="25"/>
      <c r="AP60" s="25"/>
      <c r="AQ60" s="25">
        <v>2</v>
      </c>
      <c r="AR60" s="25"/>
      <c r="AS60" s="25">
        <f t="shared" si="34"/>
        <v>2</v>
      </c>
      <c r="AT60" s="13"/>
      <c r="AU60" s="21"/>
      <c r="AV60" s="21"/>
      <c r="AW60" s="21"/>
      <c r="AX60" s="21"/>
      <c r="AY60" s="21"/>
      <c r="AZ60" s="21"/>
      <c r="BA60" s="77"/>
      <c r="BB60" s="21"/>
      <c r="BC60" s="21"/>
      <c r="BD60" s="21"/>
      <c r="BE60" s="21"/>
      <c r="BF60" s="21"/>
      <c r="BG60" s="77"/>
      <c r="BH60" s="77"/>
      <c r="BI60" s="21"/>
      <c r="BJ60" s="21"/>
      <c r="BK60" s="21">
        <v>2</v>
      </c>
      <c r="BL60" s="21"/>
      <c r="BM60" s="21"/>
      <c r="BN60" s="21"/>
      <c r="BO60" s="77"/>
      <c r="BP60" s="21"/>
      <c r="BQ60" s="21"/>
      <c r="BR60" s="21"/>
      <c r="BS60" s="21"/>
      <c r="BT60" s="21"/>
      <c r="BU60" s="21"/>
      <c r="BV60" s="77"/>
      <c r="BW60" s="96">
        <f t="shared" si="16"/>
        <v>2</v>
      </c>
      <c r="BX60" s="94">
        <f t="shared" si="17"/>
        <v>0</v>
      </c>
      <c r="BY60" s="26"/>
      <c r="CA60" s="51" t="s">
        <v>446</v>
      </c>
      <c r="CB60" s="19" t="b">
        <f t="shared" si="35"/>
        <v>1</v>
      </c>
      <c r="CC60" s="19" t="s">
        <v>446</v>
      </c>
      <c r="CD60" s="19" t="s">
        <v>834</v>
      </c>
      <c r="CE60" s="120" t="s">
        <v>835</v>
      </c>
      <c r="CF60" s="120" t="s">
        <v>836</v>
      </c>
      <c r="CG60" s="120" t="s">
        <v>837</v>
      </c>
      <c r="CH60" s="120" t="s">
        <v>838</v>
      </c>
      <c r="CI60" s="120" t="s">
        <v>839</v>
      </c>
      <c r="CJ60" s="120" t="s">
        <v>840</v>
      </c>
      <c r="CK60" s="120" t="s">
        <v>841</v>
      </c>
      <c r="CL60" s="120" t="s">
        <v>842</v>
      </c>
      <c r="CM60" s="120" t="s">
        <v>2241</v>
      </c>
      <c r="CN60" s="120" t="s">
        <v>2242</v>
      </c>
      <c r="CO60" s="120" t="s">
        <v>845</v>
      </c>
      <c r="CP60" s="120" t="s">
        <v>846</v>
      </c>
      <c r="CQ60" s="120"/>
      <c r="CR60" s="120"/>
      <c r="CS60" s="120" t="s">
        <v>847</v>
      </c>
      <c r="CT60" s="120" t="s">
        <v>848</v>
      </c>
      <c r="CU60" s="120" t="s">
        <v>849</v>
      </c>
      <c r="CV60" s="120" t="s">
        <v>850</v>
      </c>
      <c r="CW60" s="120"/>
      <c r="CX60" s="120"/>
      <c r="CY60" s="120"/>
      <c r="CZ60" s="120"/>
      <c r="DA60" s="120"/>
      <c r="DB60" s="120"/>
      <c r="DC60" s="120"/>
      <c r="DD60" s="120"/>
      <c r="DE60" s="18"/>
      <c r="DF60" s="18"/>
    </row>
    <row r="61" spans="1:110" s="7" customFormat="1" x14ac:dyDescent="0.25">
      <c r="A61" s="19" t="s">
        <v>228</v>
      </c>
      <c r="B61" s="19" t="s">
        <v>80</v>
      </c>
      <c r="C61" s="19" t="str">
        <f t="shared" si="32"/>
        <v>95058872India</v>
      </c>
      <c r="D61" s="19">
        <v>95058872</v>
      </c>
      <c r="E61" s="19" t="s">
        <v>467</v>
      </c>
      <c r="F61" s="19" t="s">
        <v>2067</v>
      </c>
      <c r="G61" s="20" t="s">
        <v>467</v>
      </c>
      <c r="H61" s="136">
        <v>63</v>
      </c>
      <c r="I61" s="19" t="s">
        <v>230</v>
      </c>
      <c r="J61" s="19" t="s">
        <v>250</v>
      </c>
      <c r="K61" s="19" t="s">
        <v>447</v>
      </c>
      <c r="L61" s="19" t="s">
        <v>264</v>
      </c>
      <c r="M61" s="19" t="s">
        <v>268</v>
      </c>
      <c r="N61" s="19" t="s">
        <v>254</v>
      </c>
      <c r="O61" s="19" t="s">
        <v>275</v>
      </c>
      <c r="P61" s="19" t="s">
        <v>237</v>
      </c>
      <c r="Q61" s="19" t="s">
        <v>448</v>
      </c>
      <c r="R61" s="19">
        <v>5200</v>
      </c>
      <c r="S61" s="19" t="s">
        <v>272</v>
      </c>
      <c r="T61" s="19" t="s">
        <v>263</v>
      </c>
      <c r="U61" s="20" t="s">
        <v>263</v>
      </c>
      <c r="V61" s="19" t="s">
        <v>192</v>
      </c>
      <c r="W61" s="19" t="s">
        <v>222</v>
      </c>
      <c r="X61" s="35"/>
      <c r="Y61" s="35"/>
      <c r="Z61" s="32"/>
      <c r="AA61" s="22"/>
      <c r="AB61" s="22">
        <v>2.9999999999999987</v>
      </c>
      <c r="AC61" s="22">
        <v>2.0000000000000027</v>
      </c>
      <c r="AD61" s="22"/>
      <c r="AE61" s="60">
        <f t="shared" si="36"/>
        <v>5.0000000000000018</v>
      </c>
      <c r="AF61" s="22"/>
      <c r="AG61" s="40">
        <f t="shared" si="37"/>
        <v>5.0000000000000018</v>
      </c>
      <c r="AH61" s="24"/>
      <c r="AI61" s="24"/>
      <c r="AJ61" s="121"/>
      <c r="AK61" s="121"/>
      <c r="AL61" s="24"/>
      <c r="AM61" s="24"/>
      <c r="AN61" s="23">
        <f t="shared" si="33"/>
        <v>5.0000000000000018</v>
      </c>
      <c r="AO61" s="25"/>
      <c r="AP61" s="25"/>
      <c r="AQ61" s="25">
        <v>5</v>
      </c>
      <c r="AR61" s="25"/>
      <c r="AS61" s="25">
        <f t="shared" si="34"/>
        <v>5</v>
      </c>
      <c r="AT61" s="13"/>
      <c r="AU61" s="21"/>
      <c r="AV61" s="21"/>
      <c r="AW61" s="21"/>
      <c r="AX61" s="21"/>
      <c r="AY61" s="21"/>
      <c r="AZ61" s="21"/>
      <c r="BA61" s="77"/>
      <c r="BB61" s="21"/>
      <c r="BC61" s="21"/>
      <c r="BD61" s="21"/>
      <c r="BE61" s="21"/>
      <c r="BF61" s="21"/>
      <c r="BG61" s="77"/>
      <c r="BH61" s="77"/>
      <c r="BI61" s="21"/>
      <c r="BJ61" s="21"/>
      <c r="BK61" s="21">
        <v>2</v>
      </c>
      <c r="BL61" s="21">
        <v>3</v>
      </c>
      <c r="BM61" s="21"/>
      <c r="BN61" s="21"/>
      <c r="BO61" s="77"/>
      <c r="BP61" s="21"/>
      <c r="BQ61" s="21"/>
      <c r="BR61" s="21"/>
      <c r="BS61" s="21"/>
      <c r="BT61" s="21"/>
      <c r="BU61" s="21"/>
      <c r="BV61" s="77"/>
      <c r="BW61" s="96">
        <f t="shared" si="16"/>
        <v>5</v>
      </c>
      <c r="BX61" s="94">
        <f t="shared" si="17"/>
        <v>0</v>
      </c>
      <c r="BY61" s="26"/>
      <c r="CA61" s="51" t="s">
        <v>467</v>
      </c>
      <c r="CB61" s="19" t="b">
        <f t="shared" si="35"/>
        <v>1</v>
      </c>
      <c r="CC61" s="19" t="s">
        <v>467</v>
      </c>
      <c r="CD61" s="19" t="s">
        <v>854</v>
      </c>
      <c r="CE61" s="120" t="s">
        <v>835</v>
      </c>
      <c r="CF61" s="120" t="s">
        <v>836</v>
      </c>
      <c r="CG61" s="120" t="s">
        <v>837</v>
      </c>
      <c r="CH61" s="120" t="s">
        <v>838</v>
      </c>
      <c r="CI61" s="120" t="s">
        <v>839</v>
      </c>
      <c r="CJ61" s="120" t="s">
        <v>840</v>
      </c>
      <c r="CK61" s="120" t="s">
        <v>841</v>
      </c>
      <c r="CL61" s="120" t="s">
        <v>842</v>
      </c>
      <c r="CM61" s="120" t="s">
        <v>852</v>
      </c>
      <c r="CN61" s="120" t="s">
        <v>853</v>
      </c>
      <c r="CO61" s="120" t="s">
        <v>845</v>
      </c>
      <c r="CP61" s="120" t="s">
        <v>846</v>
      </c>
      <c r="CQ61" s="120"/>
      <c r="CR61" s="120"/>
      <c r="CS61" s="120" t="s">
        <v>847</v>
      </c>
      <c r="CT61" s="120" t="s">
        <v>848</v>
      </c>
      <c r="CU61" s="120" t="s">
        <v>849</v>
      </c>
      <c r="CV61" s="120" t="s">
        <v>850</v>
      </c>
      <c r="CW61" s="120"/>
      <c r="CX61" s="120"/>
      <c r="CY61" s="120"/>
      <c r="CZ61" s="120"/>
      <c r="DA61" s="120"/>
      <c r="DB61" s="120"/>
      <c r="DC61" s="120"/>
      <c r="DD61" s="120"/>
      <c r="DE61" s="18"/>
      <c r="DF61" s="18"/>
    </row>
    <row r="62" spans="1:110" s="7" customFormat="1" x14ac:dyDescent="0.25">
      <c r="A62" s="19" t="s">
        <v>228</v>
      </c>
      <c r="B62" s="19" t="s">
        <v>80</v>
      </c>
      <c r="C62" s="19" t="str">
        <f t="shared" si="32"/>
        <v>95056713India</v>
      </c>
      <c r="D62" s="19">
        <v>95056713</v>
      </c>
      <c r="E62" s="19" t="s">
        <v>483</v>
      </c>
      <c r="F62" s="19" t="s">
        <v>2067</v>
      </c>
      <c r="G62" s="20" t="s">
        <v>483</v>
      </c>
      <c r="H62" s="136">
        <v>403</v>
      </c>
      <c r="I62" s="19" t="s">
        <v>230</v>
      </c>
      <c r="J62" s="19" t="s">
        <v>250</v>
      </c>
      <c r="K62" s="19" t="s">
        <v>447</v>
      </c>
      <c r="L62" s="19" t="s">
        <v>264</v>
      </c>
      <c r="M62" s="19" t="s">
        <v>268</v>
      </c>
      <c r="N62" s="19" t="s">
        <v>254</v>
      </c>
      <c r="O62" s="19" t="s">
        <v>275</v>
      </c>
      <c r="P62" s="19" t="s">
        <v>237</v>
      </c>
      <c r="Q62" s="19" t="s">
        <v>448</v>
      </c>
      <c r="R62" s="19">
        <v>5200</v>
      </c>
      <c r="S62" s="19" t="s">
        <v>422</v>
      </c>
      <c r="T62" s="19" t="s">
        <v>263</v>
      </c>
      <c r="U62" s="20" t="s">
        <v>263</v>
      </c>
      <c r="V62" s="19" t="s">
        <v>209</v>
      </c>
      <c r="W62" s="19" t="s">
        <v>221</v>
      </c>
      <c r="X62" s="35">
        <v>2.0000000000000027</v>
      </c>
      <c r="Y62" s="35">
        <v>2.0000000000000027</v>
      </c>
      <c r="Z62" s="32"/>
      <c r="AA62" s="22"/>
      <c r="AB62" s="22"/>
      <c r="AC62" s="22"/>
      <c r="AD62" s="22"/>
      <c r="AE62" s="60">
        <f t="shared" si="36"/>
        <v>0</v>
      </c>
      <c r="AF62" s="22"/>
      <c r="AG62" s="40">
        <f t="shared" si="37"/>
        <v>0</v>
      </c>
      <c r="AH62" s="24">
        <v>2</v>
      </c>
      <c r="AI62" s="24"/>
      <c r="AJ62" s="121">
        <v>0</v>
      </c>
      <c r="AK62" s="121"/>
      <c r="AL62" s="24"/>
      <c r="AM62" s="24"/>
      <c r="AN62" s="23">
        <f t="shared" si="33"/>
        <v>0</v>
      </c>
      <c r="AO62" s="25"/>
      <c r="AP62" s="25"/>
      <c r="AQ62" s="25"/>
      <c r="AR62" s="25"/>
      <c r="AS62" s="25">
        <f t="shared" si="34"/>
        <v>0</v>
      </c>
      <c r="AT62" s="13"/>
      <c r="AU62" s="21"/>
      <c r="AV62" s="21"/>
      <c r="AW62" s="21"/>
      <c r="AX62" s="21"/>
      <c r="AY62" s="21"/>
      <c r="AZ62" s="21"/>
      <c r="BA62" s="77"/>
      <c r="BB62" s="21"/>
      <c r="BC62" s="21"/>
      <c r="BD62" s="21"/>
      <c r="BE62" s="21"/>
      <c r="BF62" s="21"/>
      <c r="BG62" s="77"/>
      <c r="BH62" s="77"/>
      <c r="BI62" s="21"/>
      <c r="BJ62" s="21"/>
      <c r="BK62" s="21"/>
      <c r="BL62" s="21"/>
      <c r="BM62" s="21"/>
      <c r="BN62" s="21"/>
      <c r="BO62" s="77"/>
      <c r="BP62" s="21"/>
      <c r="BQ62" s="21"/>
      <c r="BR62" s="21"/>
      <c r="BS62" s="21"/>
      <c r="BT62" s="21"/>
      <c r="BU62" s="21"/>
      <c r="BV62" s="77"/>
      <c r="BW62" s="96">
        <f t="shared" si="16"/>
        <v>0</v>
      </c>
      <c r="BX62" s="94">
        <f t="shared" si="17"/>
        <v>0</v>
      </c>
      <c r="BY62" s="26"/>
      <c r="CA62" s="51" t="s">
        <v>483</v>
      </c>
      <c r="CB62" s="19" t="b">
        <f t="shared" si="35"/>
        <v>1</v>
      </c>
      <c r="CC62" s="19" t="s">
        <v>483</v>
      </c>
      <c r="CD62" s="19" t="s">
        <v>864</v>
      </c>
      <c r="CE62" s="120" t="s">
        <v>835</v>
      </c>
      <c r="CF62" s="120" t="s">
        <v>836</v>
      </c>
      <c r="CG62" s="120" t="s">
        <v>837</v>
      </c>
      <c r="CH62" s="120" t="s">
        <v>838</v>
      </c>
      <c r="CI62" s="120" t="s">
        <v>839</v>
      </c>
      <c r="CJ62" s="120" t="s">
        <v>840</v>
      </c>
      <c r="CK62" s="120" t="s">
        <v>841</v>
      </c>
      <c r="CL62" s="120" t="s">
        <v>842</v>
      </c>
      <c r="CM62" s="120" t="s">
        <v>852</v>
      </c>
      <c r="CN62" s="120" t="s">
        <v>853</v>
      </c>
      <c r="CO62" s="120" t="s">
        <v>865</v>
      </c>
      <c r="CP62" s="120" t="s">
        <v>866</v>
      </c>
      <c r="CQ62" s="120"/>
      <c r="CR62" s="120"/>
      <c r="CS62" s="120" t="s">
        <v>847</v>
      </c>
      <c r="CT62" s="120" t="s">
        <v>848</v>
      </c>
      <c r="CU62" s="120" t="s">
        <v>849</v>
      </c>
      <c r="CV62" s="120" t="s">
        <v>850</v>
      </c>
      <c r="CW62" s="120"/>
      <c r="CX62" s="120"/>
      <c r="CY62" s="120"/>
      <c r="CZ62" s="120"/>
      <c r="DA62" s="120"/>
      <c r="DB62" s="120"/>
      <c r="DC62" s="120"/>
      <c r="DD62" s="120"/>
      <c r="DE62" s="18"/>
      <c r="DF62" s="18"/>
    </row>
    <row r="63" spans="1:110" s="7" customFormat="1" x14ac:dyDescent="0.25">
      <c r="A63" s="19" t="s">
        <v>224</v>
      </c>
      <c r="B63" s="19" t="s">
        <v>224</v>
      </c>
      <c r="C63" s="19" t="str">
        <f t="shared" si="32"/>
        <v>95059121NPI Proj</v>
      </c>
      <c r="D63" s="19">
        <v>95059121</v>
      </c>
      <c r="E63" s="19" t="s">
        <v>1620</v>
      </c>
      <c r="F63" s="19" t="s">
        <v>1620</v>
      </c>
      <c r="G63" s="20" t="s">
        <v>1620</v>
      </c>
      <c r="H63" s="136">
        <v>2</v>
      </c>
      <c r="I63" s="19" t="s">
        <v>230</v>
      </c>
      <c r="J63" s="19" t="s">
        <v>1860</v>
      </c>
      <c r="K63" s="19" t="s">
        <v>447</v>
      </c>
      <c r="L63" s="19" t="s">
        <v>252</v>
      </c>
      <c r="M63" s="19" t="s">
        <v>268</v>
      </c>
      <c r="N63" s="19" t="s">
        <v>254</v>
      </c>
      <c r="O63" s="19" t="s">
        <v>275</v>
      </c>
      <c r="P63" s="19" t="s">
        <v>237</v>
      </c>
      <c r="Q63" s="19" t="s">
        <v>448</v>
      </c>
      <c r="R63" s="19">
        <v>5200</v>
      </c>
      <c r="S63" s="19" t="s">
        <v>272</v>
      </c>
      <c r="T63" s="19" t="s">
        <v>240</v>
      </c>
      <c r="U63" s="20" t="s">
        <v>240</v>
      </c>
      <c r="V63" s="19" t="s">
        <v>2225</v>
      </c>
      <c r="W63" s="19"/>
      <c r="X63" s="35">
        <v>10</v>
      </c>
      <c r="Y63" s="35"/>
      <c r="Z63" s="32"/>
      <c r="AA63" s="22">
        <v>5</v>
      </c>
      <c r="AB63" s="22"/>
      <c r="AC63" s="22"/>
      <c r="AD63" s="22"/>
      <c r="AE63" s="60">
        <v>5</v>
      </c>
      <c r="AF63" s="22"/>
      <c r="AG63" s="40">
        <v>5</v>
      </c>
      <c r="AH63" s="24"/>
      <c r="AI63" s="24"/>
      <c r="AJ63" s="121"/>
      <c r="AK63" s="121"/>
      <c r="AL63" s="24"/>
      <c r="AM63" s="24"/>
      <c r="AN63" s="23">
        <f t="shared" si="33"/>
        <v>5</v>
      </c>
      <c r="AO63" s="25"/>
      <c r="AP63" s="25">
        <v>2</v>
      </c>
      <c r="AQ63" s="25"/>
      <c r="AR63" s="25"/>
      <c r="AS63" s="25">
        <f t="shared" si="34"/>
        <v>2</v>
      </c>
      <c r="AT63" s="13"/>
      <c r="AU63" s="21"/>
      <c r="AV63" s="21"/>
      <c r="AW63" s="21"/>
      <c r="AX63" s="21"/>
      <c r="AY63" s="21"/>
      <c r="AZ63" s="21"/>
      <c r="BA63" s="77"/>
      <c r="BB63" s="21"/>
      <c r="BC63" s="21"/>
      <c r="BD63" s="21">
        <v>2</v>
      </c>
      <c r="BE63" s="21"/>
      <c r="BF63" s="21"/>
      <c r="BG63" s="77"/>
      <c r="BH63" s="77"/>
      <c r="BI63" s="21"/>
      <c r="BJ63" s="21"/>
      <c r="BK63" s="21"/>
      <c r="BL63" s="21"/>
      <c r="BM63" s="21"/>
      <c r="BN63" s="21"/>
      <c r="BO63" s="77"/>
      <c r="BP63" s="21"/>
      <c r="BQ63" s="21"/>
      <c r="BR63" s="21"/>
      <c r="BS63" s="21"/>
      <c r="BT63" s="21"/>
      <c r="BU63" s="21"/>
      <c r="BV63" s="77"/>
      <c r="BW63" s="96">
        <f t="shared" si="16"/>
        <v>2</v>
      </c>
      <c r="BX63" s="94">
        <f t="shared" si="17"/>
        <v>0</v>
      </c>
      <c r="BY63" s="26" t="s">
        <v>2290</v>
      </c>
      <c r="CA63" s="138" t="s">
        <v>1620</v>
      </c>
      <c r="CB63" s="19" t="b">
        <f t="shared" si="35"/>
        <v>1</v>
      </c>
      <c r="CC63" s="19" t="s">
        <v>1620</v>
      </c>
      <c r="CD63" s="19" t="s">
        <v>2163</v>
      </c>
      <c r="CE63" s="120"/>
      <c r="CF63" s="120"/>
      <c r="CG63" s="120" t="s">
        <v>2000</v>
      </c>
      <c r="CH63" s="120" t="s">
        <v>2001</v>
      </c>
      <c r="CI63" s="120" t="s">
        <v>2088</v>
      </c>
      <c r="CJ63" s="120" t="s">
        <v>2089</v>
      </c>
      <c r="CK63" s="120" t="s">
        <v>841</v>
      </c>
      <c r="CL63" s="120" t="s">
        <v>842</v>
      </c>
      <c r="CM63" s="120" t="s">
        <v>2003</v>
      </c>
      <c r="CN63" s="120" t="s">
        <v>2004</v>
      </c>
      <c r="CO63" s="120" t="s">
        <v>2005</v>
      </c>
      <c r="CP63" s="120" t="s">
        <v>2006</v>
      </c>
      <c r="CQ63" s="120"/>
      <c r="CR63" s="120"/>
      <c r="CS63" s="120" t="s">
        <v>847</v>
      </c>
      <c r="CT63" s="120" t="s">
        <v>848</v>
      </c>
      <c r="CU63" s="120" t="s">
        <v>2007</v>
      </c>
      <c r="CV63" s="120" t="s">
        <v>2008</v>
      </c>
      <c r="CW63" s="120"/>
      <c r="CX63" s="120"/>
      <c r="CY63" s="120"/>
      <c r="CZ63" s="120"/>
      <c r="DA63" s="120"/>
      <c r="DB63" s="120"/>
      <c r="DC63" s="120"/>
      <c r="DD63" s="120"/>
      <c r="DE63" s="18"/>
      <c r="DF63" s="18"/>
    </row>
    <row r="64" spans="1:110" s="7" customFormat="1" x14ac:dyDescent="0.25">
      <c r="A64" s="19" t="s">
        <v>224</v>
      </c>
      <c r="B64" s="19" t="s">
        <v>224</v>
      </c>
      <c r="C64" s="19" t="str">
        <f t="shared" si="32"/>
        <v>95055848NPI Proj</v>
      </c>
      <c r="D64" s="19">
        <v>95055848</v>
      </c>
      <c r="E64" s="19" t="s">
        <v>1855</v>
      </c>
      <c r="F64" s="19" t="s">
        <v>1855</v>
      </c>
      <c r="G64" s="20" t="s">
        <v>1855</v>
      </c>
      <c r="H64" s="136" t="s">
        <v>2234</v>
      </c>
      <c r="I64" s="19" t="s">
        <v>230</v>
      </c>
      <c r="J64" s="19" t="s">
        <v>1860</v>
      </c>
      <c r="K64" s="19" t="s">
        <v>447</v>
      </c>
      <c r="L64" s="19" t="s">
        <v>332</v>
      </c>
      <c r="M64" s="19" t="s">
        <v>268</v>
      </c>
      <c r="N64" s="19" t="s">
        <v>254</v>
      </c>
      <c r="O64" s="19" t="s">
        <v>275</v>
      </c>
      <c r="P64" s="19" t="s">
        <v>237</v>
      </c>
      <c r="Q64" s="19" t="s">
        <v>448</v>
      </c>
      <c r="R64" s="19">
        <v>5200</v>
      </c>
      <c r="S64" s="19" t="s">
        <v>272</v>
      </c>
      <c r="T64" s="19" t="s">
        <v>240</v>
      </c>
      <c r="U64" s="20" t="s">
        <v>240</v>
      </c>
      <c r="V64" s="19" t="s">
        <v>2064</v>
      </c>
      <c r="W64" s="19"/>
      <c r="X64" s="35"/>
      <c r="Y64" s="35"/>
      <c r="Z64" s="32"/>
      <c r="AA64" s="22"/>
      <c r="AB64" s="22">
        <v>2</v>
      </c>
      <c r="AC64" s="22"/>
      <c r="AD64" s="22"/>
      <c r="AE64" s="60">
        <v>2</v>
      </c>
      <c r="AF64" s="22"/>
      <c r="AG64" s="40">
        <v>2</v>
      </c>
      <c r="AH64" s="24"/>
      <c r="AI64" s="24"/>
      <c r="AJ64" s="121"/>
      <c r="AK64" s="121"/>
      <c r="AL64" s="24"/>
      <c r="AM64" s="24"/>
      <c r="AN64" s="23">
        <f t="shared" si="33"/>
        <v>2</v>
      </c>
      <c r="AO64" s="25"/>
      <c r="AP64" s="25"/>
      <c r="AQ64" s="25"/>
      <c r="AR64" s="25"/>
      <c r="AS64" s="25">
        <f t="shared" si="34"/>
        <v>0</v>
      </c>
      <c r="AT64" s="13"/>
      <c r="AU64" s="21"/>
      <c r="AV64" s="21"/>
      <c r="AW64" s="21"/>
      <c r="AX64" s="21"/>
      <c r="AY64" s="21"/>
      <c r="AZ64" s="21"/>
      <c r="BA64" s="77"/>
      <c r="BB64" s="21"/>
      <c r="BC64" s="21"/>
      <c r="BD64" s="21"/>
      <c r="BE64" s="21"/>
      <c r="BF64" s="21"/>
      <c r="BG64" s="77"/>
      <c r="BH64" s="77"/>
      <c r="BI64" s="21"/>
      <c r="BJ64" s="21"/>
      <c r="BK64" s="21"/>
      <c r="BL64" s="21"/>
      <c r="BM64" s="21"/>
      <c r="BN64" s="21"/>
      <c r="BO64" s="77"/>
      <c r="BP64" s="21"/>
      <c r="BQ64" s="21"/>
      <c r="BR64" s="21"/>
      <c r="BS64" s="21"/>
      <c r="BT64" s="21"/>
      <c r="BU64" s="21"/>
      <c r="BV64" s="77"/>
      <c r="BW64" s="96">
        <f t="shared" si="16"/>
        <v>0</v>
      </c>
      <c r="BX64" s="94">
        <f t="shared" si="17"/>
        <v>0</v>
      </c>
      <c r="BY64" s="26" t="s">
        <v>2287</v>
      </c>
      <c r="CA64" s="138" t="s">
        <v>1855</v>
      </c>
      <c r="CB64" s="19" t="b">
        <f t="shared" si="35"/>
        <v>1</v>
      </c>
      <c r="CC64" s="19" t="s">
        <v>1855</v>
      </c>
      <c r="CD64" s="19" t="s">
        <v>834</v>
      </c>
      <c r="CE64" s="120"/>
      <c r="CF64" s="120"/>
      <c r="CG64" s="120" t="s">
        <v>2000</v>
      </c>
      <c r="CH64" s="120" t="s">
        <v>2001</v>
      </c>
      <c r="CI64" s="120" t="s">
        <v>2088</v>
      </c>
      <c r="CJ64" s="120" t="s">
        <v>2089</v>
      </c>
      <c r="CK64" s="120" t="s">
        <v>841</v>
      </c>
      <c r="CL64" s="120" t="s">
        <v>842</v>
      </c>
      <c r="CM64" s="120" t="s">
        <v>2010</v>
      </c>
      <c r="CN64" s="120" t="s">
        <v>2011</v>
      </c>
      <c r="CO64" s="120" t="s">
        <v>2012</v>
      </c>
      <c r="CP64" s="120" t="s">
        <v>2013</v>
      </c>
      <c r="CQ64" s="120"/>
      <c r="CR64" s="120"/>
      <c r="CS64" s="120" t="s">
        <v>847</v>
      </c>
      <c r="CT64" s="120" t="s">
        <v>848</v>
      </c>
      <c r="CU64" s="120" t="s">
        <v>2007</v>
      </c>
      <c r="CV64" s="120" t="s">
        <v>2008</v>
      </c>
      <c r="CW64" s="120"/>
      <c r="CX64" s="120"/>
      <c r="CY64" s="120"/>
      <c r="CZ64" s="120"/>
      <c r="DA64" s="120"/>
      <c r="DB64" s="120"/>
      <c r="DC64" s="120"/>
      <c r="DD64" s="120"/>
      <c r="DE64" s="18"/>
      <c r="DF64" s="18"/>
    </row>
    <row r="65" spans="1:110" s="7" customFormat="1" x14ac:dyDescent="0.25">
      <c r="A65" s="19" t="s">
        <v>228</v>
      </c>
      <c r="B65" s="19" t="s">
        <v>80</v>
      </c>
      <c r="C65" s="19" t="str">
        <f t="shared" si="32"/>
        <v>95155621India</v>
      </c>
      <c r="D65" s="19">
        <v>95155621</v>
      </c>
      <c r="E65" s="19" t="s">
        <v>419</v>
      </c>
      <c r="F65" s="19" t="s">
        <v>2067</v>
      </c>
      <c r="G65" s="20" t="s">
        <v>419</v>
      </c>
      <c r="H65" s="136">
        <v>708</v>
      </c>
      <c r="I65" s="19" t="s">
        <v>230</v>
      </c>
      <c r="J65" s="19" t="s">
        <v>250</v>
      </c>
      <c r="K65" s="19" t="s">
        <v>420</v>
      </c>
      <c r="L65" s="19" t="s">
        <v>252</v>
      </c>
      <c r="M65" s="19" t="s">
        <v>268</v>
      </c>
      <c r="N65" s="19" t="s">
        <v>247</v>
      </c>
      <c r="O65" s="19" t="s">
        <v>275</v>
      </c>
      <c r="P65" s="19" t="s">
        <v>237</v>
      </c>
      <c r="Q65" s="19" t="s">
        <v>421</v>
      </c>
      <c r="R65" s="19">
        <v>5300</v>
      </c>
      <c r="S65" s="19" t="s">
        <v>422</v>
      </c>
      <c r="T65" s="19" t="s">
        <v>263</v>
      </c>
      <c r="U65" s="20" t="s">
        <v>263</v>
      </c>
      <c r="V65" s="19" t="s">
        <v>155</v>
      </c>
      <c r="W65" s="19" t="s">
        <v>221</v>
      </c>
      <c r="X65" s="35">
        <v>12.000000000000016</v>
      </c>
      <c r="Y65" s="35">
        <v>7</v>
      </c>
      <c r="Z65" s="32"/>
      <c r="AA65" s="22">
        <v>12</v>
      </c>
      <c r="AB65" s="22">
        <v>4</v>
      </c>
      <c r="AC65" s="22">
        <v>6</v>
      </c>
      <c r="AD65" s="22">
        <v>3</v>
      </c>
      <c r="AE65" s="60">
        <f t="shared" ref="AE65:AE85" si="38">SUM(AA65:AD65)</f>
        <v>25</v>
      </c>
      <c r="AF65" s="22"/>
      <c r="AG65" s="40">
        <f t="shared" ref="AG65:AG85" si="39">AE65+AF65</f>
        <v>25</v>
      </c>
      <c r="AH65" s="24">
        <v>30</v>
      </c>
      <c r="AI65" s="24">
        <v>15</v>
      </c>
      <c r="AJ65" s="121">
        <v>25</v>
      </c>
      <c r="AK65" s="121"/>
      <c r="AL65" s="24"/>
      <c r="AM65" s="24"/>
      <c r="AN65" s="23">
        <f t="shared" si="33"/>
        <v>0</v>
      </c>
      <c r="AO65" s="25"/>
      <c r="AP65" s="25"/>
      <c r="AQ65" s="25"/>
      <c r="AR65" s="25"/>
      <c r="AS65" s="25">
        <f t="shared" si="34"/>
        <v>0</v>
      </c>
      <c r="AT65" s="13"/>
      <c r="AU65" s="21"/>
      <c r="AV65" s="21"/>
      <c r="AW65" s="21"/>
      <c r="AX65" s="21"/>
      <c r="AY65" s="21"/>
      <c r="AZ65" s="21"/>
      <c r="BA65" s="77"/>
      <c r="BB65" s="21"/>
      <c r="BC65" s="21"/>
      <c r="BD65" s="21"/>
      <c r="BE65" s="21"/>
      <c r="BF65" s="21"/>
      <c r="BG65" s="77"/>
      <c r="BH65" s="77"/>
      <c r="BI65" s="21"/>
      <c r="BJ65" s="21"/>
      <c r="BK65" s="21"/>
      <c r="BL65" s="21"/>
      <c r="BM65" s="21"/>
      <c r="BN65" s="21"/>
      <c r="BO65" s="77"/>
      <c r="BP65" s="21"/>
      <c r="BQ65" s="21"/>
      <c r="BR65" s="21"/>
      <c r="BS65" s="21"/>
      <c r="BT65" s="21"/>
      <c r="BU65" s="21"/>
      <c r="BV65" s="77"/>
      <c r="BW65" s="96">
        <f t="shared" si="16"/>
        <v>0</v>
      </c>
      <c r="BX65" s="94">
        <f t="shared" si="17"/>
        <v>0</v>
      </c>
      <c r="BY65" s="26"/>
      <c r="CA65" s="51" t="s">
        <v>419</v>
      </c>
      <c r="CB65" s="19" t="b">
        <f t="shared" si="35"/>
        <v>1</v>
      </c>
      <c r="CC65" s="19" t="s">
        <v>419</v>
      </c>
      <c r="CD65" s="19" t="s">
        <v>868</v>
      </c>
      <c r="CE65" s="120" t="s">
        <v>869</v>
      </c>
      <c r="CF65" s="120" t="s">
        <v>870</v>
      </c>
      <c r="CG65" s="120" t="s">
        <v>871</v>
      </c>
      <c r="CH65" s="120" t="s">
        <v>872</v>
      </c>
      <c r="CI65" s="120" t="s">
        <v>873</v>
      </c>
      <c r="CJ65" s="120" t="s">
        <v>874</v>
      </c>
      <c r="CK65" s="120" t="s">
        <v>875</v>
      </c>
      <c r="CL65" s="120" t="s">
        <v>876</v>
      </c>
      <c r="CM65" s="120" t="s">
        <v>877</v>
      </c>
      <c r="CN65" s="120" t="s">
        <v>878</v>
      </c>
      <c r="CO65" s="120" t="s">
        <v>879</v>
      </c>
      <c r="CP65" s="120" t="s">
        <v>880</v>
      </c>
      <c r="CQ65" s="120"/>
      <c r="CR65" s="120"/>
      <c r="CS65" s="120" t="s">
        <v>881</v>
      </c>
      <c r="CT65" s="120" t="s">
        <v>882</v>
      </c>
      <c r="CU65" s="120" t="s">
        <v>883</v>
      </c>
      <c r="CV65" s="120" t="s">
        <v>884</v>
      </c>
      <c r="CW65" s="120"/>
      <c r="CX65" s="120"/>
      <c r="CY65" s="120"/>
      <c r="CZ65" s="120"/>
      <c r="DA65" s="120"/>
      <c r="DB65" s="120"/>
      <c r="DC65" s="120"/>
      <c r="DD65" s="120"/>
      <c r="DE65" s="18"/>
      <c r="DF65" s="18"/>
    </row>
    <row r="66" spans="1:110" s="7" customFormat="1" x14ac:dyDescent="0.25">
      <c r="A66" s="19" t="s">
        <v>228</v>
      </c>
      <c r="B66" s="19" t="s">
        <v>80</v>
      </c>
      <c r="C66" s="19" t="str">
        <f t="shared" si="32"/>
        <v>95158883India</v>
      </c>
      <c r="D66" s="19">
        <v>95158883</v>
      </c>
      <c r="E66" s="19" t="s">
        <v>502</v>
      </c>
      <c r="F66" s="19" t="s">
        <v>2067</v>
      </c>
      <c r="G66" s="20" t="s">
        <v>502</v>
      </c>
      <c r="H66" s="136">
        <v>659</v>
      </c>
      <c r="I66" s="19" t="s">
        <v>230</v>
      </c>
      <c r="J66" s="19" t="s">
        <v>250</v>
      </c>
      <c r="K66" s="19" t="s">
        <v>420</v>
      </c>
      <c r="L66" s="19" t="s">
        <v>252</v>
      </c>
      <c r="M66" s="19" t="s">
        <v>268</v>
      </c>
      <c r="N66" s="19" t="s">
        <v>247</v>
      </c>
      <c r="O66" s="19" t="s">
        <v>275</v>
      </c>
      <c r="P66" s="19" t="s">
        <v>237</v>
      </c>
      <c r="Q66" s="19" t="s">
        <v>421</v>
      </c>
      <c r="R66" s="19">
        <v>5300</v>
      </c>
      <c r="S66" s="19" t="s">
        <v>1837</v>
      </c>
      <c r="T66" s="19" t="s">
        <v>263</v>
      </c>
      <c r="U66" s="20" t="s">
        <v>263</v>
      </c>
      <c r="V66" s="19" t="s">
        <v>156</v>
      </c>
      <c r="W66" s="19" t="s">
        <v>221</v>
      </c>
      <c r="X66" s="35">
        <v>8</v>
      </c>
      <c r="Y66" s="35">
        <v>4</v>
      </c>
      <c r="Z66" s="32"/>
      <c r="AA66" s="22">
        <v>10</v>
      </c>
      <c r="AB66" s="22">
        <v>5</v>
      </c>
      <c r="AC66" s="22"/>
      <c r="AD66" s="22"/>
      <c r="AE66" s="60">
        <f t="shared" si="38"/>
        <v>15</v>
      </c>
      <c r="AF66" s="22"/>
      <c r="AG66" s="40">
        <f t="shared" si="39"/>
        <v>15</v>
      </c>
      <c r="AH66" s="24"/>
      <c r="AI66" s="24"/>
      <c r="AJ66" s="121"/>
      <c r="AK66" s="121"/>
      <c r="AL66" s="24">
        <v>8</v>
      </c>
      <c r="AM66" s="24"/>
      <c r="AN66" s="23">
        <f t="shared" si="33"/>
        <v>23</v>
      </c>
      <c r="AO66" s="25"/>
      <c r="AP66" s="25"/>
      <c r="AQ66" s="25">
        <v>23</v>
      </c>
      <c r="AR66" s="25"/>
      <c r="AS66" s="25">
        <f t="shared" si="34"/>
        <v>23</v>
      </c>
      <c r="AT66" s="13"/>
      <c r="AU66" s="21"/>
      <c r="AV66" s="21"/>
      <c r="AW66" s="21"/>
      <c r="AX66" s="21"/>
      <c r="AY66" s="21"/>
      <c r="AZ66" s="21"/>
      <c r="BA66" s="77"/>
      <c r="BB66" s="21"/>
      <c r="BC66" s="21"/>
      <c r="BD66" s="21"/>
      <c r="BE66" s="21"/>
      <c r="BF66" s="21"/>
      <c r="BG66" s="77"/>
      <c r="BH66" s="77"/>
      <c r="BI66" s="21"/>
      <c r="BJ66" s="21"/>
      <c r="BK66" s="21">
        <v>5</v>
      </c>
      <c r="BL66" s="21">
        <v>5</v>
      </c>
      <c r="BM66" s="21">
        <v>5</v>
      </c>
      <c r="BN66" s="21"/>
      <c r="BO66" s="77"/>
      <c r="BP66" s="21"/>
      <c r="BQ66" s="21"/>
      <c r="BR66" s="21"/>
      <c r="BS66" s="21"/>
      <c r="BT66" s="21"/>
      <c r="BU66" s="21"/>
      <c r="BV66" s="77"/>
      <c r="BW66" s="96">
        <f t="shared" si="16"/>
        <v>15</v>
      </c>
      <c r="BX66" s="94">
        <f t="shared" si="17"/>
        <v>8</v>
      </c>
      <c r="BY66" s="26"/>
      <c r="CA66" s="51" t="s">
        <v>502</v>
      </c>
      <c r="CB66" s="19" t="b">
        <f t="shared" si="35"/>
        <v>1</v>
      </c>
      <c r="CC66" s="19" t="s">
        <v>502</v>
      </c>
      <c r="CD66" s="19" t="s">
        <v>885</v>
      </c>
      <c r="CE66" s="120" t="s">
        <v>886</v>
      </c>
      <c r="CF66" s="120" t="s">
        <v>887</v>
      </c>
      <c r="CG66" s="120" t="s">
        <v>871</v>
      </c>
      <c r="CH66" s="120" t="s">
        <v>872</v>
      </c>
      <c r="CI66" s="120" t="s">
        <v>873</v>
      </c>
      <c r="CJ66" s="120" t="s">
        <v>874</v>
      </c>
      <c r="CK66" s="120" t="s">
        <v>875</v>
      </c>
      <c r="CL66" s="120" t="s">
        <v>876</v>
      </c>
      <c r="CM66" s="120" t="s">
        <v>877</v>
      </c>
      <c r="CN66" s="120" t="s">
        <v>878</v>
      </c>
      <c r="CO66" s="120" t="s">
        <v>888</v>
      </c>
      <c r="CP66" s="120" t="s">
        <v>889</v>
      </c>
      <c r="CQ66" s="120"/>
      <c r="CR66" s="120"/>
      <c r="CS66" s="120" t="s">
        <v>881</v>
      </c>
      <c r="CT66" s="120" t="s">
        <v>882</v>
      </c>
      <c r="CU66" s="120" t="s">
        <v>883</v>
      </c>
      <c r="CV66" s="120" t="s">
        <v>884</v>
      </c>
      <c r="CW66" s="120"/>
      <c r="CX66" s="120"/>
      <c r="CY66" s="120"/>
      <c r="CZ66" s="120"/>
      <c r="DA66" s="120"/>
      <c r="DB66" s="120"/>
      <c r="DC66" s="120"/>
      <c r="DD66" s="120"/>
      <c r="DE66" s="18"/>
      <c r="DF66" s="18"/>
    </row>
    <row r="67" spans="1:110" s="7" customFormat="1" x14ac:dyDescent="0.25">
      <c r="A67" s="19" t="s">
        <v>228</v>
      </c>
      <c r="B67" s="19" t="s">
        <v>80</v>
      </c>
      <c r="C67" s="19" t="str">
        <f t="shared" si="32"/>
        <v>95158881India</v>
      </c>
      <c r="D67" s="19">
        <v>95158881</v>
      </c>
      <c r="E67" s="19" t="s">
        <v>451</v>
      </c>
      <c r="F67" s="19" t="s">
        <v>2067</v>
      </c>
      <c r="G67" s="20" t="s">
        <v>451</v>
      </c>
      <c r="H67" s="136">
        <v>132</v>
      </c>
      <c r="I67" s="19" t="s">
        <v>230</v>
      </c>
      <c r="J67" s="19" t="s">
        <v>250</v>
      </c>
      <c r="K67" s="19" t="s">
        <v>420</v>
      </c>
      <c r="L67" s="19" t="s">
        <v>252</v>
      </c>
      <c r="M67" s="19" t="s">
        <v>268</v>
      </c>
      <c r="N67" s="19" t="s">
        <v>247</v>
      </c>
      <c r="O67" s="19" t="s">
        <v>275</v>
      </c>
      <c r="P67" s="19" t="s">
        <v>237</v>
      </c>
      <c r="Q67" s="19" t="s">
        <v>421</v>
      </c>
      <c r="R67" s="19">
        <v>5300</v>
      </c>
      <c r="S67" s="19" t="s">
        <v>272</v>
      </c>
      <c r="T67" s="19" t="s">
        <v>263</v>
      </c>
      <c r="U67" s="20" t="s">
        <v>263</v>
      </c>
      <c r="V67" s="19" t="s">
        <v>178</v>
      </c>
      <c r="W67" s="19" t="s">
        <v>221</v>
      </c>
      <c r="X67" s="35">
        <v>10</v>
      </c>
      <c r="Y67" s="35">
        <v>10</v>
      </c>
      <c r="Z67" s="32"/>
      <c r="AA67" s="22">
        <v>3.000000000000004</v>
      </c>
      <c r="AB67" s="22">
        <v>5</v>
      </c>
      <c r="AC67" s="22">
        <v>4</v>
      </c>
      <c r="AD67" s="22"/>
      <c r="AE67" s="60">
        <f t="shared" si="38"/>
        <v>12.000000000000004</v>
      </c>
      <c r="AF67" s="22"/>
      <c r="AG67" s="40">
        <f t="shared" si="39"/>
        <v>12.000000000000004</v>
      </c>
      <c r="AH67" s="24">
        <v>2</v>
      </c>
      <c r="AI67" s="24">
        <v>8</v>
      </c>
      <c r="AJ67" s="121">
        <v>2</v>
      </c>
      <c r="AK67" s="121">
        <v>8</v>
      </c>
      <c r="AL67" s="24">
        <v>10</v>
      </c>
      <c r="AM67" s="24"/>
      <c r="AN67" s="23">
        <f t="shared" si="33"/>
        <v>12.000000000000004</v>
      </c>
      <c r="AO67" s="25"/>
      <c r="AP67" s="25"/>
      <c r="AQ67" s="25">
        <v>12</v>
      </c>
      <c r="AR67" s="25"/>
      <c r="AS67" s="25">
        <f t="shared" si="34"/>
        <v>12</v>
      </c>
      <c r="AT67" s="13">
        <v>8</v>
      </c>
      <c r="AU67" s="21">
        <v>4</v>
      </c>
      <c r="AV67" s="21">
        <v>4</v>
      </c>
      <c r="AW67" s="21"/>
      <c r="AX67" s="21"/>
      <c r="AY67" s="21"/>
      <c r="AZ67" s="21"/>
      <c r="BA67" s="77"/>
      <c r="BB67" s="21"/>
      <c r="BC67" s="21"/>
      <c r="BD67" s="21"/>
      <c r="BE67" s="21"/>
      <c r="BF67" s="21"/>
      <c r="BG67" s="77"/>
      <c r="BH67" s="77"/>
      <c r="BI67" s="21"/>
      <c r="BJ67" s="21"/>
      <c r="BK67" s="21">
        <v>2</v>
      </c>
      <c r="BL67" s="21"/>
      <c r="BM67" s="21"/>
      <c r="BN67" s="21"/>
      <c r="BO67" s="77"/>
      <c r="BP67" s="21"/>
      <c r="BQ67" s="21"/>
      <c r="BR67" s="21"/>
      <c r="BS67" s="21"/>
      <c r="BT67" s="21"/>
      <c r="BU67" s="21"/>
      <c r="BV67" s="77"/>
      <c r="BW67" s="96">
        <f t="shared" si="16"/>
        <v>6</v>
      </c>
      <c r="BX67" s="94">
        <f t="shared" si="17"/>
        <v>6</v>
      </c>
      <c r="BY67" s="26"/>
      <c r="CA67" s="51" t="s">
        <v>451</v>
      </c>
      <c r="CB67" s="19" t="b">
        <f t="shared" si="35"/>
        <v>1</v>
      </c>
      <c r="CC67" s="19" t="s">
        <v>451</v>
      </c>
      <c r="CD67" s="19" t="s">
        <v>890</v>
      </c>
      <c r="CE67" s="120" t="s">
        <v>886</v>
      </c>
      <c r="CF67" s="120" t="s">
        <v>887</v>
      </c>
      <c r="CG67" s="120" t="s">
        <v>871</v>
      </c>
      <c r="CH67" s="120" t="s">
        <v>872</v>
      </c>
      <c r="CI67" s="120" t="s">
        <v>873</v>
      </c>
      <c r="CJ67" s="120" t="s">
        <v>874</v>
      </c>
      <c r="CK67" s="120" t="s">
        <v>875</v>
      </c>
      <c r="CL67" s="120" t="s">
        <v>876</v>
      </c>
      <c r="CM67" s="120" t="s">
        <v>891</v>
      </c>
      <c r="CN67" s="120" t="s">
        <v>892</v>
      </c>
      <c r="CO67" s="120" t="s">
        <v>893</v>
      </c>
      <c r="CP67" s="120" t="s">
        <v>894</v>
      </c>
      <c r="CQ67" s="120"/>
      <c r="CR67" s="120"/>
      <c r="CS67" s="120" t="s">
        <v>881</v>
      </c>
      <c r="CT67" s="120" t="s">
        <v>882</v>
      </c>
      <c r="CU67" s="120" t="s">
        <v>883</v>
      </c>
      <c r="CV67" s="120" t="s">
        <v>884</v>
      </c>
      <c r="CW67" s="120"/>
      <c r="CX67" s="120"/>
      <c r="CY67" s="120"/>
      <c r="CZ67" s="120"/>
      <c r="DA67" s="120"/>
      <c r="DB67" s="120"/>
      <c r="DC67" s="120"/>
      <c r="DD67" s="120"/>
      <c r="DE67" s="18"/>
      <c r="DF67" s="18"/>
    </row>
    <row r="68" spans="1:110" s="7" customFormat="1" x14ac:dyDescent="0.25">
      <c r="A68" s="19" t="s">
        <v>228</v>
      </c>
      <c r="B68" s="19" t="s">
        <v>80</v>
      </c>
      <c r="C68" s="19" t="str">
        <f t="shared" si="32"/>
        <v>95159965India</v>
      </c>
      <c r="D68" s="19">
        <v>95159965</v>
      </c>
      <c r="E68" s="19" t="s">
        <v>439</v>
      </c>
      <c r="F68" s="19" t="s">
        <v>2067</v>
      </c>
      <c r="G68" s="20" t="s">
        <v>439</v>
      </c>
      <c r="H68" s="136">
        <v>221</v>
      </c>
      <c r="I68" s="19" t="s">
        <v>230</v>
      </c>
      <c r="J68" s="19" t="s">
        <v>243</v>
      </c>
      <c r="K68" s="19" t="s">
        <v>434</v>
      </c>
      <c r="L68" s="19" t="s">
        <v>252</v>
      </c>
      <c r="M68" s="19" t="s">
        <v>268</v>
      </c>
      <c r="N68" s="19" t="s">
        <v>247</v>
      </c>
      <c r="O68" s="19" t="s">
        <v>275</v>
      </c>
      <c r="P68" s="19" t="s">
        <v>237</v>
      </c>
      <c r="Q68" s="19" t="s">
        <v>440</v>
      </c>
      <c r="R68" s="19">
        <v>5400</v>
      </c>
      <c r="S68" s="19" t="s">
        <v>272</v>
      </c>
      <c r="T68" s="19" t="s">
        <v>263</v>
      </c>
      <c r="U68" s="20" t="s">
        <v>263</v>
      </c>
      <c r="V68" s="19" t="s">
        <v>2226</v>
      </c>
      <c r="W68" s="19" t="s">
        <v>222</v>
      </c>
      <c r="X68" s="35"/>
      <c r="Y68" s="35"/>
      <c r="Z68" s="32"/>
      <c r="AA68" s="22">
        <v>7</v>
      </c>
      <c r="AB68" s="22"/>
      <c r="AC68" s="22"/>
      <c r="AD68" s="22"/>
      <c r="AE68" s="60">
        <f t="shared" si="38"/>
        <v>7</v>
      </c>
      <c r="AF68" s="22"/>
      <c r="AG68" s="40">
        <f t="shared" si="39"/>
        <v>7</v>
      </c>
      <c r="AH68" s="24"/>
      <c r="AI68" s="24"/>
      <c r="AJ68" s="121"/>
      <c r="AK68" s="121"/>
      <c r="AL68" s="24"/>
      <c r="AM68" s="24"/>
      <c r="AN68" s="23">
        <f t="shared" si="33"/>
        <v>7</v>
      </c>
      <c r="AO68" s="25"/>
      <c r="AP68" s="25">
        <v>7</v>
      </c>
      <c r="AQ68" s="25"/>
      <c r="AR68" s="25"/>
      <c r="AS68" s="25">
        <f t="shared" si="34"/>
        <v>7</v>
      </c>
      <c r="AT68" s="13"/>
      <c r="AU68" s="21"/>
      <c r="AV68" s="21"/>
      <c r="AW68" s="21"/>
      <c r="AX68" s="21"/>
      <c r="AY68" s="21"/>
      <c r="AZ68" s="21"/>
      <c r="BA68" s="77"/>
      <c r="BB68" s="21"/>
      <c r="BC68" s="21"/>
      <c r="BD68" s="21">
        <v>3</v>
      </c>
      <c r="BE68" s="21">
        <v>4</v>
      </c>
      <c r="BF68" s="21"/>
      <c r="BG68" s="77"/>
      <c r="BH68" s="77"/>
      <c r="BI68" s="21"/>
      <c r="BJ68" s="21"/>
      <c r="BK68" s="21"/>
      <c r="BL68" s="21"/>
      <c r="BM68" s="21"/>
      <c r="BN68" s="21"/>
      <c r="BO68" s="77"/>
      <c r="BP68" s="21"/>
      <c r="BQ68" s="21"/>
      <c r="BR68" s="21"/>
      <c r="BS68" s="21"/>
      <c r="BT68" s="21"/>
      <c r="BU68" s="21"/>
      <c r="BV68" s="77"/>
      <c r="BW68" s="96">
        <f t="shared" ref="BW68:BW99" si="40">SUM(AV68:BV68)</f>
        <v>7</v>
      </c>
      <c r="BX68" s="94">
        <f t="shared" ref="BX68:BX99" si="41">AS68-BW68</f>
        <v>0</v>
      </c>
      <c r="BY68" s="26"/>
      <c r="CA68" s="51" t="s">
        <v>439</v>
      </c>
      <c r="CB68" s="19" t="b">
        <f t="shared" si="35"/>
        <v>1</v>
      </c>
      <c r="CC68" s="19" t="s">
        <v>439</v>
      </c>
      <c r="CD68" s="19" t="s">
        <v>895</v>
      </c>
      <c r="CE68" s="120" t="s">
        <v>886</v>
      </c>
      <c r="CF68" s="120" t="s">
        <v>887</v>
      </c>
      <c r="CG68" s="120" t="s">
        <v>896</v>
      </c>
      <c r="CH68" s="120" t="s">
        <v>897</v>
      </c>
      <c r="CI68" s="120" t="s">
        <v>898</v>
      </c>
      <c r="CJ68" s="120" t="s">
        <v>899</v>
      </c>
      <c r="CK68" s="120" t="s">
        <v>875</v>
      </c>
      <c r="CL68" s="120" t="s">
        <v>876</v>
      </c>
      <c r="CM68" s="120" t="s">
        <v>900</v>
      </c>
      <c r="CN68" s="120" t="s">
        <v>901</v>
      </c>
      <c r="CO68" s="120" t="s">
        <v>902</v>
      </c>
      <c r="CP68" s="120" t="s">
        <v>903</v>
      </c>
      <c r="CQ68" s="120"/>
      <c r="CR68" s="120"/>
      <c r="CS68" s="120" t="s">
        <v>904</v>
      </c>
      <c r="CT68" s="120" t="s">
        <v>905</v>
      </c>
      <c r="CU68" s="120" t="s">
        <v>906</v>
      </c>
      <c r="CV68" s="120" t="s">
        <v>907</v>
      </c>
      <c r="CW68" s="120"/>
      <c r="CX68" s="120"/>
      <c r="CY68" s="120"/>
      <c r="CZ68" s="120"/>
      <c r="DA68" s="120"/>
      <c r="DB68" s="120"/>
      <c r="DC68" s="120"/>
      <c r="DD68" s="120"/>
      <c r="DE68" s="18"/>
      <c r="DF68" s="18"/>
    </row>
    <row r="69" spans="1:110" s="7" customFormat="1" x14ac:dyDescent="0.25">
      <c r="A69" s="19" t="s">
        <v>228</v>
      </c>
      <c r="B69" s="19" t="s">
        <v>80</v>
      </c>
      <c r="C69" s="19" t="str">
        <f t="shared" si="32"/>
        <v>95152591India</v>
      </c>
      <c r="D69" s="19">
        <v>95152591</v>
      </c>
      <c r="E69" s="19" t="s">
        <v>2084</v>
      </c>
      <c r="F69" s="19" t="s">
        <v>2067</v>
      </c>
      <c r="G69" s="20" t="s">
        <v>2084</v>
      </c>
      <c r="H69" s="136">
        <v>29</v>
      </c>
      <c r="I69" s="19" t="s">
        <v>230</v>
      </c>
      <c r="J69" s="19" t="s">
        <v>243</v>
      </c>
      <c r="K69" s="19" t="s">
        <v>434</v>
      </c>
      <c r="L69" s="19" t="s">
        <v>252</v>
      </c>
      <c r="M69" s="19" t="s">
        <v>268</v>
      </c>
      <c r="N69" s="19" t="s">
        <v>247</v>
      </c>
      <c r="O69" s="19" t="s">
        <v>270</v>
      </c>
      <c r="P69" s="19" t="s">
        <v>237</v>
      </c>
      <c r="Q69" s="19" t="s">
        <v>440</v>
      </c>
      <c r="R69" s="19">
        <v>5400</v>
      </c>
      <c r="S69" s="19" t="s">
        <v>272</v>
      </c>
      <c r="T69" s="19" t="s">
        <v>263</v>
      </c>
      <c r="U69" s="20" t="s">
        <v>263</v>
      </c>
      <c r="V69" s="19" t="s">
        <v>2036</v>
      </c>
      <c r="W69" s="19" t="s">
        <v>222</v>
      </c>
      <c r="X69" s="35">
        <v>7</v>
      </c>
      <c r="Y69" s="35">
        <v>5</v>
      </c>
      <c r="Z69" s="32"/>
      <c r="AA69" s="22">
        <v>15</v>
      </c>
      <c r="AB69" s="22"/>
      <c r="AC69" s="22"/>
      <c r="AD69" s="22"/>
      <c r="AE69" s="60">
        <f t="shared" si="38"/>
        <v>15</v>
      </c>
      <c r="AF69" s="22"/>
      <c r="AG69" s="40">
        <f t="shared" si="39"/>
        <v>15</v>
      </c>
      <c r="AH69" s="24"/>
      <c r="AI69" s="24">
        <v>20</v>
      </c>
      <c r="AJ69" s="121"/>
      <c r="AK69" s="121">
        <v>15</v>
      </c>
      <c r="AL69" s="24"/>
      <c r="AM69" s="24"/>
      <c r="AN69" s="23">
        <f t="shared" si="33"/>
        <v>0</v>
      </c>
      <c r="AO69" s="25"/>
      <c r="AP69" s="25"/>
      <c r="AQ69" s="25"/>
      <c r="AR69" s="25"/>
      <c r="AS69" s="25">
        <f t="shared" si="34"/>
        <v>0</v>
      </c>
      <c r="AT69" s="13">
        <v>15</v>
      </c>
      <c r="AU69" s="21">
        <v>5</v>
      </c>
      <c r="AV69" s="21">
        <v>5</v>
      </c>
      <c r="AW69" s="21">
        <v>5</v>
      </c>
      <c r="AX69" s="21"/>
      <c r="AY69" s="21"/>
      <c r="AZ69" s="21"/>
      <c r="BA69" s="77"/>
      <c r="BB69" s="21"/>
      <c r="BC69" s="21"/>
      <c r="BD69" s="21"/>
      <c r="BE69" s="21"/>
      <c r="BF69" s="21"/>
      <c r="BG69" s="77"/>
      <c r="BH69" s="77"/>
      <c r="BI69" s="21"/>
      <c r="BJ69" s="21"/>
      <c r="BK69" s="21"/>
      <c r="BL69" s="21"/>
      <c r="BM69" s="21"/>
      <c r="BN69" s="21"/>
      <c r="BO69" s="77"/>
      <c r="BP69" s="21"/>
      <c r="BQ69" s="21"/>
      <c r="BR69" s="21"/>
      <c r="BS69" s="21"/>
      <c r="BT69" s="21"/>
      <c r="BU69" s="21"/>
      <c r="BV69" s="77"/>
      <c r="BW69" s="96">
        <f t="shared" si="40"/>
        <v>10</v>
      </c>
      <c r="BX69" s="94">
        <f t="shared" si="41"/>
        <v>-10</v>
      </c>
      <c r="BY69" s="26"/>
      <c r="CA69" s="51" t="s">
        <v>2084</v>
      </c>
      <c r="CB69" s="19" t="b">
        <f t="shared" si="35"/>
        <v>1</v>
      </c>
      <c r="CC69" s="19" t="s">
        <v>2084</v>
      </c>
      <c r="CD69" s="19" t="s">
        <v>2151</v>
      </c>
      <c r="CE69" s="120" t="s">
        <v>886</v>
      </c>
      <c r="CF69" s="120" t="s">
        <v>887</v>
      </c>
      <c r="CG69" s="120" t="s">
        <v>908</v>
      </c>
      <c r="CH69" s="120" t="s">
        <v>909</v>
      </c>
      <c r="CI69" s="120" t="s">
        <v>898</v>
      </c>
      <c r="CJ69" s="120" t="s">
        <v>899</v>
      </c>
      <c r="CK69" s="120" t="s">
        <v>875</v>
      </c>
      <c r="CL69" s="120" t="s">
        <v>876</v>
      </c>
      <c r="CM69" s="120" t="s">
        <v>2152</v>
      </c>
      <c r="CN69" s="120" t="s">
        <v>2153</v>
      </c>
      <c r="CO69" s="120" t="s">
        <v>918</v>
      </c>
      <c r="CP69" s="120" t="s">
        <v>919</v>
      </c>
      <c r="CQ69" s="120"/>
      <c r="CR69" s="120"/>
      <c r="CS69" s="120" t="s">
        <v>904</v>
      </c>
      <c r="CT69" s="120" t="s">
        <v>905</v>
      </c>
      <c r="CU69" s="120" t="s">
        <v>910</v>
      </c>
      <c r="CV69" s="120" t="s">
        <v>911</v>
      </c>
      <c r="CW69" s="120"/>
      <c r="CX69" s="120"/>
      <c r="CY69" s="120"/>
      <c r="CZ69" s="120"/>
      <c r="DA69" s="120"/>
      <c r="DB69" s="120"/>
      <c r="DC69" s="120"/>
      <c r="DD69" s="120"/>
      <c r="DE69" s="18"/>
      <c r="DF69" s="18"/>
    </row>
    <row r="70" spans="1:110" s="7" customFormat="1" x14ac:dyDescent="0.25">
      <c r="A70" s="19" t="s">
        <v>228</v>
      </c>
      <c r="B70" s="19" t="s">
        <v>80</v>
      </c>
      <c r="C70" s="19" t="str">
        <f t="shared" si="32"/>
        <v>95159478India</v>
      </c>
      <c r="D70" s="19">
        <v>95159478</v>
      </c>
      <c r="E70" s="19" t="s">
        <v>443</v>
      </c>
      <c r="F70" s="19" t="s">
        <v>2067</v>
      </c>
      <c r="G70" s="20" t="s">
        <v>443</v>
      </c>
      <c r="H70" s="136">
        <v>72</v>
      </c>
      <c r="I70" s="19" t="s">
        <v>230</v>
      </c>
      <c r="J70" s="19" t="s">
        <v>334</v>
      </c>
      <c r="K70" s="19" t="s">
        <v>434</v>
      </c>
      <c r="L70" s="19" t="s">
        <v>252</v>
      </c>
      <c r="M70" s="19" t="s">
        <v>268</v>
      </c>
      <c r="N70" s="19" t="s">
        <v>247</v>
      </c>
      <c r="O70" s="19" t="s">
        <v>275</v>
      </c>
      <c r="P70" s="19" t="s">
        <v>237</v>
      </c>
      <c r="Q70" s="19" t="s">
        <v>435</v>
      </c>
      <c r="R70" s="19">
        <v>5500</v>
      </c>
      <c r="S70" s="19" t="s">
        <v>272</v>
      </c>
      <c r="T70" s="19" t="s">
        <v>263</v>
      </c>
      <c r="U70" s="20" t="s">
        <v>263</v>
      </c>
      <c r="V70" s="19" t="s">
        <v>2196</v>
      </c>
      <c r="W70" s="19" t="s">
        <v>222</v>
      </c>
      <c r="X70" s="35">
        <v>1.0000000000000013</v>
      </c>
      <c r="Y70" s="35">
        <v>1.0000000000000013</v>
      </c>
      <c r="Z70" s="32"/>
      <c r="AA70" s="22"/>
      <c r="AB70" s="22"/>
      <c r="AC70" s="22"/>
      <c r="AD70" s="22"/>
      <c r="AE70" s="60">
        <f t="shared" si="38"/>
        <v>0</v>
      </c>
      <c r="AF70" s="22"/>
      <c r="AG70" s="40">
        <f t="shared" si="39"/>
        <v>0</v>
      </c>
      <c r="AH70" s="24">
        <v>3</v>
      </c>
      <c r="AI70" s="24"/>
      <c r="AJ70" s="121"/>
      <c r="AK70" s="121"/>
      <c r="AL70" s="24"/>
      <c r="AM70" s="24"/>
      <c r="AN70" s="23">
        <f t="shared" si="33"/>
        <v>0</v>
      </c>
      <c r="AO70" s="25"/>
      <c r="AP70" s="25"/>
      <c r="AQ70" s="25"/>
      <c r="AR70" s="25"/>
      <c r="AS70" s="25">
        <f t="shared" si="34"/>
        <v>0</v>
      </c>
      <c r="AT70" s="13"/>
      <c r="AU70" s="21"/>
      <c r="AV70" s="21"/>
      <c r="AW70" s="21"/>
      <c r="AX70" s="21"/>
      <c r="AY70" s="21"/>
      <c r="AZ70" s="21"/>
      <c r="BA70" s="77"/>
      <c r="BB70" s="21"/>
      <c r="BC70" s="21"/>
      <c r="BD70" s="21"/>
      <c r="BE70" s="21"/>
      <c r="BF70" s="21"/>
      <c r="BG70" s="77"/>
      <c r="BH70" s="77"/>
      <c r="BI70" s="21"/>
      <c r="BJ70" s="21"/>
      <c r="BK70" s="21"/>
      <c r="BL70" s="21"/>
      <c r="BM70" s="21"/>
      <c r="BN70" s="21"/>
      <c r="BO70" s="77"/>
      <c r="BP70" s="21"/>
      <c r="BQ70" s="21"/>
      <c r="BR70" s="21"/>
      <c r="BS70" s="21"/>
      <c r="BT70" s="21"/>
      <c r="BU70" s="21"/>
      <c r="BV70" s="77"/>
      <c r="BW70" s="96">
        <f t="shared" si="40"/>
        <v>0</v>
      </c>
      <c r="BX70" s="94">
        <f t="shared" si="41"/>
        <v>0</v>
      </c>
      <c r="BY70" s="26"/>
      <c r="CA70" s="51" t="s">
        <v>443</v>
      </c>
      <c r="CB70" s="19" t="b">
        <f t="shared" si="35"/>
        <v>1</v>
      </c>
      <c r="CC70" s="19" t="s">
        <v>443</v>
      </c>
      <c r="CD70" s="19" t="s">
        <v>935</v>
      </c>
      <c r="CE70" s="120" t="s">
        <v>921</v>
      </c>
      <c r="CF70" s="120" t="s">
        <v>922</v>
      </c>
      <c r="CG70" s="120" t="s">
        <v>936</v>
      </c>
      <c r="CH70" s="120" t="s">
        <v>937</v>
      </c>
      <c r="CI70" s="120" t="s">
        <v>925</v>
      </c>
      <c r="CJ70" s="120" t="s">
        <v>926</v>
      </c>
      <c r="CK70" s="120" t="s">
        <v>938</v>
      </c>
      <c r="CL70" s="120" t="s">
        <v>939</v>
      </c>
      <c r="CM70" s="120" t="s">
        <v>940</v>
      </c>
      <c r="CN70" s="120" t="s">
        <v>941</v>
      </c>
      <c r="CO70" s="120" t="s">
        <v>942</v>
      </c>
      <c r="CP70" s="120" t="s">
        <v>943</v>
      </c>
      <c r="CQ70" s="120"/>
      <c r="CR70" s="120"/>
      <c r="CS70" s="120" t="s">
        <v>538</v>
      </c>
      <c r="CT70" s="120" t="s">
        <v>539</v>
      </c>
      <c r="CU70" s="120" t="s">
        <v>944</v>
      </c>
      <c r="CV70" s="120" t="s">
        <v>945</v>
      </c>
      <c r="CW70" s="120"/>
      <c r="CX70" s="120"/>
      <c r="CY70" s="120"/>
      <c r="CZ70" s="120"/>
      <c r="DA70" s="120"/>
      <c r="DB70" s="120"/>
      <c r="DC70" s="120"/>
      <c r="DD70" s="120"/>
      <c r="DE70" s="18"/>
      <c r="DF70" s="18"/>
    </row>
    <row r="71" spans="1:110" s="7" customFormat="1" x14ac:dyDescent="0.25">
      <c r="A71" s="19" t="s">
        <v>74</v>
      </c>
      <c r="B71" s="19" t="s">
        <v>1734</v>
      </c>
      <c r="C71" s="19" t="str">
        <f t="shared" si="32"/>
        <v>95159162PRTC (98)</v>
      </c>
      <c r="D71" s="19">
        <v>95159162</v>
      </c>
      <c r="E71" s="19" t="s">
        <v>431</v>
      </c>
      <c r="F71" s="19" t="s">
        <v>2067</v>
      </c>
      <c r="G71" s="20" t="s">
        <v>431</v>
      </c>
      <c r="H71" s="136">
        <v>492</v>
      </c>
      <c r="I71" s="19" t="s">
        <v>230</v>
      </c>
      <c r="J71" s="19" t="s">
        <v>243</v>
      </c>
      <c r="K71" s="19" t="s">
        <v>274</v>
      </c>
      <c r="L71" s="19" t="s">
        <v>233</v>
      </c>
      <c r="M71" s="19" t="s">
        <v>268</v>
      </c>
      <c r="N71" s="19" t="s">
        <v>247</v>
      </c>
      <c r="O71" s="19" t="s">
        <v>270</v>
      </c>
      <c r="P71" s="19" t="s">
        <v>237</v>
      </c>
      <c r="Q71" s="19" t="s">
        <v>276</v>
      </c>
      <c r="R71" s="19">
        <v>5600</v>
      </c>
      <c r="S71" s="19" t="s">
        <v>272</v>
      </c>
      <c r="T71" s="19" t="s">
        <v>263</v>
      </c>
      <c r="U71" s="20" t="s">
        <v>263</v>
      </c>
      <c r="V71" s="19" t="s">
        <v>1753</v>
      </c>
      <c r="W71" s="19" t="s">
        <v>219</v>
      </c>
      <c r="X71" s="35"/>
      <c r="Y71" s="35"/>
      <c r="Z71" s="32"/>
      <c r="AA71" s="22"/>
      <c r="AB71" s="22">
        <v>98</v>
      </c>
      <c r="AC71" s="22"/>
      <c r="AD71" s="22"/>
      <c r="AE71" s="60">
        <f t="shared" si="38"/>
        <v>98</v>
      </c>
      <c r="AF71" s="22"/>
      <c r="AG71" s="40">
        <f t="shared" si="39"/>
        <v>98</v>
      </c>
      <c r="AH71" s="24">
        <v>98</v>
      </c>
      <c r="AI71" s="24"/>
      <c r="AJ71" s="121">
        <v>98</v>
      </c>
      <c r="AK71" s="121"/>
      <c r="AL71" s="24"/>
      <c r="AM71" s="24"/>
      <c r="AN71" s="23">
        <f t="shared" si="33"/>
        <v>0</v>
      </c>
      <c r="AO71" s="25"/>
      <c r="AP71" s="25"/>
      <c r="AQ71" s="25"/>
      <c r="AR71" s="25"/>
      <c r="AS71" s="25">
        <f t="shared" si="34"/>
        <v>0</v>
      </c>
      <c r="AT71" s="13"/>
      <c r="AU71" s="21"/>
      <c r="AV71" s="21"/>
      <c r="AW71" s="21"/>
      <c r="AX71" s="21"/>
      <c r="AY71" s="21"/>
      <c r="AZ71" s="21"/>
      <c r="BA71" s="77"/>
      <c r="BB71" s="21"/>
      <c r="BC71" s="21"/>
      <c r="BD71" s="21"/>
      <c r="BE71" s="21"/>
      <c r="BF71" s="21"/>
      <c r="BG71" s="77"/>
      <c r="BH71" s="77"/>
      <c r="BI71" s="21"/>
      <c r="BJ71" s="21"/>
      <c r="BK71" s="21"/>
      <c r="BL71" s="21"/>
      <c r="BM71" s="21"/>
      <c r="BN71" s="21"/>
      <c r="BO71" s="77"/>
      <c r="BP71" s="21"/>
      <c r="BQ71" s="21"/>
      <c r="BR71" s="21"/>
      <c r="BS71" s="21"/>
      <c r="BT71" s="21"/>
      <c r="BU71" s="21"/>
      <c r="BV71" s="77"/>
      <c r="BW71" s="96">
        <f t="shared" si="40"/>
        <v>0</v>
      </c>
      <c r="BX71" s="94">
        <f t="shared" si="41"/>
        <v>0</v>
      </c>
      <c r="BY71" s="26"/>
      <c r="CA71" s="51" t="s">
        <v>431</v>
      </c>
      <c r="CB71" s="19" t="b">
        <f t="shared" si="35"/>
        <v>1</v>
      </c>
      <c r="CC71" s="19" t="s">
        <v>431</v>
      </c>
      <c r="CD71" s="19" t="s">
        <v>964</v>
      </c>
      <c r="CE71" s="120" t="s">
        <v>886</v>
      </c>
      <c r="CF71" s="120" t="s">
        <v>887</v>
      </c>
      <c r="CG71" s="120" t="s">
        <v>908</v>
      </c>
      <c r="CH71" s="120" t="s">
        <v>909</v>
      </c>
      <c r="CI71" s="120" t="s">
        <v>898</v>
      </c>
      <c r="CJ71" s="120" t="s">
        <v>899</v>
      </c>
      <c r="CK71" s="120" t="s">
        <v>875</v>
      </c>
      <c r="CL71" s="120" t="s">
        <v>876</v>
      </c>
      <c r="CM71" s="120" t="s">
        <v>965</v>
      </c>
      <c r="CN71" s="120" t="s">
        <v>966</v>
      </c>
      <c r="CO71" s="120" t="s">
        <v>967</v>
      </c>
      <c r="CP71" s="120" t="s">
        <v>968</v>
      </c>
      <c r="CQ71" s="120"/>
      <c r="CR71" s="120"/>
      <c r="CS71" s="120" t="s">
        <v>904</v>
      </c>
      <c r="CT71" s="120" t="s">
        <v>905</v>
      </c>
      <c r="CU71" s="120" t="s">
        <v>910</v>
      </c>
      <c r="CV71" s="120" t="s">
        <v>911</v>
      </c>
      <c r="CW71" s="120"/>
      <c r="CX71" s="120"/>
      <c r="CY71" s="120"/>
      <c r="CZ71" s="120"/>
      <c r="DA71" s="120"/>
      <c r="DB71" s="120"/>
      <c r="DC71" s="120"/>
      <c r="DD71" s="120"/>
      <c r="DE71" s="18"/>
      <c r="DF71" s="18"/>
    </row>
    <row r="72" spans="1:110" s="7" customFormat="1" x14ac:dyDescent="0.25">
      <c r="A72" s="19" t="s">
        <v>228</v>
      </c>
      <c r="B72" s="19" t="s">
        <v>80</v>
      </c>
      <c r="C72" s="19" t="str">
        <f t="shared" si="32"/>
        <v>95155523India</v>
      </c>
      <c r="D72" s="19">
        <v>95155523</v>
      </c>
      <c r="E72" s="19" t="s">
        <v>423</v>
      </c>
      <c r="F72" s="19" t="s">
        <v>2067</v>
      </c>
      <c r="G72" s="20" t="s">
        <v>423</v>
      </c>
      <c r="H72" s="136">
        <v>726</v>
      </c>
      <c r="I72" s="19" t="s">
        <v>230</v>
      </c>
      <c r="J72" s="19" t="s">
        <v>243</v>
      </c>
      <c r="K72" s="19" t="s">
        <v>274</v>
      </c>
      <c r="L72" s="19" t="s">
        <v>233</v>
      </c>
      <c r="M72" s="19" t="s">
        <v>268</v>
      </c>
      <c r="N72" s="19" t="s">
        <v>247</v>
      </c>
      <c r="O72" s="19" t="s">
        <v>275</v>
      </c>
      <c r="P72" s="19" t="s">
        <v>237</v>
      </c>
      <c r="Q72" s="19" t="s">
        <v>276</v>
      </c>
      <c r="R72" s="19">
        <v>5600</v>
      </c>
      <c r="S72" s="19" t="s">
        <v>422</v>
      </c>
      <c r="T72" s="19" t="s">
        <v>263</v>
      </c>
      <c r="U72" s="20" t="s">
        <v>263</v>
      </c>
      <c r="V72" s="19" t="s">
        <v>157</v>
      </c>
      <c r="W72" s="19" t="s">
        <v>221</v>
      </c>
      <c r="X72" s="35">
        <v>10</v>
      </c>
      <c r="Y72" s="35">
        <v>8</v>
      </c>
      <c r="Z72" s="32"/>
      <c r="AA72" s="22">
        <v>4.9999999999999956</v>
      </c>
      <c r="AB72" s="22">
        <v>4.9999999999999956</v>
      </c>
      <c r="AC72" s="22">
        <v>10</v>
      </c>
      <c r="AD72" s="22"/>
      <c r="AE72" s="60">
        <f t="shared" si="38"/>
        <v>19.999999999999993</v>
      </c>
      <c r="AF72" s="22"/>
      <c r="AG72" s="40">
        <f t="shared" si="39"/>
        <v>19.999999999999993</v>
      </c>
      <c r="AH72" s="24">
        <v>19</v>
      </c>
      <c r="AI72" s="24"/>
      <c r="AJ72" s="121">
        <v>19</v>
      </c>
      <c r="AK72" s="121"/>
      <c r="AL72" s="24">
        <v>10</v>
      </c>
      <c r="AM72" s="24"/>
      <c r="AN72" s="23">
        <f t="shared" si="33"/>
        <v>10.999999999999993</v>
      </c>
      <c r="AO72" s="25">
        <v>5</v>
      </c>
      <c r="AP72" s="25">
        <v>6</v>
      </c>
      <c r="AQ72" s="25"/>
      <c r="AR72" s="25"/>
      <c r="AS72" s="25">
        <f t="shared" si="34"/>
        <v>11</v>
      </c>
      <c r="AT72" s="13"/>
      <c r="AU72" s="21"/>
      <c r="AV72" s="21"/>
      <c r="AW72" s="21">
        <v>2</v>
      </c>
      <c r="AX72" s="21">
        <v>3</v>
      </c>
      <c r="AY72" s="21"/>
      <c r="AZ72" s="21"/>
      <c r="BA72" s="77"/>
      <c r="BB72" s="21"/>
      <c r="BC72" s="21"/>
      <c r="BD72" s="21">
        <v>3</v>
      </c>
      <c r="BE72" s="21">
        <v>3</v>
      </c>
      <c r="BF72" s="21"/>
      <c r="BG72" s="77"/>
      <c r="BH72" s="77"/>
      <c r="BI72" s="21"/>
      <c r="BJ72" s="21"/>
      <c r="BK72" s="21"/>
      <c r="BL72" s="21"/>
      <c r="BM72" s="21"/>
      <c r="BN72" s="21"/>
      <c r="BO72" s="77"/>
      <c r="BP72" s="21"/>
      <c r="BQ72" s="21"/>
      <c r="BR72" s="21"/>
      <c r="BS72" s="21"/>
      <c r="BT72" s="21"/>
      <c r="BU72" s="21"/>
      <c r="BV72" s="77"/>
      <c r="BW72" s="96">
        <f t="shared" si="40"/>
        <v>11</v>
      </c>
      <c r="BX72" s="94">
        <f t="shared" si="41"/>
        <v>0</v>
      </c>
      <c r="BY72" s="26"/>
      <c r="CA72" s="51" t="s">
        <v>423</v>
      </c>
      <c r="CB72" s="19" t="b">
        <f t="shared" si="35"/>
        <v>1</v>
      </c>
      <c r="CC72" s="19" t="s">
        <v>423</v>
      </c>
      <c r="CD72" s="19" t="s">
        <v>961</v>
      </c>
      <c r="CE72" s="120" t="s">
        <v>869</v>
      </c>
      <c r="CF72" s="120" t="s">
        <v>870</v>
      </c>
      <c r="CG72" s="120" t="s">
        <v>908</v>
      </c>
      <c r="CH72" s="120" t="s">
        <v>909</v>
      </c>
      <c r="CI72" s="120" t="s">
        <v>898</v>
      </c>
      <c r="CJ72" s="120" t="s">
        <v>899</v>
      </c>
      <c r="CK72" s="120" t="s">
        <v>875</v>
      </c>
      <c r="CL72" s="120" t="s">
        <v>876</v>
      </c>
      <c r="CM72" s="120" t="s">
        <v>952</v>
      </c>
      <c r="CN72" s="120" t="s">
        <v>953</v>
      </c>
      <c r="CO72" s="120" t="s">
        <v>962</v>
      </c>
      <c r="CP72" s="120" t="s">
        <v>963</v>
      </c>
      <c r="CQ72" s="120"/>
      <c r="CR72" s="120"/>
      <c r="CS72" s="120" t="s">
        <v>904</v>
      </c>
      <c r="CT72" s="120" t="s">
        <v>905</v>
      </c>
      <c r="CU72" s="120" t="s">
        <v>910</v>
      </c>
      <c r="CV72" s="120" t="s">
        <v>911</v>
      </c>
      <c r="CW72" s="120"/>
      <c r="CX72" s="120"/>
      <c r="CY72" s="120"/>
      <c r="CZ72" s="120"/>
      <c r="DA72" s="120"/>
      <c r="DB72" s="120"/>
      <c r="DC72" s="120"/>
      <c r="DD72" s="120"/>
      <c r="DE72" s="18"/>
      <c r="DF72" s="18"/>
    </row>
    <row r="73" spans="1:110" s="7" customFormat="1" x14ac:dyDescent="0.25">
      <c r="A73" s="19" t="s">
        <v>228</v>
      </c>
      <c r="B73" s="19" t="s">
        <v>80</v>
      </c>
      <c r="C73" s="19" t="str">
        <f t="shared" si="32"/>
        <v>95158906India</v>
      </c>
      <c r="D73" s="19">
        <v>95158906</v>
      </c>
      <c r="E73" s="19" t="s">
        <v>273</v>
      </c>
      <c r="F73" s="19" t="s">
        <v>2067</v>
      </c>
      <c r="G73" s="20" t="s">
        <v>273</v>
      </c>
      <c r="H73" s="136">
        <v>1185</v>
      </c>
      <c r="I73" s="19" t="s">
        <v>230</v>
      </c>
      <c r="J73" s="19" t="s">
        <v>243</v>
      </c>
      <c r="K73" s="19" t="s">
        <v>274</v>
      </c>
      <c r="L73" s="19" t="s">
        <v>233</v>
      </c>
      <c r="M73" s="19" t="s">
        <v>268</v>
      </c>
      <c r="N73" s="19" t="s">
        <v>247</v>
      </c>
      <c r="O73" s="19" t="s">
        <v>275</v>
      </c>
      <c r="P73" s="19" t="s">
        <v>237</v>
      </c>
      <c r="Q73" s="19" t="s">
        <v>276</v>
      </c>
      <c r="R73" s="19">
        <v>5600</v>
      </c>
      <c r="S73" s="19" t="s">
        <v>272</v>
      </c>
      <c r="T73" s="19" t="s">
        <v>263</v>
      </c>
      <c r="U73" s="20" t="s">
        <v>263</v>
      </c>
      <c r="V73" s="19" t="s">
        <v>159</v>
      </c>
      <c r="W73" s="19" t="s">
        <v>221</v>
      </c>
      <c r="X73" s="35">
        <v>10</v>
      </c>
      <c r="Y73" s="35">
        <v>5</v>
      </c>
      <c r="Z73" s="32"/>
      <c r="AA73" s="22"/>
      <c r="AB73" s="22"/>
      <c r="AC73" s="22"/>
      <c r="AD73" s="22"/>
      <c r="AE73" s="60">
        <f t="shared" si="38"/>
        <v>0</v>
      </c>
      <c r="AF73" s="22"/>
      <c r="AG73" s="40">
        <f t="shared" si="39"/>
        <v>0</v>
      </c>
      <c r="AH73" s="24"/>
      <c r="AI73" s="24"/>
      <c r="AJ73" s="121"/>
      <c r="AK73" s="121"/>
      <c r="AL73" s="24">
        <v>10</v>
      </c>
      <c r="AM73" s="24"/>
      <c r="AN73" s="23">
        <f t="shared" si="33"/>
        <v>10</v>
      </c>
      <c r="AO73" s="25">
        <v>5</v>
      </c>
      <c r="AP73" s="25">
        <v>5</v>
      </c>
      <c r="AQ73" s="25"/>
      <c r="AR73" s="25"/>
      <c r="AS73" s="25">
        <f t="shared" si="34"/>
        <v>10</v>
      </c>
      <c r="AT73" s="13"/>
      <c r="AU73" s="21"/>
      <c r="AV73" s="21"/>
      <c r="AW73" s="21"/>
      <c r="AX73" s="21"/>
      <c r="AY73" s="21"/>
      <c r="AZ73" s="21"/>
      <c r="BA73" s="77"/>
      <c r="BB73" s="21"/>
      <c r="BC73" s="21"/>
      <c r="BD73" s="21"/>
      <c r="BE73" s="21"/>
      <c r="BF73" s="21"/>
      <c r="BG73" s="77"/>
      <c r="BH73" s="77"/>
      <c r="BI73" s="21"/>
      <c r="BJ73" s="21"/>
      <c r="BK73" s="21"/>
      <c r="BL73" s="21"/>
      <c r="BM73" s="21"/>
      <c r="BN73" s="21"/>
      <c r="BO73" s="77"/>
      <c r="BP73" s="21"/>
      <c r="BQ73" s="21"/>
      <c r="BR73" s="21"/>
      <c r="BS73" s="21"/>
      <c r="BT73" s="21"/>
      <c r="BU73" s="21"/>
      <c r="BV73" s="77"/>
      <c r="BW73" s="96">
        <f t="shared" si="40"/>
        <v>0</v>
      </c>
      <c r="BX73" s="94">
        <f t="shared" si="41"/>
        <v>10</v>
      </c>
      <c r="BY73" s="26"/>
      <c r="CA73" s="51" t="s">
        <v>273</v>
      </c>
      <c r="CB73" s="19" t="b">
        <f t="shared" si="35"/>
        <v>1</v>
      </c>
      <c r="CC73" s="19" t="s">
        <v>273</v>
      </c>
      <c r="CD73" s="19" t="s">
        <v>951</v>
      </c>
      <c r="CE73" s="120" t="s">
        <v>886</v>
      </c>
      <c r="CF73" s="120" t="s">
        <v>887</v>
      </c>
      <c r="CG73" s="120" t="s">
        <v>908</v>
      </c>
      <c r="CH73" s="120" t="s">
        <v>909</v>
      </c>
      <c r="CI73" s="120" t="s">
        <v>898</v>
      </c>
      <c r="CJ73" s="120" t="s">
        <v>899</v>
      </c>
      <c r="CK73" s="120" t="s">
        <v>875</v>
      </c>
      <c r="CL73" s="120" t="s">
        <v>876</v>
      </c>
      <c r="CM73" s="120" t="s">
        <v>952</v>
      </c>
      <c r="CN73" s="120" t="s">
        <v>953</v>
      </c>
      <c r="CO73" s="120" t="s">
        <v>954</v>
      </c>
      <c r="CP73" s="120" t="s">
        <v>955</v>
      </c>
      <c r="CQ73" s="120"/>
      <c r="CR73" s="120"/>
      <c r="CS73" s="120" t="s">
        <v>904</v>
      </c>
      <c r="CT73" s="120" t="s">
        <v>905</v>
      </c>
      <c r="CU73" s="120" t="s">
        <v>910</v>
      </c>
      <c r="CV73" s="120" t="s">
        <v>911</v>
      </c>
      <c r="CW73" s="120"/>
      <c r="CX73" s="120"/>
      <c r="CY73" s="120"/>
      <c r="CZ73" s="120"/>
      <c r="DA73" s="120"/>
      <c r="DB73" s="120"/>
      <c r="DC73" s="120"/>
      <c r="DD73" s="120"/>
      <c r="DE73" s="18"/>
      <c r="DF73" s="18"/>
    </row>
    <row r="74" spans="1:110" s="7" customFormat="1" x14ac:dyDescent="0.25">
      <c r="A74" s="19" t="s">
        <v>228</v>
      </c>
      <c r="B74" s="19" t="s">
        <v>80</v>
      </c>
      <c r="C74" s="19" t="str">
        <f t="shared" si="32"/>
        <v>95158903India</v>
      </c>
      <c r="D74" s="19">
        <v>95158903</v>
      </c>
      <c r="E74" s="19" t="s">
        <v>431</v>
      </c>
      <c r="F74" s="19" t="s">
        <v>2067</v>
      </c>
      <c r="G74" s="20" t="s">
        <v>431</v>
      </c>
      <c r="H74" s="136">
        <v>492</v>
      </c>
      <c r="I74" s="19" t="s">
        <v>230</v>
      </c>
      <c r="J74" s="19" t="s">
        <v>243</v>
      </c>
      <c r="K74" s="19" t="s">
        <v>274</v>
      </c>
      <c r="L74" s="19" t="s">
        <v>233</v>
      </c>
      <c r="M74" s="19" t="s">
        <v>268</v>
      </c>
      <c r="N74" s="19" t="s">
        <v>247</v>
      </c>
      <c r="O74" s="19" t="s">
        <v>275</v>
      </c>
      <c r="P74" s="19" t="s">
        <v>237</v>
      </c>
      <c r="Q74" s="19" t="s">
        <v>276</v>
      </c>
      <c r="R74" s="19">
        <v>5600</v>
      </c>
      <c r="S74" s="19" t="s">
        <v>272</v>
      </c>
      <c r="T74" s="19" t="s">
        <v>263</v>
      </c>
      <c r="U74" s="20" t="s">
        <v>263</v>
      </c>
      <c r="V74" s="19" t="s">
        <v>165</v>
      </c>
      <c r="W74" s="19" t="s">
        <v>221</v>
      </c>
      <c r="X74" s="35">
        <v>33.999999999999964</v>
      </c>
      <c r="Y74" s="35">
        <v>34.999999999999964</v>
      </c>
      <c r="Z74" s="32"/>
      <c r="AA74" s="22">
        <v>19.000000000000032</v>
      </c>
      <c r="AB74" s="22">
        <v>10</v>
      </c>
      <c r="AC74" s="22">
        <v>5</v>
      </c>
      <c r="AD74" s="22"/>
      <c r="AE74" s="60">
        <f t="shared" si="38"/>
        <v>34.000000000000028</v>
      </c>
      <c r="AF74" s="22"/>
      <c r="AG74" s="40">
        <f t="shared" si="39"/>
        <v>34.000000000000028</v>
      </c>
      <c r="AH74" s="24">
        <v>10</v>
      </c>
      <c r="AI74" s="24"/>
      <c r="AJ74" s="121">
        <v>10</v>
      </c>
      <c r="AK74" s="121"/>
      <c r="AL74" s="24">
        <v>34</v>
      </c>
      <c r="AM74" s="24"/>
      <c r="AN74" s="23">
        <f t="shared" si="33"/>
        <v>58.000000000000028</v>
      </c>
      <c r="AO74" s="25">
        <v>28</v>
      </c>
      <c r="AP74" s="25">
        <v>15</v>
      </c>
      <c r="AQ74" s="25">
        <v>15</v>
      </c>
      <c r="AR74" s="25"/>
      <c r="AS74" s="25">
        <f t="shared" si="34"/>
        <v>58</v>
      </c>
      <c r="AT74" s="13"/>
      <c r="AU74" s="21"/>
      <c r="AV74" s="21">
        <v>4</v>
      </c>
      <c r="AW74" s="21">
        <v>5</v>
      </c>
      <c r="AX74" s="21">
        <v>5</v>
      </c>
      <c r="AY74" s="21">
        <v>5</v>
      </c>
      <c r="AZ74" s="21">
        <v>5</v>
      </c>
      <c r="BA74" s="77"/>
      <c r="BB74" s="21"/>
      <c r="BC74" s="21"/>
      <c r="BD74" s="21"/>
      <c r="BE74" s="21"/>
      <c r="BF74" s="21"/>
      <c r="BG74" s="77"/>
      <c r="BH74" s="77"/>
      <c r="BI74" s="21"/>
      <c r="BJ74" s="21"/>
      <c r="BK74" s="21"/>
      <c r="BL74" s="21"/>
      <c r="BM74" s="21"/>
      <c r="BN74" s="21"/>
      <c r="BO74" s="77"/>
      <c r="BP74" s="21"/>
      <c r="BQ74" s="21"/>
      <c r="BR74" s="21"/>
      <c r="BS74" s="21"/>
      <c r="BT74" s="21"/>
      <c r="BU74" s="21"/>
      <c r="BV74" s="77"/>
      <c r="BW74" s="96">
        <f t="shared" si="40"/>
        <v>24</v>
      </c>
      <c r="BX74" s="94">
        <f t="shared" si="41"/>
        <v>34</v>
      </c>
      <c r="BY74" s="26"/>
      <c r="CA74" s="51" t="s">
        <v>431</v>
      </c>
      <c r="CB74" s="19" t="b">
        <f t="shared" si="35"/>
        <v>1</v>
      </c>
      <c r="CC74" s="19" t="s">
        <v>431</v>
      </c>
      <c r="CD74" s="19" t="s">
        <v>964</v>
      </c>
      <c r="CE74" s="120" t="s">
        <v>886</v>
      </c>
      <c r="CF74" s="120" t="s">
        <v>887</v>
      </c>
      <c r="CG74" s="120" t="s">
        <v>908</v>
      </c>
      <c r="CH74" s="120" t="s">
        <v>909</v>
      </c>
      <c r="CI74" s="120" t="s">
        <v>898</v>
      </c>
      <c r="CJ74" s="120" t="s">
        <v>899</v>
      </c>
      <c r="CK74" s="120" t="s">
        <v>875</v>
      </c>
      <c r="CL74" s="120" t="s">
        <v>876</v>
      </c>
      <c r="CM74" s="120" t="s">
        <v>965</v>
      </c>
      <c r="CN74" s="120" t="s">
        <v>966</v>
      </c>
      <c r="CO74" s="120" t="s">
        <v>967</v>
      </c>
      <c r="CP74" s="120" t="s">
        <v>968</v>
      </c>
      <c r="CQ74" s="120"/>
      <c r="CR74" s="120"/>
      <c r="CS74" s="120" t="s">
        <v>904</v>
      </c>
      <c r="CT74" s="120" t="s">
        <v>905</v>
      </c>
      <c r="CU74" s="120" t="s">
        <v>910</v>
      </c>
      <c r="CV74" s="120" t="s">
        <v>911</v>
      </c>
      <c r="CW74" s="120"/>
      <c r="CX74" s="120"/>
      <c r="CY74" s="120"/>
      <c r="CZ74" s="120"/>
      <c r="DA74" s="120"/>
      <c r="DB74" s="120"/>
      <c r="DC74" s="120"/>
      <c r="DD74" s="120"/>
      <c r="DE74" s="18"/>
      <c r="DF74" s="18"/>
    </row>
    <row r="75" spans="1:110" s="7" customFormat="1" x14ac:dyDescent="0.25">
      <c r="A75" s="19" t="s">
        <v>228</v>
      </c>
      <c r="B75" s="19" t="s">
        <v>80</v>
      </c>
      <c r="C75" s="19" t="str">
        <f t="shared" si="32"/>
        <v>95158914India</v>
      </c>
      <c r="D75" s="19">
        <v>95158914</v>
      </c>
      <c r="E75" s="19" t="s">
        <v>273</v>
      </c>
      <c r="F75" s="19" t="s">
        <v>2067</v>
      </c>
      <c r="G75" s="20" t="s">
        <v>273</v>
      </c>
      <c r="H75" s="136">
        <v>1185</v>
      </c>
      <c r="I75" s="19" t="s">
        <v>230</v>
      </c>
      <c r="J75" s="19" t="s">
        <v>243</v>
      </c>
      <c r="K75" s="19" t="s">
        <v>274</v>
      </c>
      <c r="L75" s="19" t="s">
        <v>233</v>
      </c>
      <c r="M75" s="19" t="s">
        <v>268</v>
      </c>
      <c r="N75" s="19" t="s">
        <v>247</v>
      </c>
      <c r="O75" s="19" t="s">
        <v>275</v>
      </c>
      <c r="P75" s="19" t="s">
        <v>237</v>
      </c>
      <c r="Q75" s="19" t="s">
        <v>276</v>
      </c>
      <c r="R75" s="19">
        <v>5600</v>
      </c>
      <c r="S75" s="19" t="s">
        <v>272</v>
      </c>
      <c r="T75" s="19" t="s">
        <v>263</v>
      </c>
      <c r="U75" s="20" t="s">
        <v>263</v>
      </c>
      <c r="V75" s="19" t="s">
        <v>1780</v>
      </c>
      <c r="W75" s="19" t="s">
        <v>222</v>
      </c>
      <c r="X75" s="35">
        <v>1.0000000000000013</v>
      </c>
      <c r="Y75" s="35">
        <v>1.0000000000000013</v>
      </c>
      <c r="Z75" s="32"/>
      <c r="AA75" s="22">
        <v>1</v>
      </c>
      <c r="AB75" s="22"/>
      <c r="AC75" s="22"/>
      <c r="AD75" s="22"/>
      <c r="AE75" s="60">
        <f t="shared" si="38"/>
        <v>1</v>
      </c>
      <c r="AF75" s="22"/>
      <c r="AG75" s="40">
        <f t="shared" si="39"/>
        <v>1</v>
      </c>
      <c r="AH75" s="24">
        <v>29</v>
      </c>
      <c r="AI75" s="24"/>
      <c r="AJ75" s="121">
        <v>1</v>
      </c>
      <c r="AK75" s="121"/>
      <c r="AL75" s="24"/>
      <c r="AM75" s="24"/>
      <c r="AN75" s="23">
        <f t="shared" si="33"/>
        <v>0</v>
      </c>
      <c r="AO75" s="25"/>
      <c r="AP75" s="25"/>
      <c r="AQ75" s="25"/>
      <c r="AR75" s="25"/>
      <c r="AS75" s="25">
        <f t="shared" si="34"/>
        <v>0</v>
      </c>
      <c r="AT75" s="13"/>
      <c r="AU75" s="21"/>
      <c r="AV75" s="21"/>
      <c r="AW75" s="21"/>
      <c r="AX75" s="21"/>
      <c r="AY75" s="21"/>
      <c r="AZ75" s="21"/>
      <c r="BA75" s="77"/>
      <c r="BB75" s="21"/>
      <c r="BC75" s="21"/>
      <c r="BD75" s="21"/>
      <c r="BE75" s="21"/>
      <c r="BF75" s="21"/>
      <c r="BG75" s="77"/>
      <c r="BH75" s="77"/>
      <c r="BI75" s="21"/>
      <c r="BJ75" s="21"/>
      <c r="BK75" s="21"/>
      <c r="BL75" s="21"/>
      <c r="BM75" s="21"/>
      <c r="BN75" s="21"/>
      <c r="BO75" s="77"/>
      <c r="BP75" s="21"/>
      <c r="BQ75" s="21"/>
      <c r="BR75" s="21"/>
      <c r="BS75" s="21"/>
      <c r="BT75" s="21"/>
      <c r="BU75" s="21"/>
      <c r="BV75" s="77"/>
      <c r="BW75" s="96">
        <f t="shared" si="40"/>
        <v>0</v>
      </c>
      <c r="BX75" s="94">
        <f t="shared" si="41"/>
        <v>0</v>
      </c>
      <c r="BY75" s="26"/>
      <c r="CA75" s="51" t="s">
        <v>273</v>
      </c>
      <c r="CB75" s="19" t="b">
        <f t="shared" ref="CB75:CB118" si="42">CC75=CA75</f>
        <v>1</v>
      </c>
      <c r="CC75" s="19" t="s">
        <v>273</v>
      </c>
      <c r="CD75" s="19" t="s">
        <v>951</v>
      </c>
      <c r="CE75" s="120" t="s">
        <v>886</v>
      </c>
      <c r="CF75" s="120" t="s">
        <v>887</v>
      </c>
      <c r="CG75" s="120" t="s">
        <v>908</v>
      </c>
      <c r="CH75" s="120" t="s">
        <v>909</v>
      </c>
      <c r="CI75" s="120" t="s">
        <v>898</v>
      </c>
      <c r="CJ75" s="120" t="s">
        <v>899</v>
      </c>
      <c r="CK75" s="120" t="s">
        <v>875</v>
      </c>
      <c r="CL75" s="120" t="s">
        <v>876</v>
      </c>
      <c r="CM75" s="120" t="s">
        <v>952</v>
      </c>
      <c r="CN75" s="120" t="s">
        <v>953</v>
      </c>
      <c r="CO75" s="120" t="s">
        <v>954</v>
      </c>
      <c r="CP75" s="120" t="s">
        <v>955</v>
      </c>
      <c r="CQ75" s="120"/>
      <c r="CR75" s="120"/>
      <c r="CS75" s="120" t="s">
        <v>904</v>
      </c>
      <c r="CT75" s="120" t="s">
        <v>905</v>
      </c>
      <c r="CU75" s="120" t="s">
        <v>910</v>
      </c>
      <c r="CV75" s="120" t="s">
        <v>911</v>
      </c>
      <c r="CW75" s="120"/>
      <c r="CX75" s="120"/>
      <c r="CY75" s="120"/>
      <c r="CZ75" s="120"/>
      <c r="DA75" s="120"/>
      <c r="DB75" s="120"/>
      <c r="DC75" s="120"/>
      <c r="DD75" s="120"/>
      <c r="DE75" s="18"/>
      <c r="DF75" s="18"/>
    </row>
    <row r="76" spans="1:110" s="7" customFormat="1" x14ac:dyDescent="0.25">
      <c r="A76" s="19" t="s">
        <v>228</v>
      </c>
      <c r="B76" s="19" t="s">
        <v>80</v>
      </c>
      <c r="C76" s="19" t="str">
        <f t="shared" ref="C76:C119" si="43">D76&amp;B76</f>
        <v>95159067India</v>
      </c>
      <c r="D76" s="19">
        <v>95159067</v>
      </c>
      <c r="E76" s="19" t="s">
        <v>1841</v>
      </c>
      <c r="F76" s="19" t="s">
        <v>2067</v>
      </c>
      <c r="G76" s="20" t="s">
        <v>1841</v>
      </c>
      <c r="H76" s="136">
        <v>44</v>
      </c>
      <c r="I76" s="19" t="s">
        <v>230</v>
      </c>
      <c r="J76" s="19" t="s">
        <v>243</v>
      </c>
      <c r="K76" s="19" t="s">
        <v>274</v>
      </c>
      <c r="L76" s="19" t="s">
        <v>233</v>
      </c>
      <c r="M76" s="19" t="s">
        <v>268</v>
      </c>
      <c r="N76" s="19" t="s">
        <v>247</v>
      </c>
      <c r="O76" s="19" t="s">
        <v>275</v>
      </c>
      <c r="P76" s="19" t="s">
        <v>237</v>
      </c>
      <c r="Q76" s="19" t="s">
        <v>276</v>
      </c>
      <c r="R76" s="19">
        <v>5600</v>
      </c>
      <c r="S76" s="19" t="s">
        <v>272</v>
      </c>
      <c r="T76" s="19" t="s">
        <v>263</v>
      </c>
      <c r="U76" s="20" t="s">
        <v>263</v>
      </c>
      <c r="V76" s="19" t="s">
        <v>1785</v>
      </c>
      <c r="W76" s="19" t="s">
        <v>222</v>
      </c>
      <c r="X76" s="35">
        <v>2.0000000000000027</v>
      </c>
      <c r="Y76" s="35">
        <v>2.0000000000000027</v>
      </c>
      <c r="Z76" s="32"/>
      <c r="AA76" s="22"/>
      <c r="AB76" s="22">
        <v>3</v>
      </c>
      <c r="AC76" s="22"/>
      <c r="AD76" s="22"/>
      <c r="AE76" s="60">
        <f t="shared" si="38"/>
        <v>3</v>
      </c>
      <c r="AF76" s="22"/>
      <c r="AG76" s="40">
        <f t="shared" si="39"/>
        <v>3</v>
      </c>
      <c r="AH76" s="24"/>
      <c r="AI76" s="24">
        <v>3</v>
      </c>
      <c r="AJ76" s="121"/>
      <c r="AK76" s="121">
        <v>3</v>
      </c>
      <c r="AL76" s="24"/>
      <c r="AM76" s="24"/>
      <c r="AN76" s="23">
        <f t="shared" ref="AN76:AN119" si="44">AG76-AJ76-AK76+AL76+AM76</f>
        <v>0</v>
      </c>
      <c r="AO76" s="25"/>
      <c r="AP76" s="25"/>
      <c r="AQ76" s="25"/>
      <c r="AR76" s="25"/>
      <c r="AS76" s="25">
        <f t="shared" ref="AS76:AS119" si="45">SUM(AO76:AR76)</f>
        <v>0</v>
      </c>
      <c r="AT76" s="13">
        <v>3</v>
      </c>
      <c r="AU76" s="21">
        <v>3</v>
      </c>
      <c r="AV76" s="21"/>
      <c r="AW76" s="21"/>
      <c r="AX76" s="21"/>
      <c r="AY76" s="21"/>
      <c r="AZ76" s="21"/>
      <c r="BA76" s="77"/>
      <c r="BB76" s="21"/>
      <c r="BC76" s="21"/>
      <c r="BD76" s="21"/>
      <c r="BE76" s="21"/>
      <c r="BF76" s="21"/>
      <c r="BG76" s="77"/>
      <c r="BH76" s="77"/>
      <c r="BI76" s="21"/>
      <c r="BJ76" s="21"/>
      <c r="BK76" s="21"/>
      <c r="BL76" s="21"/>
      <c r="BM76" s="21"/>
      <c r="BN76" s="21"/>
      <c r="BO76" s="77"/>
      <c r="BP76" s="21"/>
      <c r="BQ76" s="21"/>
      <c r="BR76" s="21"/>
      <c r="BS76" s="21"/>
      <c r="BT76" s="21"/>
      <c r="BU76" s="21"/>
      <c r="BV76" s="77"/>
      <c r="BW76" s="96">
        <f t="shared" si="40"/>
        <v>0</v>
      </c>
      <c r="BX76" s="94">
        <f t="shared" si="41"/>
        <v>0</v>
      </c>
      <c r="BY76" s="26"/>
      <c r="CA76" s="51" t="s">
        <v>1841</v>
      </c>
      <c r="CB76" s="19" t="b">
        <f t="shared" si="42"/>
        <v>1</v>
      </c>
      <c r="CC76" s="19" t="s">
        <v>1841</v>
      </c>
      <c r="CD76" s="19" t="s">
        <v>1898</v>
      </c>
      <c r="CE76" s="120" t="s">
        <v>886</v>
      </c>
      <c r="CF76" s="120" t="s">
        <v>887</v>
      </c>
      <c r="CG76" s="120" t="s">
        <v>896</v>
      </c>
      <c r="CH76" s="120" t="s">
        <v>897</v>
      </c>
      <c r="CI76" s="120" t="s">
        <v>898</v>
      </c>
      <c r="CJ76" s="120" t="s">
        <v>899</v>
      </c>
      <c r="CK76" s="120" t="s">
        <v>875</v>
      </c>
      <c r="CL76" s="120" t="s">
        <v>876</v>
      </c>
      <c r="CM76" s="120" t="s">
        <v>959</v>
      </c>
      <c r="CN76" s="120" t="s">
        <v>960</v>
      </c>
      <c r="CO76" s="120" t="s">
        <v>1899</v>
      </c>
      <c r="CP76" s="120" t="s">
        <v>1900</v>
      </c>
      <c r="CQ76" s="120"/>
      <c r="CR76" s="120"/>
      <c r="CS76" s="120" t="s">
        <v>904</v>
      </c>
      <c r="CT76" s="120" t="s">
        <v>905</v>
      </c>
      <c r="CU76" s="120" t="s">
        <v>906</v>
      </c>
      <c r="CV76" s="120" t="s">
        <v>907</v>
      </c>
      <c r="CW76" s="120"/>
      <c r="CX76" s="120"/>
      <c r="CY76" s="120"/>
      <c r="CZ76" s="120"/>
      <c r="DA76" s="120"/>
      <c r="DB76" s="120"/>
      <c r="DC76" s="120"/>
      <c r="DD76" s="120"/>
      <c r="DE76" s="18"/>
      <c r="DF76" s="18"/>
    </row>
    <row r="77" spans="1:110" s="7" customFormat="1" x14ac:dyDescent="0.25">
      <c r="A77" s="19" t="s">
        <v>228</v>
      </c>
      <c r="B77" s="19" t="s">
        <v>80</v>
      </c>
      <c r="C77" s="19" t="str">
        <f t="shared" si="43"/>
        <v>95159068India</v>
      </c>
      <c r="D77" s="19">
        <v>95159068</v>
      </c>
      <c r="E77" s="19" t="s">
        <v>1841</v>
      </c>
      <c r="F77" s="19" t="s">
        <v>2067</v>
      </c>
      <c r="G77" s="20" t="s">
        <v>1841</v>
      </c>
      <c r="H77" s="136">
        <v>44</v>
      </c>
      <c r="I77" s="19" t="s">
        <v>230</v>
      </c>
      <c r="J77" s="19" t="s">
        <v>243</v>
      </c>
      <c r="K77" s="19" t="s">
        <v>274</v>
      </c>
      <c r="L77" s="19" t="s">
        <v>233</v>
      </c>
      <c r="M77" s="19" t="s">
        <v>268</v>
      </c>
      <c r="N77" s="19" t="s">
        <v>247</v>
      </c>
      <c r="O77" s="19" t="s">
        <v>275</v>
      </c>
      <c r="P77" s="19" t="s">
        <v>237</v>
      </c>
      <c r="Q77" s="19" t="s">
        <v>276</v>
      </c>
      <c r="R77" s="19">
        <v>5600</v>
      </c>
      <c r="S77" s="19" t="s">
        <v>272</v>
      </c>
      <c r="T77" s="19" t="s">
        <v>263</v>
      </c>
      <c r="U77" s="20" t="s">
        <v>263</v>
      </c>
      <c r="V77" s="19" t="s">
        <v>1786</v>
      </c>
      <c r="W77" s="19" t="s">
        <v>222</v>
      </c>
      <c r="X77" s="35"/>
      <c r="Y77" s="35"/>
      <c r="Z77" s="32"/>
      <c r="AA77" s="22"/>
      <c r="AB77" s="22"/>
      <c r="AC77" s="22"/>
      <c r="AD77" s="22">
        <v>1.0000000000000013</v>
      </c>
      <c r="AE77" s="60">
        <f t="shared" si="38"/>
        <v>1.0000000000000013</v>
      </c>
      <c r="AF77" s="22"/>
      <c r="AG77" s="40">
        <f t="shared" si="39"/>
        <v>1.0000000000000013</v>
      </c>
      <c r="AH77" s="24"/>
      <c r="AI77" s="24"/>
      <c r="AJ77" s="121"/>
      <c r="AK77" s="121"/>
      <c r="AL77" s="24"/>
      <c r="AM77" s="24"/>
      <c r="AN77" s="23">
        <f t="shared" si="44"/>
        <v>1.0000000000000013</v>
      </c>
      <c r="AO77" s="25"/>
      <c r="AP77" s="25"/>
      <c r="AQ77" s="25">
        <v>1</v>
      </c>
      <c r="AR77" s="25"/>
      <c r="AS77" s="25">
        <f t="shared" si="45"/>
        <v>1</v>
      </c>
      <c r="AT77" s="13"/>
      <c r="AU77" s="21"/>
      <c r="AV77" s="21"/>
      <c r="AW77" s="21"/>
      <c r="AX77" s="21"/>
      <c r="AY77" s="21"/>
      <c r="AZ77" s="21"/>
      <c r="BA77" s="77"/>
      <c r="BB77" s="21"/>
      <c r="BC77" s="21"/>
      <c r="BD77" s="21"/>
      <c r="BE77" s="21"/>
      <c r="BF77" s="21"/>
      <c r="BG77" s="77"/>
      <c r="BH77" s="77"/>
      <c r="BI77" s="21"/>
      <c r="BJ77" s="21"/>
      <c r="BK77" s="21">
        <v>1</v>
      </c>
      <c r="BL77" s="21"/>
      <c r="BM77" s="21"/>
      <c r="BN77" s="21"/>
      <c r="BO77" s="77"/>
      <c r="BP77" s="21"/>
      <c r="BQ77" s="21"/>
      <c r="BR77" s="21"/>
      <c r="BS77" s="21"/>
      <c r="BT77" s="21"/>
      <c r="BU77" s="21"/>
      <c r="BV77" s="77"/>
      <c r="BW77" s="96">
        <f t="shared" si="40"/>
        <v>1</v>
      </c>
      <c r="BX77" s="94">
        <f t="shared" si="41"/>
        <v>0</v>
      </c>
      <c r="BY77" s="26"/>
      <c r="CA77" s="51" t="s">
        <v>1841</v>
      </c>
      <c r="CB77" s="19" t="b">
        <f t="shared" si="42"/>
        <v>1</v>
      </c>
      <c r="CC77" s="19" t="s">
        <v>1841</v>
      </c>
      <c r="CD77" s="19" t="s">
        <v>1898</v>
      </c>
      <c r="CE77" s="120" t="s">
        <v>886</v>
      </c>
      <c r="CF77" s="120" t="s">
        <v>887</v>
      </c>
      <c r="CG77" s="120" t="s">
        <v>896</v>
      </c>
      <c r="CH77" s="120" t="s">
        <v>897</v>
      </c>
      <c r="CI77" s="120" t="s">
        <v>898</v>
      </c>
      <c r="CJ77" s="120" t="s">
        <v>899</v>
      </c>
      <c r="CK77" s="120" t="s">
        <v>875</v>
      </c>
      <c r="CL77" s="120" t="s">
        <v>876</v>
      </c>
      <c r="CM77" s="120" t="s">
        <v>959</v>
      </c>
      <c r="CN77" s="120" t="s">
        <v>960</v>
      </c>
      <c r="CO77" s="120" t="s">
        <v>1899</v>
      </c>
      <c r="CP77" s="120" t="s">
        <v>1900</v>
      </c>
      <c r="CQ77" s="120"/>
      <c r="CR77" s="120"/>
      <c r="CS77" s="120" t="s">
        <v>904</v>
      </c>
      <c r="CT77" s="120" t="s">
        <v>905</v>
      </c>
      <c r="CU77" s="120" t="s">
        <v>906</v>
      </c>
      <c r="CV77" s="120" t="s">
        <v>907</v>
      </c>
      <c r="CW77" s="120"/>
      <c r="CX77" s="120"/>
      <c r="CY77" s="120"/>
      <c r="CZ77" s="120"/>
      <c r="DA77" s="120"/>
      <c r="DB77" s="120"/>
      <c r="DC77" s="120"/>
      <c r="DD77" s="120"/>
      <c r="DE77" s="18"/>
      <c r="DF77" s="18"/>
    </row>
    <row r="78" spans="1:110" s="7" customFormat="1" x14ac:dyDescent="0.25">
      <c r="A78" s="19" t="s">
        <v>228</v>
      </c>
      <c r="B78" s="19" t="s">
        <v>80</v>
      </c>
      <c r="C78" s="19" t="str">
        <f t="shared" si="43"/>
        <v>95158904India</v>
      </c>
      <c r="D78" s="19">
        <v>95158904</v>
      </c>
      <c r="E78" s="19" t="s">
        <v>1603</v>
      </c>
      <c r="F78" s="19" t="s">
        <v>2067</v>
      </c>
      <c r="G78" s="20" t="s">
        <v>1603</v>
      </c>
      <c r="H78" s="136">
        <v>71</v>
      </c>
      <c r="I78" s="19" t="s">
        <v>230</v>
      </c>
      <c r="J78" s="19" t="s">
        <v>243</v>
      </c>
      <c r="K78" s="19" t="s">
        <v>274</v>
      </c>
      <c r="L78" s="19" t="s">
        <v>233</v>
      </c>
      <c r="M78" s="19" t="s">
        <v>268</v>
      </c>
      <c r="N78" s="19" t="s">
        <v>247</v>
      </c>
      <c r="O78" s="19" t="s">
        <v>275</v>
      </c>
      <c r="P78" s="19" t="s">
        <v>237</v>
      </c>
      <c r="Q78" s="19" t="s">
        <v>276</v>
      </c>
      <c r="R78" s="19">
        <v>5600</v>
      </c>
      <c r="S78" s="19" t="s">
        <v>272</v>
      </c>
      <c r="T78" s="19" t="s">
        <v>263</v>
      </c>
      <c r="U78" s="20" t="s">
        <v>263</v>
      </c>
      <c r="V78" s="19" t="s">
        <v>1557</v>
      </c>
      <c r="W78" s="19" t="s">
        <v>222</v>
      </c>
      <c r="X78" s="35">
        <v>3.000000000000004</v>
      </c>
      <c r="Y78" s="35">
        <v>2.0000000000000027</v>
      </c>
      <c r="Z78" s="32"/>
      <c r="AA78" s="22">
        <v>2</v>
      </c>
      <c r="AB78" s="22"/>
      <c r="AC78" s="22">
        <v>2</v>
      </c>
      <c r="AD78" s="22"/>
      <c r="AE78" s="60">
        <f t="shared" si="38"/>
        <v>4</v>
      </c>
      <c r="AF78" s="22"/>
      <c r="AG78" s="40">
        <f t="shared" si="39"/>
        <v>4</v>
      </c>
      <c r="AH78" s="24">
        <v>5</v>
      </c>
      <c r="AI78" s="24"/>
      <c r="AJ78" s="121">
        <v>4</v>
      </c>
      <c r="AK78" s="121"/>
      <c r="AL78" s="24"/>
      <c r="AM78" s="24"/>
      <c r="AN78" s="23">
        <f t="shared" si="44"/>
        <v>0</v>
      </c>
      <c r="AO78" s="25"/>
      <c r="AP78" s="25"/>
      <c r="AQ78" s="25"/>
      <c r="AR78" s="25"/>
      <c r="AS78" s="25">
        <f t="shared" si="45"/>
        <v>0</v>
      </c>
      <c r="AT78" s="13"/>
      <c r="AU78" s="21"/>
      <c r="AV78" s="21"/>
      <c r="AW78" s="21"/>
      <c r="AX78" s="21"/>
      <c r="AY78" s="21"/>
      <c r="AZ78" s="21"/>
      <c r="BA78" s="77"/>
      <c r="BB78" s="21"/>
      <c r="BC78" s="21"/>
      <c r="BD78" s="21"/>
      <c r="BE78" s="21"/>
      <c r="BF78" s="21"/>
      <c r="BG78" s="77"/>
      <c r="BH78" s="77"/>
      <c r="BI78" s="21"/>
      <c r="BJ78" s="21"/>
      <c r="BK78" s="21"/>
      <c r="BL78" s="21"/>
      <c r="BM78" s="21"/>
      <c r="BN78" s="21"/>
      <c r="BO78" s="77"/>
      <c r="BP78" s="21"/>
      <c r="BQ78" s="21"/>
      <c r="BR78" s="21"/>
      <c r="BS78" s="21"/>
      <c r="BT78" s="21"/>
      <c r="BU78" s="21"/>
      <c r="BV78" s="77"/>
      <c r="BW78" s="96">
        <f t="shared" si="40"/>
        <v>0</v>
      </c>
      <c r="BX78" s="94">
        <f t="shared" si="41"/>
        <v>0</v>
      </c>
      <c r="BY78" s="26"/>
      <c r="CA78" s="51" t="s">
        <v>1603</v>
      </c>
      <c r="CB78" s="19" t="b">
        <f t="shared" si="42"/>
        <v>1</v>
      </c>
      <c r="CC78" s="19" t="s">
        <v>1603</v>
      </c>
      <c r="CD78" s="19" t="s">
        <v>1656</v>
      </c>
      <c r="CE78" s="120" t="s">
        <v>886</v>
      </c>
      <c r="CF78" s="120" t="s">
        <v>887</v>
      </c>
      <c r="CG78" s="120" t="s">
        <v>896</v>
      </c>
      <c r="CH78" s="120" t="s">
        <v>897</v>
      </c>
      <c r="CI78" s="120" t="s">
        <v>898</v>
      </c>
      <c r="CJ78" s="120" t="s">
        <v>899</v>
      </c>
      <c r="CK78" s="120" t="s">
        <v>875</v>
      </c>
      <c r="CL78" s="120" t="s">
        <v>876</v>
      </c>
      <c r="CM78" s="120" t="s">
        <v>965</v>
      </c>
      <c r="CN78" s="120" t="s">
        <v>966</v>
      </c>
      <c r="CO78" s="120" t="s">
        <v>1657</v>
      </c>
      <c r="CP78" s="120" t="s">
        <v>1658</v>
      </c>
      <c r="CQ78" s="120"/>
      <c r="CR78" s="120"/>
      <c r="CS78" s="120" t="s">
        <v>904</v>
      </c>
      <c r="CT78" s="120" t="s">
        <v>905</v>
      </c>
      <c r="CU78" s="120" t="s">
        <v>906</v>
      </c>
      <c r="CV78" s="120" t="s">
        <v>907</v>
      </c>
      <c r="CW78" s="120"/>
      <c r="CX78" s="120"/>
      <c r="CY78" s="120"/>
      <c r="CZ78" s="120"/>
      <c r="DA78" s="120"/>
      <c r="DB78" s="120"/>
      <c r="DC78" s="120"/>
      <c r="DD78" s="120"/>
      <c r="DE78" s="18"/>
      <c r="DF78" s="18"/>
    </row>
    <row r="79" spans="1:110" s="7" customFormat="1" x14ac:dyDescent="0.25">
      <c r="A79" s="19" t="s">
        <v>228</v>
      </c>
      <c r="B79" s="19" t="s">
        <v>80</v>
      </c>
      <c r="C79" s="19" t="str">
        <f t="shared" si="43"/>
        <v>95155528India</v>
      </c>
      <c r="D79" s="19">
        <v>95155528</v>
      </c>
      <c r="E79" s="19" t="s">
        <v>423</v>
      </c>
      <c r="F79" s="19" t="s">
        <v>2067</v>
      </c>
      <c r="G79" s="20" t="s">
        <v>423</v>
      </c>
      <c r="H79" s="136">
        <v>726</v>
      </c>
      <c r="I79" s="19" t="s">
        <v>230</v>
      </c>
      <c r="J79" s="19" t="s">
        <v>243</v>
      </c>
      <c r="K79" s="19" t="s">
        <v>274</v>
      </c>
      <c r="L79" s="19" t="s">
        <v>233</v>
      </c>
      <c r="M79" s="19" t="s">
        <v>268</v>
      </c>
      <c r="N79" s="19" t="s">
        <v>247</v>
      </c>
      <c r="O79" s="19" t="s">
        <v>275</v>
      </c>
      <c r="P79" s="19" t="s">
        <v>237</v>
      </c>
      <c r="Q79" s="19" t="s">
        <v>276</v>
      </c>
      <c r="R79" s="19">
        <v>5600</v>
      </c>
      <c r="S79" s="19" t="s">
        <v>462</v>
      </c>
      <c r="T79" s="19" t="s">
        <v>263</v>
      </c>
      <c r="U79" s="20" t="s">
        <v>263</v>
      </c>
      <c r="V79" s="19" t="s">
        <v>2035</v>
      </c>
      <c r="W79" s="19" t="s">
        <v>222</v>
      </c>
      <c r="X79" s="35">
        <v>1.0000000000000013</v>
      </c>
      <c r="Y79" s="35">
        <v>1.0000000000000013</v>
      </c>
      <c r="Z79" s="32"/>
      <c r="AA79" s="22">
        <v>2.0000000000000027</v>
      </c>
      <c r="AB79" s="22"/>
      <c r="AC79" s="22"/>
      <c r="AD79" s="22"/>
      <c r="AE79" s="60">
        <f t="shared" si="38"/>
        <v>2.0000000000000027</v>
      </c>
      <c r="AF79" s="22"/>
      <c r="AG79" s="40">
        <f t="shared" si="39"/>
        <v>2.0000000000000027</v>
      </c>
      <c r="AH79" s="24"/>
      <c r="AI79" s="24"/>
      <c r="AJ79" s="121"/>
      <c r="AK79" s="121"/>
      <c r="AL79" s="24"/>
      <c r="AM79" s="24"/>
      <c r="AN79" s="23">
        <f t="shared" si="44"/>
        <v>2.0000000000000027</v>
      </c>
      <c r="AO79" s="25"/>
      <c r="AP79" s="25"/>
      <c r="AQ79" s="25">
        <v>2</v>
      </c>
      <c r="AR79" s="25"/>
      <c r="AS79" s="25">
        <f t="shared" si="45"/>
        <v>2</v>
      </c>
      <c r="AT79" s="13"/>
      <c r="AU79" s="21"/>
      <c r="AV79" s="21"/>
      <c r="AW79" s="21"/>
      <c r="AX79" s="21"/>
      <c r="AY79" s="21"/>
      <c r="AZ79" s="21"/>
      <c r="BA79" s="77"/>
      <c r="BB79" s="21"/>
      <c r="BC79" s="21"/>
      <c r="BD79" s="21"/>
      <c r="BE79" s="21"/>
      <c r="BF79" s="21"/>
      <c r="BG79" s="77"/>
      <c r="BH79" s="77"/>
      <c r="BI79" s="21"/>
      <c r="BJ79" s="21"/>
      <c r="BK79" s="21">
        <v>2</v>
      </c>
      <c r="BL79" s="21"/>
      <c r="BM79" s="21"/>
      <c r="BN79" s="21"/>
      <c r="BO79" s="77"/>
      <c r="BP79" s="21"/>
      <c r="BQ79" s="21"/>
      <c r="BR79" s="21"/>
      <c r="BS79" s="21"/>
      <c r="BT79" s="21"/>
      <c r="BU79" s="21"/>
      <c r="BV79" s="77"/>
      <c r="BW79" s="96">
        <f t="shared" si="40"/>
        <v>2</v>
      </c>
      <c r="BX79" s="94">
        <f t="shared" si="41"/>
        <v>0</v>
      </c>
      <c r="BY79" s="26"/>
      <c r="CA79" s="52" t="s">
        <v>423</v>
      </c>
      <c r="CB79" s="19" t="b">
        <f t="shared" si="42"/>
        <v>1</v>
      </c>
      <c r="CC79" s="19" t="s">
        <v>423</v>
      </c>
      <c r="CD79" s="19" t="s">
        <v>961</v>
      </c>
      <c r="CE79" s="120" t="s">
        <v>869</v>
      </c>
      <c r="CF79" s="120" t="s">
        <v>870</v>
      </c>
      <c r="CG79" s="120" t="s">
        <v>908</v>
      </c>
      <c r="CH79" s="120" t="s">
        <v>909</v>
      </c>
      <c r="CI79" s="120" t="s">
        <v>898</v>
      </c>
      <c r="CJ79" s="120" t="s">
        <v>899</v>
      </c>
      <c r="CK79" s="120" t="s">
        <v>875</v>
      </c>
      <c r="CL79" s="120" t="s">
        <v>876</v>
      </c>
      <c r="CM79" s="120" t="s">
        <v>952</v>
      </c>
      <c r="CN79" s="120" t="s">
        <v>953</v>
      </c>
      <c r="CO79" s="120" t="s">
        <v>962</v>
      </c>
      <c r="CP79" s="120" t="s">
        <v>963</v>
      </c>
      <c r="CQ79" s="120"/>
      <c r="CR79" s="120"/>
      <c r="CS79" s="120" t="s">
        <v>904</v>
      </c>
      <c r="CT79" s="120" t="s">
        <v>905</v>
      </c>
      <c r="CU79" s="120" t="s">
        <v>910</v>
      </c>
      <c r="CV79" s="120" t="s">
        <v>911</v>
      </c>
      <c r="CW79" s="120"/>
      <c r="CX79" s="120"/>
      <c r="CY79" s="120"/>
      <c r="CZ79" s="120"/>
      <c r="DA79" s="120"/>
      <c r="DB79" s="120"/>
      <c r="DC79" s="120"/>
      <c r="DD79" s="120"/>
      <c r="DE79" s="18"/>
      <c r="DF79" s="18"/>
    </row>
    <row r="80" spans="1:110" s="7" customFormat="1" x14ac:dyDescent="0.25">
      <c r="A80" s="19" t="s">
        <v>228</v>
      </c>
      <c r="B80" s="19" t="s">
        <v>80</v>
      </c>
      <c r="C80" s="19" t="str">
        <f t="shared" si="43"/>
        <v>95158916India</v>
      </c>
      <c r="D80" s="19">
        <v>95158916</v>
      </c>
      <c r="E80" s="19" t="s">
        <v>281</v>
      </c>
      <c r="F80" s="19" t="s">
        <v>2067</v>
      </c>
      <c r="G80" s="20" t="s">
        <v>281</v>
      </c>
      <c r="H80" s="136">
        <v>260</v>
      </c>
      <c r="I80" s="19" t="s">
        <v>230</v>
      </c>
      <c r="J80" s="19" t="s">
        <v>243</v>
      </c>
      <c r="K80" s="19" t="s">
        <v>274</v>
      </c>
      <c r="L80" s="19" t="s">
        <v>282</v>
      </c>
      <c r="M80" s="19" t="s">
        <v>268</v>
      </c>
      <c r="N80" s="19" t="s">
        <v>247</v>
      </c>
      <c r="O80" s="19" t="s">
        <v>275</v>
      </c>
      <c r="P80" s="19" t="s">
        <v>237</v>
      </c>
      <c r="Q80" s="19" t="s">
        <v>276</v>
      </c>
      <c r="R80" s="19">
        <v>5600</v>
      </c>
      <c r="S80" s="19" t="s">
        <v>272</v>
      </c>
      <c r="T80" s="19" t="s">
        <v>263</v>
      </c>
      <c r="U80" s="20" t="s">
        <v>263</v>
      </c>
      <c r="V80" s="19" t="s">
        <v>190</v>
      </c>
      <c r="W80" s="19" t="s">
        <v>221</v>
      </c>
      <c r="X80" s="35">
        <v>2</v>
      </c>
      <c r="Y80" s="35">
        <v>2</v>
      </c>
      <c r="Z80" s="32"/>
      <c r="AA80" s="22"/>
      <c r="AB80" s="22"/>
      <c r="AC80" s="22"/>
      <c r="AD80" s="22"/>
      <c r="AE80" s="60">
        <f t="shared" si="38"/>
        <v>0</v>
      </c>
      <c r="AF80" s="22"/>
      <c r="AG80" s="40">
        <f t="shared" si="39"/>
        <v>0</v>
      </c>
      <c r="AH80" s="24">
        <v>4</v>
      </c>
      <c r="AI80" s="24"/>
      <c r="AJ80" s="121"/>
      <c r="AK80" s="121"/>
      <c r="AL80" s="24"/>
      <c r="AM80" s="24"/>
      <c r="AN80" s="23">
        <f t="shared" si="44"/>
        <v>0</v>
      </c>
      <c r="AO80" s="25"/>
      <c r="AP80" s="25"/>
      <c r="AQ80" s="25"/>
      <c r="AR80" s="25"/>
      <c r="AS80" s="25">
        <f t="shared" si="45"/>
        <v>0</v>
      </c>
      <c r="AT80" s="13"/>
      <c r="AU80" s="21"/>
      <c r="AV80" s="21"/>
      <c r="AW80" s="21"/>
      <c r="AX80" s="21"/>
      <c r="AY80" s="21"/>
      <c r="AZ80" s="21"/>
      <c r="BA80" s="77"/>
      <c r="BB80" s="21"/>
      <c r="BC80" s="21"/>
      <c r="BD80" s="21"/>
      <c r="BE80" s="21"/>
      <c r="BF80" s="21"/>
      <c r="BG80" s="77"/>
      <c r="BH80" s="77"/>
      <c r="BI80" s="21"/>
      <c r="BJ80" s="21"/>
      <c r="BK80" s="21"/>
      <c r="BL80" s="21"/>
      <c r="BM80" s="21"/>
      <c r="BN80" s="21"/>
      <c r="BO80" s="77"/>
      <c r="BP80" s="21"/>
      <c r="BQ80" s="21"/>
      <c r="BR80" s="21"/>
      <c r="BS80" s="21"/>
      <c r="BT80" s="21"/>
      <c r="BU80" s="21"/>
      <c r="BV80" s="77"/>
      <c r="BW80" s="96">
        <f t="shared" si="40"/>
        <v>0</v>
      </c>
      <c r="BX80" s="94">
        <f t="shared" si="41"/>
        <v>0</v>
      </c>
      <c r="BY80" s="26"/>
      <c r="CA80" s="52" t="s">
        <v>281</v>
      </c>
      <c r="CB80" s="19" t="b">
        <f t="shared" si="42"/>
        <v>1</v>
      </c>
      <c r="CC80" s="19" t="s">
        <v>281</v>
      </c>
      <c r="CD80" s="19" t="s">
        <v>956</v>
      </c>
      <c r="CE80" s="120" t="s">
        <v>886</v>
      </c>
      <c r="CF80" s="120" t="s">
        <v>887</v>
      </c>
      <c r="CG80" s="120" t="s">
        <v>908</v>
      </c>
      <c r="CH80" s="120" t="s">
        <v>909</v>
      </c>
      <c r="CI80" s="120" t="s">
        <v>898</v>
      </c>
      <c r="CJ80" s="120" t="s">
        <v>899</v>
      </c>
      <c r="CK80" s="120" t="s">
        <v>875</v>
      </c>
      <c r="CL80" s="120" t="s">
        <v>876</v>
      </c>
      <c r="CM80" s="120" t="s">
        <v>957</v>
      </c>
      <c r="CN80" s="120" t="s">
        <v>958</v>
      </c>
      <c r="CO80" s="120" t="s">
        <v>954</v>
      </c>
      <c r="CP80" s="120" t="s">
        <v>955</v>
      </c>
      <c r="CQ80" s="120"/>
      <c r="CR80" s="120"/>
      <c r="CS80" s="120" t="s">
        <v>904</v>
      </c>
      <c r="CT80" s="120" t="s">
        <v>905</v>
      </c>
      <c r="CU80" s="120" t="s">
        <v>910</v>
      </c>
      <c r="CV80" s="120" t="s">
        <v>911</v>
      </c>
      <c r="CW80" s="120"/>
      <c r="CX80" s="120"/>
      <c r="CY80" s="120"/>
      <c r="CZ80" s="120"/>
      <c r="DA80" s="120"/>
      <c r="DB80" s="120"/>
      <c r="DC80" s="120"/>
      <c r="DD80" s="120"/>
      <c r="DE80" s="18"/>
      <c r="DF80" s="18"/>
    </row>
    <row r="81" spans="1:110" s="7" customFormat="1" x14ac:dyDescent="0.25">
      <c r="A81" s="19" t="s">
        <v>228</v>
      </c>
      <c r="B81" s="19" t="s">
        <v>80</v>
      </c>
      <c r="C81" s="19" t="str">
        <f t="shared" si="43"/>
        <v>95159050India</v>
      </c>
      <c r="D81" s="19">
        <v>95159050</v>
      </c>
      <c r="E81" s="19" t="s">
        <v>466</v>
      </c>
      <c r="F81" s="19" t="s">
        <v>2067</v>
      </c>
      <c r="G81" s="20" t="s">
        <v>466</v>
      </c>
      <c r="H81" s="136">
        <v>65</v>
      </c>
      <c r="I81" s="19" t="s">
        <v>230</v>
      </c>
      <c r="J81" s="19" t="s">
        <v>243</v>
      </c>
      <c r="K81" s="19" t="s">
        <v>274</v>
      </c>
      <c r="L81" s="19" t="s">
        <v>233</v>
      </c>
      <c r="M81" s="19" t="s">
        <v>268</v>
      </c>
      <c r="N81" s="19" t="s">
        <v>247</v>
      </c>
      <c r="O81" s="19" t="s">
        <v>275</v>
      </c>
      <c r="P81" s="19" t="s">
        <v>237</v>
      </c>
      <c r="Q81" s="19" t="s">
        <v>276</v>
      </c>
      <c r="R81" s="19">
        <v>5600</v>
      </c>
      <c r="S81" s="19" t="s">
        <v>272</v>
      </c>
      <c r="T81" s="19" t="s">
        <v>263</v>
      </c>
      <c r="U81" s="20" t="s">
        <v>263</v>
      </c>
      <c r="V81" s="19" t="s">
        <v>191</v>
      </c>
      <c r="W81" s="19" t="s">
        <v>221</v>
      </c>
      <c r="X81" s="35">
        <v>2.0000000000000027</v>
      </c>
      <c r="Y81" s="35">
        <v>2.0000000000000027</v>
      </c>
      <c r="Z81" s="32"/>
      <c r="AA81" s="22"/>
      <c r="AB81" s="22"/>
      <c r="AC81" s="22"/>
      <c r="AD81" s="22"/>
      <c r="AE81" s="60">
        <f t="shared" si="38"/>
        <v>0</v>
      </c>
      <c r="AF81" s="22"/>
      <c r="AG81" s="40">
        <f t="shared" si="39"/>
        <v>0</v>
      </c>
      <c r="AH81" s="24">
        <v>5</v>
      </c>
      <c r="AI81" s="24"/>
      <c r="AJ81" s="121"/>
      <c r="AK81" s="121"/>
      <c r="AL81" s="24"/>
      <c r="AM81" s="24"/>
      <c r="AN81" s="23">
        <f t="shared" si="44"/>
        <v>0</v>
      </c>
      <c r="AO81" s="25"/>
      <c r="AP81" s="25"/>
      <c r="AQ81" s="25"/>
      <c r="AR81" s="25"/>
      <c r="AS81" s="25">
        <f t="shared" si="45"/>
        <v>0</v>
      </c>
      <c r="AT81" s="13"/>
      <c r="AU81" s="21"/>
      <c r="AV81" s="21"/>
      <c r="AW81" s="21"/>
      <c r="AX81" s="21"/>
      <c r="AY81" s="21"/>
      <c r="AZ81" s="21"/>
      <c r="BA81" s="77"/>
      <c r="BB81" s="21"/>
      <c r="BC81" s="21"/>
      <c r="BD81" s="21"/>
      <c r="BE81" s="21"/>
      <c r="BF81" s="21"/>
      <c r="BG81" s="77"/>
      <c r="BH81" s="77"/>
      <c r="BI81" s="21"/>
      <c r="BJ81" s="21"/>
      <c r="BK81" s="21"/>
      <c r="BL81" s="21"/>
      <c r="BM81" s="21"/>
      <c r="BN81" s="21"/>
      <c r="BO81" s="77"/>
      <c r="BP81" s="21"/>
      <c r="BQ81" s="21"/>
      <c r="BR81" s="21"/>
      <c r="BS81" s="21"/>
      <c r="BT81" s="21"/>
      <c r="BU81" s="21"/>
      <c r="BV81" s="77"/>
      <c r="BW81" s="96">
        <f t="shared" si="40"/>
        <v>0</v>
      </c>
      <c r="BX81" s="94">
        <f t="shared" si="41"/>
        <v>0</v>
      </c>
      <c r="BY81" s="26"/>
      <c r="CA81" s="52" t="s">
        <v>466</v>
      </c>
      <c r="CB81" s="19" t="b">
        <f t="shared" si="42"/>
        <v>1</v>
      </c>
      <c r="CC81" s="19" t="s">
        <v>466</v>
      </c>
      <c r="CD81" s="19" t="s">
        <v>974</v>
      </c>
      <c r="CE81" s="120" t="s">
        <v>886</v>
      </c>
      <c r="CF81" s="120" t="s">
        <v>887</v>
      </c>
      <c r="CG81" s="120" t="s">
        <v>908</v>
      </c>
      <c r="CH81" s="120" t="s">
        <v>909</v>
      </c>
      <c r="CI81" s="120" t="s">
        <v>898</v>
      </c>
      <c r="CJ81" s="120" t="s">
        <v>899</v>
      </c>
      <c r="CK81" s="120" t="s">
        <v>875</v>
      </c>
      <c r="CL81" s="120" t="s">
        <v>876</v>
      </c>
      <c r="CM81" s="120" t="s">
        <v>959</v>
      </c>
      <c r="CN81" s="120" t="s">
        <v>960</v>
      </c>
      <c r="CO81" s="120" t="s">
        <v>967</v>
      </c>
      <c r="CP81" s="120" t="s">
        <v>968</v>
      </c>
      <c r="CQ81" s="120"/>
      <c r="CR81" s="120"/>
      <c r="CS81" s="120" t="s">
        <v>904</v>
      </c>
      <c r="CT81" s="120" t="s">
        <v>905</v>
      </c>
      <c r="CU81" s="120" t="s">
        <v>910</v>
      </c>
      <c r="CV81" s="120" t="s">
        <v>911</v>
      </c>
      <c r="CW81" s="120"/>
      <c r="CX81" s="120"/>
      <c r="CY81" s="120"/>
      <c r="CZ81" s="120"/>
      <c r="DA81" s="120"/>
      <c r="DB81" s="120"/>
      <c r="DC81" s="120"/>
      <c r="DD81" s="120"/>
      <c r="DE81" s="18"/>
      <c r="DF81" s="18"/>
    </row>
    <row r="82" spans="1:110" s="7" customFormat="1" x14ac:dyDescent="0.25">
      <c r="A82" s="19" t="s">
        <v>228</v>
      </c>
      <c r="B82" s="19" t="s">
        <v>80</v>
      </c>
      <c r="C82" s="19" t="str">
        <f t="shared" si="43"/>
        <v>95155500India</v>
      </c>
      <c r="D82" s="19">
        <v>95155500</v>
      </c>
      <c r="E82" s="19" t="s">
        <v>469</v>
      </c>
      <c r="F82" s="19" t="s">
        <v>2067</v>
      </c>
      <c r="G82" s="20" t="s">
        <v>469</v>
      </c>
      <c r="H82" s="136">
        <v>279</v>
      </c>
      <c r="I82" s="19" t="s">
        <v>230</v>
      </c>
      <c r="J82" s="19" t="s">
        <v>243</v>
      </c>
      <c r="K82" s="19" t="s">
        <v>274</v>
      </c>
      <c r="L82" s="19" t="s">
        <v>282</v>
      </c>
      <c r="M82" s="19" t="s">
        <v>268</v>
      </c>
      <c r="N82" s="19" t="s">
        <v>247</v>
      </c>
      <c r="O82" s="19" t="s">
        <v>275</v>
      </c>
      <c r="P82" s="19" t="s">
        <v>237</v>
      </c>
      <c r="Q82" s="19" t="s">
        <v>276</v>
      </c>
      <c r="R82" s="19">
        <v>5600</v>
      </c>
      <c r="S82" s="19" t="s">
        <v>422</v>
      </c>
      <c r="T82" s="19" t="s">
        <v>263</v>
      </c>
      <c r="U82" s="20" t="s">
        <v>263</v>
      </c>
      <c r="V82" s="19" t="s">
        <v>194</v>
      </c>
      <c r="W82" s="19" t="s">
        <v>221</v>
      </c>
      <c r="X82" s="35">
        <v>5</v>
      </c>
      <c r="Y82" s="35">
        <v>3</v>
      </c>
      <c r="Z82" s="32"/>
      <c r="AA82" s="22"/>
      <c r="AB82" s="22"/>
      <c r="AC82" s="22"/>
      <c r="AD82" s="22"/>
      <c r="AE82" s="60">
        <f t="shared" si="38"/>
        <v>0</v>
      </c>
      <c r="AF82" s="22"/>
      <c r="AG82" s="40">
        <f t="shared" si="39"/>
        <v>0</v>
      </c>
      <c r="AH82" s="24">
        <v>24</v>
      </c>
      <c r="AI82" s="24"/>
      <c r="AJ82" s="121"/>
      <c r="AK82" s="121"/>
      <c r="AL82" s="24"/>
      <c r="AM82" s="24"/>
      <c r="AN82" s="23">
        <f t="shared" si="44"/>
        <v>0</v>
      </c>
      <c r="AO82" s="25"/>
      <c r="AP82" s="25"/>
      <c r="AQ82" s="25"/>
      <c r="AR82" s="25"/>
      <c r="AS82" s="25">
        <f t="shared" si="45"/>
        <v>0</v>
      </c>
      <c r="AT82" s="13"/>
      <c r="AU82" s="21"/>
      <c r="AV82" s="21"/>
      <c r="AW82" s="21"/>
      <c r="AX82" s="21"/>
      <c r="AY82" s="21"/>
      <c r="AZ82" s="21"/>
      <c r="BA82" s="77"/>
      <c r="BB82" s="21"/>
      <c r="BC82" s="21"/>
      <c r="BD82" s="21"/>
      <c r="BE82" s="21"/>
      <c r="BF82" s="21"/>
      <c r="BG82" s="77"/>
      <c r="BH82" s="77"/>
      <c r="BI82" s="21"/>
      <c r="BJ82" s="21"/>
      <c r="BK82" s="21"/>
      <c r="BL82" s="21"/>
      <c r="BM82" s="21"/>
      <c r="BN82" s="21"/>
      <c r="BO82" s="77"/>
      <c r="BP82" s="21"/>
      <c r="BQ82" s="21"/>
      <c r="BR82" s="21"/>
      <c r="BS82" s="21"/>
      <c r="BT82" s="21"/>
      <c r="BU82" s="21"/>
      <c r="BV82" s="77"/>
      <c r="BW82" s="96">
        <f t="shared" si="40"/>
        <v>0</v>
      </c>
      <c r="BX82" s="94">
        <f t="shared" si="41"/>
        <v>0</v>
      </c>
      <c r="BY82" s="26"/>
      <c r="CA82" s="52" t="s">
        <v>469</v>
      </c>
      <c r="CB82" s="19" t="b">
        <f t="shared" si="42"/>
        <v>1</v>
      </c>
      <c r="CC82" s="19" t="s">
        <v>469</v>
      </c>
      <c r="CD82" s="19" t="s">
        <v>975</v>
      </c>
      <c r="CE82" s="120" t="s">
        <v>886</v>
      </c>
      <c r="CF82" s="120" t="s">
        <v>976</v>
      </c>
      <c r="CG82" s="120" t="s">
        <v>908</v>
      </c>
      <c r="CH82" s="120" t="s">
        <v>909</v>
      </c>
      <c r="CI82" s="120" t="s">
        <v>898</v>
      </c>
      <c r="CJ82" s="120" t="s">
        <v>899</v>
      </c>
      <c r="CK82" s="120" t="s">
        <v>875</v>
      </c>
      <c r="CL82" s="120" t="s">
        <v>876</v>
      </c>
      <c r="CM82" s="120" t="s">
        <v>957</v>
      </c>
      <c r="CN82" s="120" t="s">
        <v>958</v>
      </c>
      <c r="CO82" s="120" t="s">
        <v>977</v>
      </c>
      <c r="CP82" s="120" t="s">
        <v>978</v>
      </c>
      <c r="CQ82" s="120"/>
      <c r="CR82" s="120"/>
      <c r="CS82" s="120" t="s">
        <v>904</v>
      </c>
      <c r="CT82" s="120" t="s">
        <v>905</v>
      </c>
      <c r="CU82" s="120" t="s">
        <v>910</v>
      </c>
      <c r="CV82" s="120" t="s">
        <v>911</v>
      </c>
      <c r="CW82" s="120"/>
      <c r="CX82" s="120"/>
      <c r="CY82" s="120"/>
      <c r="CZ82" s="120"/>
      <c r="DA82" s="120"/>
      <c r="DB82" s="120"/>
      <c r="DC82" s="120"/>
      <c r="DD82" s="120"/>
      <c r="DE82" s="18"/>
      <c r="DF82" s="18"/>
    </row>
    <row r="83" spans="1:110" s="7" customFormat="1" x14ac:dyDescent="0.25">
      <c r="A83" s="19" t="s">
        <v>228</v>
      </c>
      <c r="B83" s="19" t="s">
        <v>80</v>
      </c>
      <c r="C83" s="19" t="str">
        <f t="shared" si="43"/>
        <v>95159572India</v>
      </c>
      <c r="D83" s="19">
        <v>95159572</v>
      </c>
      <c r="E83" s="19" t="s">
        <v>442</v>
      </c>
      <c r="F83" s="19" t="s">
        <v>2067</v>
      </c>
      <c r="G83" s="20" t="s">
        <v>442</v>
      </c>
      <c r="H83" s="136">
        <v>141</v>
      </c>
      <c r="I83" s="19" t="s">
        <v>230</v>
      </c>
      <c r="J83" s="19" t="s">
        <v>243</v>
      </c>
      <c r="K83" s="19" t="s">
        <v>274</v>
      </c>
      <c r="L83" s="19" t="s">
        <v>233</v>
      </c>
      <c r="M83" s="19" t="s">
        <v>268</v>
      </c>
      <c r="N83" s="19" t="s">
        <v>247</v>
      </c>
      <c r="O83" s="19" t="s">
        <v>275</v>
      </c>
      <c r="P83" s="19" t="s">
        <v>237</v>
      </c>
      <c r="Q83" s="19" t="s">
        <v>276</v>
      </c>
      <c r="R83" s="19">
        <v>5600</v>
      </c>
      <c r="S83" s="19" t="s">
        <v>272</v>
      </c>
      <c r="T83" s="19" t="s">
        <v>263</v>
      </c>
      <c r="U83" s="20" t="s">
        <v>263</v>
      </c>
      <c r="V83" s="19" t="s">
        <v>1994</v>
      </c>
      <c r="W83" s="19" t="s">
        <v>221</v>
      </c>
      <c r="X83" s="35"/>
      <c r="Y83" s="35"/>
      <c r="Z83" s="32"/>
      <c r="AA83" s="22"/>
      <c r="AB83" s="22">
        <v>1.0000000000000013</v>
      </c>
      <c r="AC83" s="22"/>
      <c r="AD83" s="22"/>
      <c r="AE83" s="60">
        <f t="shared" si="38"/>
        <v>1.0000000000000013</v>
      </c>
      <c r="AF83" s="22"/>
      <c r="AG83" s="40">
        <f t="shared" si="39"/>
        <v>1.0000000000000013</v>
      </c>
      <c r="AH83" s="24"/>
      <c r="AI83" s="24"/>
      <c r="AJ83" s="121"/>
      <c r="AK83" s="121"/>
      <c r="AL83" s="24"/>
      <c r="AM83" s="24"/>
      <c r="AN83" s="23">
        <f t="shared" si="44"/>
        <v>1.0000000000000013</v>
      </c>
      <c r="AO83" s="25"/>
      <c r="AP83" s="25"/>
      <c r="AQ83" s="25">
        <v>1</v>
      </c>
      <c r="AR83" s="25"/>
      <c r="AS83" s="25">
        <f t="shared" si="45"/>
        <v>1</v>
      </c>
      <c r="AT83" s="13"/>
      <c r="AU83" s="21"/>
      <c r="AV83" s="21"/>
      <c r="AW83" s="21"/>
      <c r="AX83" s="21"/>
      <c r="AY83" s="21"/>
      <c r="AZ83" s="21"/>
      <c r="BA83" s="77"/>
      <c r="BB83" s="21"/>
      <c r="BC83" s="21"/>
      <c r="BD83" s="21"/>
      <c r="BE83" s="21"/>
      <c r="BF83" s="21"/>
      <c r="BG83" s="77"/>
      <c r="BH83" s="77"/>
      <c r="BI83" s="21"/>
      <c r="BJ83" s="21"/>
      <c r="BK83" s="21">
        <v>1</v>
      </c>
      <c r="BL83" s="21"/>
      <c r="BM83" s="21"/>
      <c r="BN83" s="21"/>
      <c r="BO83" s="77"/>
      <c r="BP83" s="21"/>
      <c r="BQ83" s="21"/>
      <c r="BR83" s="21"/>
      <c r="BS83" s="21"/>
      <c r="BT83" s="21"/>
      <c r="BU83" s="21"/>
      <c r="BV83" s="77"/>
      <c r="BW83" s="96">
        <f t="shared" si="40"/>
        <v>1</v>
      </c>
      <c r="BX83" s="94">
        <f t="shared" si="41"/>
        <v>0</v>
      </c>
      <c r="BY83" s="26"/>
      <c r="CA83" s="52" t="s">
        <v>442</v>
      </c>
      <c r="CB83" s="19" t="b">
        <f t="shared" si="42"/>
        <v>1</v>
      </c>
      <c r="CC83" s="19" t="s">
        <v>442</v>
      </c>
      <c r="CD83" s="19" t="s">
        <v>970</v>
      </c>
      <c r="CE83" s="120" t="s">
        <v>886</v>
      </c>
      <c r="CF83" s="120" t="s">
        <v>887</v>
      </c>
      <c r="CG83" s="120" t="s">
        <v>896</v>
      </c>
      <c r="CH83" s="120" t="s">
        <v>897</v>
      </c>
      <c r="CI83" s="120" t="s">
        <v>898</v>
      </c>
      <c r="CJ83" s="120" t="s">
        <v>899</v>
      </c>
      <c r="CK83" s="120" t="s">
        <v>875</v>
      </c>
      <c r="CL83" s="120" t="s">
        <v>876</v>
      </c>
      <c r="CM83" s="120" t="s">
        <v>952</v>
      </c>
      <c r="CN83" s="120" t="s">
        <v>953</v>
      </c>
      <c r="CO83" s="120" t="s">
        <v>902</v>
      </c>
      <c r="CP83" s="120" t="s">
        <v>903</v>
      </c>
      <c r="CQ83" s="120"/>
      <c r="CR83" s="120"/>
      <c r="CS83" s="120" t="s">
        <v>904</v>
      </c>
      <c r="CT83" s="120" t="s">
        <v>905</v>
      </c>
      <c r="CU83" s="120" t="s">
        <v>906</v>
      </c>
      <c r="CV83" s="120" t="s">
        <v>907</v>
      </c>
      <c r="CW83" s="120"/>
      <c r="CX83" s="120"/>
      <c r="CY83" s="120"/>
      <c r="CZ83" s="120"/>
      <c r="DA83" s="120"/>
      <c r="DB83" s="120"/>
      <c r="DC83" s="120"/>
      <c r="DD83" s="120"/>
      <c r="DE83" s="18"/>
      <c r="DF83" s="18"/>
    </row>
    <row r="84" spans="1:110" s="7" customFormat="1" x14ac:dyDescent="0.25">
      <c r="A84" s="19" t="s">
        <v>228</v>
      </c>
      <c r="B84" s="19" t="s">
        <v>80</v>
      </c>
      <c r="C84" s="19" t="str">
        <f t="shared" si="43"/>
        <v>95159055India</v>
      </c>
      <c r="D84" s="19">
        <v>95159055</v>
      </c>
      <c r="E84" s="19" t="s">
        <v>1854</v>
      </c>
      <c r="F84" s="19" t="s">
        <v>2067</v>
      </c>
      <c r="G84" s="20" t="s">
        <v>1854</v>
      </c>
      <c r="H84" s="136">
        <v>5</v>
      </c>
      <c r="I84" s="19" t="s">
        <v>230</v>
      </c>
      <c r="J84" s="19" t="s">
        <v>243</v>
      </c>
      <c r="K84" s="19" t="s">
        <v>274</v>
      </c>
      <c r="L84" s="19" t="s">
        <v>282</v>
      </c>
      <c r="M84" s="19" t="s">
        <v>268</v>
      </c>
      <c r="N84" s="19" t="s">
        <v>247</v>
      </c>
      <c r="O84" s="19" t="s">
        <v>275</v>
      </c>
      <c r="P84" s="19" t="s">
        <v>237</v>
      </c>
      <c r="Q84" s="19" t="s">
        <v>276</v>
      </c>
      <c r="R84" s="19">
        <v>5600</v>
      </c>
      <c r="S84" s="19" t="s">
        <v>272</v>
      </c>
      <c r="T84" s="19" t="s">
        <v>263</v>
      </c>
      <c r="U84" s="20" t="s">
        <v>263</v>
      </c>
      <c r="V84" s="19" t="s">
        <v>2195</v>
      </c>
      <c r="W84" s="19" t="s">
        <v>219</v>
      </c>
      <c r="X84" s="35"/>
      <c r="Y84" s="35"/>
      <c r="Z84" s="32"/>
      <c r="AA84" s="22"/>
      <c r="AB84" s="22">
        <v>1.0000000000000013</v>
      </c>
      <c r="AC84" s="22"/>
      <c r="AD84" s="22"/>
      <c r="AE84" s="60">
        <f t="shared" si="38"/>
        <v>1.0000000000000013</v>
      </c>
      <c r="AF84" s="22"/>
      <c r="AG84" s="40">
        <f t="shared" si="39"/>
        <v>1.0000000000000013</v>
      </c>
      <c r="AH84" s="24"/>
      <c r="AI84" s="24"/>
      <c r="AJ84" s="121"/>
      <c r="AK84" s="121"/>
      <c r="AL84" s="24"/>
      <c r="AM84" s="24"/>
      <c r="AN84" s="23">
        <f t="shared" si="44"/>
        <v>1.0000000000000013</v>
      </c>
      <c r="AO84" s="25"/>
      <c r="AP84" s="25"/>
      <c r="AQ84" s="25">
        <v>1</v>
      </c>
      <c r="AR84" s="25"/>
      <c r="AS84" s="25">
        <f t="shared" si="45"/>
        <v>1</v>
      </c>
      <c r="AT84" s="13"/>
      <c r="AU84" s="21"/>
      <c r="AV84" s="21"/>
      <c r="AW84" s="21"/>
      <c r="AX84" s="21"/>
      <c r="AY84" s="21"/>
      <c r="AZ84" s="21"/>
      <c r="BA84" s="77"/>
      <c r="BB84" s="21"/>
      <c r="BC84" s="21"/>
      <c r="BD84" s="21"/>
      <c r="BE84" s="21"/>
      <c r="BF84" s="21"/>
      <c r="BG84" s="77"/>
      <c r="BH84" s="77"/>
      <c r="BI84" s="21"/>
      <c r="BJ84" s="21"/>
      <c r="BK84" s="21">
        <v>1</v>
      </c>
      <c r="BL84" s="21"/>
      <c r="BM84" s="21"/>
      <c r="BN84" s="21"/>
      <c r="BO84" s="77"/>
      <c r="BP84" s="21"/>
      <c r="BQ84" s="21"/>
      <c r="BR84" s="21"/>
      <c r="BS84" s="21"/>
      <c r="BT84" s="21"/>
      <c r="BU84" s="21"/>
      <c r="BV84" s="77"/>
      <c r="BW84" s="96">
        <f t="shared" si="40"/>
        <v>1</v>
      </c>
      <c r="BX84" s="94">
        <f t="shared" si="41"/>
        <v>0</v>
      </c>
      <c r="BY84" s="26"/>
      <c r="CA84" s="52" t="s">
        <v>1854</v>
      </c>
      <c r="CB84" s="19" t="b">
        <f t="shared" si="42"/>
        <v>1</v>
      </c>
      <c r="CC84" s="19" t="s">
        <v>1854</v>
      </c>
      <c r="CD84" s="19" t="s">
        <v>1902</v>
      </c>
      <c r="CE84" s="120" t="s">
        <v>886</v>
      </c>
      <c r="CF84" s="120" t="s">
        <v>887</v>
      </c>
      <c r="CG84" s="120" t="s">
        <v>908</v>
      </c>
      <c r="CH84" s="120" t="s">
        <v>909</v>
      </c>
      <c r="CI84" s="120" t="s">
        <v>898</v>
      </c>
      <c r="CJ84" s="120" t="s">
        <v>899</v>
      </c>
      <c r="CK84" s="120" t="s">
        <v>875</v>
      </c>
      <c r="CL84" s="120" t="s">
        <v>876</v>
      </c>
      <c r="CM84" s="120" t="s">
        <v>1903</v>
      </c>
      <c r="CN84" s="120" t="s">
        <v>1904</v>
      </c>
      <c r="CO84" s="120" t="s">
        <v>918</v>
      </c>
      <c r="CP84" s="120" t="s">
        <v>919</v>
      </c>
      <c r="CQ84" s="120"/>
      <c r="CR84" s="120"/>
      <c r="CS84" s="120" t="s">
        <v>904</v>
      </c>
      <c r="CT84" s="120" t="s">
        <v>905</v>
      </c>
      <c r="CU84" s="120" t="s">
        <v>910</v>
      </c>
      <c r="CV84" s="120" t="s">
        <v>911</v>
      </c>
      <c r="CW84" s="120"/>
      <c r="CX84" s="120"/>
      <c r="CY84" s="120"/>
      <c r="CZ84" s="120"/>
      <c r="DA84" s="120"/>
      <c r="DB84" s="120"/>
      <c r="DC84" s="120"/>
      <c r="DD84" s="120"/>
      <c r="DE84" s="18"/>
      <c r="DF84" s="18"/>
    </row>
    <row r="85" spans="1:110" s="7" customFormat="1" x14ac:dyDescent="0.25">
      <c r="A85" s="19" t="s">
        <v>228</v>
      </c>
      <c r="B85" s="19" t="s">
        <v>80</v>
      </c>
      <c r="C85" s="19" t="str">
        <f t="shared" si="43"/>
        <v>95159053India</v>
      </c>
      <c r="D85" s="19">
        <v>95159053</v>
      </c>
      <c r="E85" s="19" t="s">
        <v>1854</v>
      </c>
      <c r="F85" s="19" t="s">
        <v>2067</v>
      </c>
      <c r="G85" s="20" t="s">
        <v>1854</v>
      </c>
      <c r="H85" s="136">
        <v>5</v>
      </c>
      <c r="I85" s="19" t="s">
        <v>230</v>
      </c>
      <c r="J85" s="19" t="s">
        <v>243</v>
      </c>
      <c r="K85" s="19" t="s">
        <v>274</v>
      </c>
      <c r="L85" s="19" t="s">
        <v>282</v>
      </c>
      <c r="M85" s="19" t="s">
        <v>268</v>
      </c>
      <c r="N85" s="19" t="s">
        <v>247</v>
      </c>
      <c r="O85" s="19" t="s">
        <v>275</v>
      </c>
      <c r="P85" s="19" t="s">
        <v>237</v>
      </c>
      <c r="Q85" s="19" t="s">
        <v>276</v>
      </c>
      <c r="R85" s="19">
        <v>5600</v>
      </c>
      <c r="S85" s="19" t="s">
        <v>272</v>
      </c>
      <c r="T85" s="19" t="s">
        <v>263</v>
      </c>
      <c r="U85" s="20" t="s">
        <v>263</v>
      </c>
      <c r="V85" s="19" t="s">
        <v>1810</v>
      </c>
      <c r="W85" s="19" t="s">
        <v>219</v>
      </c>
      <c r="X85" s="35">
        <v>1.0000000000000013</v>
      </c>
      <c r="Y85" s="35">
        <v>1.0000000000000013</v>
      </c>
      <c r="Z85" s="32"/>
      <c r="AA85" s="22">
        <v>1.0000000000000013</v>
      </c>
      <c r="AB85" s="22"/>
      <c r="AC85" s="22">
        <v>1.0000000000000013</v>
      </c>
      <c r="AD85" s="22">
        <v>2.0000000000000027</v>
      </c>
      <c r="AE85" s="60">
        <f t="shared" si="38"/>
        <v>4.0000000000000053</v>
      </c>
      <c r="AF85" s="22"/>
      <c r="AG85" s="40">
        <f t="shared" si="39"/>
        <v>4.0000000000000053</v>
      </c>
      <c r="AH85" s="24"/>
      <c r="AI85" s="24"/>
      <c r="AJ85" s="121"/>
      <c r="AK85" s="121"/>
      <c r="AL85" s="24"/>
      <c r="AM85" s="24"/>
      <c r="AN85" s="23">
        <f t="shared" si="44"/>
        <v>4.0000000000000053</v>
      </c>
      <c r="AO85" s="25"/>
      <c r="AP85" s="25">
        <v>4</v>
      </c>
      <c r="AQ85" s="25"/>
      <c r="AR85" s="25"/>
      <c r="AS85" s="25">
        <f t="shared" si="45"/>
        <v>4</v>
      </c>
      <c r="AT85" s="13"/>
      <c r="AU85" s="21"/>
      <c r="AV85" s="21"/>
      <c r="AW85" s="21"/>
      <c r="AX85" s="21"/>
      <c r="AY85" s="21"/>
      <c r="AZ85" s="21"/>
      <c r="BA85" s="77"/>
      <c r="BB85" s="21"/>
      <c r="BC85" s="21"/>
      <c r="BD85" s="21">
        <v>2</v>
      </c>
      <c r="BE85" s="21">
        <v>2</v>
      </c>
      <c r="BF85" s="21"/>
      <c r="BG85" s="77"/>
      <c r="BH85" s="77"/>
      <c r="BI85" s="21"/>
      <c r="BJ85" s="21"/>
      <c r="BK85" s="21"/>
      <c r="BL85" s="21"/>
      <c r="BM85" s="21"/>
      <c r="BN85" s="21"/>
      <c r="BO85" s="77"/>
      <c r="BP85" s="21"/>
      <c r="BQ85" s="21"/>
      <c r="BR85" s="21"/>
      <c r="BS85" s="21"/>
      <c r="BT85" s="21"/>
      <c r="BU85" s="21"/>
      <c r="BV85" s="77"/>
      <c r="BW85" s="96">
        <f t="shared" si="40"/>
        <v>4</v>
      </c>
      <c r="BX85" s="94">
        <f t="shared" si="41"/>
        <v>0</v>
      </c>
      <c r="BY85" s="26"/>
      <c r="CA85" s="52" t="s">
        <v>1854</v>
      </c>
      <c r="CB85" s="19" t="b">
        <f t="shared" si="42"/>
        <v>1</v>
      </c>
      <c r="CC85" s="19" t="s">
        <v>1854</v>
      </c>
      <c r="CD85" s="19" t="s">
        <v>1902</v>
      </c>
      <c r="CE85" s="120" t="s">
        <v>886</v>
      </c>
      <c r="CF85" s="120" t="s">
        <v>887</v>
      </c>
      <c r="CG85" s="120" t="s">
        <v>908</v>
      </c>
      <c r="CH85" s="120" t="s">
        <v>909</v>
      </c>
      <c r="CI85" s="120" t="s">
        <v>898</v>
      </c>
      <c r="CJ85" s="120" t="s">
        <v>899</v>
      </c>
      <c r="CK85" s="120" t="s">
        <v>875</v>
      </c>
      <c r="CL85" s="120" t="s">
        <v>876</v>
      </c>
      <c r="CM85" s="120" t="s">
        <v>1903</v>
      </c>
      <c r="CN85" s="120" t="s">
        <v>1904</v>
      </c>
      <c r="CO85" s="120" t="s">
        <v>918</v>
      </c>
      <c r="CP85" s="120" t="s">
        <v>919</v>
      </c>
      <c r="CQ85" s="120"/>
      <c r="CR85" s="120"/>
      <c r="CS85" s="120" t="s">
        <v>904</v>
      </c>
      <c r="CT85" s="120" t="s">
        <v>905</v>
      </c>
      <c r="CU85" s="120" t="s">
        <v>910</v>
      </c>
      <c r="CV85" s="120" t="s">
        <v>911</v>
      </c>
      <c r="CW85" s="120"/>
      <c r="CX85" s="120"/>
      <c r="CY85" s="120"/>
      <c r="CZ85" s="120"/>
      <c r="DA85" s="120"/>
      <c r="DB85" s="120"/>
      <c r="DC85" s="120"/>
      <c r="DD85" s="120"/>
      <c r="DE85" s="18"/>
      <c r="DF85" s="18"/>
    </row>
    <row r="86" spans="1:110" s="7" customFormat="1" x14ac:dyDescent="0.25">
      <c r="A86" s="19" t="s">
        <v>74</v>
      </c>
      <c r="B86" s="19" t="s">
        <v>2177</v>
      </c>
      <c r="C86" s="19" t="str">
        <f t="shared" si="43"/>
        <v>95159168MSRTC(100)</v>
      </c>
      <c r="D86" s="19">
        <v>95159168</v>
      </c>
      <c r="E86" s="19" t="s">
        <v>229</v>
      </c>
      <c r="F86" s="19" t="s">
        <v>2067</v>
      </c>
      <c r="G86" s="20" t="s">
        <v>2284</v>
      </c>
      <c r="H86" s="136" t="s">
        <v>2234</v>
      </c>
      <c r="I86" s="19" t="s">
        <v>230</v>
      </c>
      <c r="J86" s="19" t="s">
        <v>243</v>
      </c>
      <c r="K86" s="19" t="s">
        <v>274</v>
      </c>
      <c r="L86" s="19" t="s">
        <v>233</v>
      </c>
      <c r="M86" s="19" t="s">
        <v>268</v>
      </c>
      <c r="N86" s="19" t="s">
        <v>247</v>
      </c>
      <c r="O86" s="19" t="s">
        <v>270</v>
      </c>
      <c r="P86" s="19" t="s">
        <v>237</v>
      </c>
      <c r="Q86" s="19" t="s">
        <v>276</v>
      </c>
      <c r="R86" s="19">
        <v>5600</v>
      </c>
      <c r="S86" s="19" t="s">
        <v>272</v>
      </c>
      <c r="T86" s="19" t="s">
        <v>263</v>
      </c>
      <c r="U86" s="20" t="s">
        <v>263</v>
      </c>
      <c r="V86" s="19" t="s">
        <v>2181</v>
      </c>
      <c r="W86" s="19" t="s">
        <v>219</v>
      </c>
      <c r="X86" s="35"/>
      <c r="Y86" s="35"/>
      <c r="Z86" s="32"/>
      <c r="AA86" s="22"/>
      <c r="AB86" s="22"/>
      <c r="AC86" s="22"/>
      <c r="AD86" s="22">
        <v>100</v>
      </c>
      <c r="AE86" s="60">
        <v>100</v>
      </c>
      <c r="AF86" s="22"/>
      <c r="AG86" s="40">
        <v>100</v>
      </c>
      <c r="AH86" s="24"/>
      <c r="AI86" s="24"/>
      <c r="AJ86" s="121"/>
      <c r="AK86" s="121"/>
      <c r="AL86" s="24"/>
      <c r="AM86" s="24"/>
      <c r="AN86" s="23">
        <f t="shared" si="44"/>
        <v>100</v>
      </c>
      <c r="AO86" s="25">
        <v>50</v>
      </c>
      <c r="AP86" s="25">
        <v>50</v>
      </c>
      <c r="AQ86" s="25"/>
      <c r="AR86" s="25"/>
      <c r="AS86" s="25">
        <f t="shared" si="45"/>
        <v>100</v>
      </c>
      <c r="AT86" s="13"/>
      <c r="AU86" s="21"/>
      <c r="AV86" s="21">
        <v>10</v>
      </c>
      <c r="AW86" s="21">
        <v>10</v>
      </c>
      <c r="AX86" s="21">
        <v>10</v>
      </c>
      <c r="AY86" s="21">
        <v>10</v>
      </c>
      <c r="AZ86" s="21">
        <v>10</v>
      </c>
      <c r="BA86" s="77"/>
      <c r="BB86" s="21"/>
      <c r="BC86" s="21"/>
      <c r="BD86" s="21">
        <v>10</v>
      </c>
      <c r="BE86" s="21">
        <v>10</v>
      </c>
      <c r="BF86" s="21">
        <v>10</v>
      </c>
      <c r="BG86" s="77"/>
      <c r="BH86" s="77"/>
      <c r="BI86" s="21">
        <v>10</v>
      </c>
      <c r="BJ86" s="21">
        <v>10</v>
      </c>
      <c r="BK86" s="21"/>
      <c r="BL86" s="21"/>
      <c r="BM86" s="21"/>
      <c r="BN86" s="21"/>
      <c r="BO86" s="77"/>
      <c r="BP86" s="21"/>
      <c r="BQ86" s="21"/>
      <c r="BR86" s="21"/>
      <c r="BS86" s="21"/>
      <c r="BT86" s="21"/>
      <c r="BU86" s="21"/>
      <c r="BV86" s="77"/>
      <c r="BW86" s="96">
        <f t="shared" si="40"/>
        <v>100</v>
      </c>
      <c r="BX86" s="94">
        <f t="shared" si="41"/>
        <v>0</v>
      </c>
      <c r="BY86" s="26"/>
      <c r="CA86" s="19" t="s">
        <v>229</v>
      </c>
      <c r="CB86" s="19" t="b">
        <f t="shared" si="42"/>
        <v>0</v>
      </c>
      <c r="CC86" s="19"/>
      <c r="CD86" s="19"/>
      <c r="CE86" s="120"/>
      <c r="CF86" s="120"/>
      <c r="CG86" s="120"/>
      <c r="CH86" s="120"/>
      <c r="CI86" s="120"/>
      <c r="CJ86" s="120"/>
      <c r="CK86" s="120"/>
      <c r="CL86" s="120"/>
      <c r="CM86" s="120"/>
      <c r="CN86" s="120"/>
      <c r="CO86" s="120"/>
      <c r="CP86" s="120"/>
      <c r="CQ86" s="120"/>
      <c r="CR86" s="120"/>
      <c r="CS86" s="120"/>
      <c r="CT86" s="120"/>
      <c r="CU86" s="120"/>
      <c r="CV86" s="120"/>
      <c r="CW86" s="120"/>
      <c r="CX86" s="120"/>
      <c r="CY86" s="120"/>
      <c r="CZ86" s="120"/>
      <c r="DA86" s="120"/>
      <c r="DB86" s="120"/>
      <c r="DC86" s="120"/>
      <c r="DD86" s="120"/>
      <c r="DE86" s="18"/>
      <c r="DF86" s="18"/>
    </row>
    <row r="87" spans="1:110" s="7" customFormat="1" x14ac:dyDescent="0.25">
      <c r="A87" s="19" t="s">
        <v>228</v>
      </c>
      <c r="B87" s="19" t="s">
        <v>80</v>
      </c>
      <c r="C87" s="19" t="str">
        <f t="shared" si="43"/>
        <v>95158946India</v>
      </c>
      <c r="D87" s="19">
        <v>95158946</v>
      </c>
      <c r="E87" s="19" t="s">
        <v>449</v>
      </c>
      <c r="F87" s="19" t="s">
        <v>2067</v>
      </c>
      <c r="G87" s="20" t="s">
        <v>449</v>
      </c>
      <c r="H87" s="136">
        <v>108</v>
      </c>
      <c r="I87" s="19" t="s">
        <v>230</v>
      </c>
      <c r="J87" s="19" t="s">
        <v>334</v>
      </c>
      <c r="K87" s="19" t="s">
        <v>274</v>
      </c>
      <c r="L87" s="19" t="s">
        <v>233</v>
      </c>
      <c r="M87" s="19" t="s">
        <v>268</v>
      </c>
      <c r="N87" s="19" t="s">
        <v>247</v>
      </c>
      <c r="O87" s="19" t="s">
        <v>275</v>
      </c>
      <c r="P87" s="19" t="s">
        <v>237</v>
      </c>
      <c r="Q87" s="19" t="s">
        <v>441</v>
      </c>
      <c r="R87" s="19">
        <v>5700</v>
      </c>
      <c r="S87" s="19" t="s">
        <v>272</v>
      </c>
      <c r="T87" s="19" t="s">
        <v>263</v>
      </c>
      <c r="U87" s="20" t="s">
        <v>263</v>
      </c>
      <c r="V87" s="19" t="s">
        <v>176</v>
      </c>
      <c r="W87" s="19" t="s">
        <v>221</v>
      </c>
      <c r="X87" s="35">
        <v>4</v>
      </c>
      <c r="Y87" s="35">
        <v>4</v>
      </c>
      <c r="Z87" s="32"/>
      <c r="AA87" s="22"/>
      <c r="AB87" s="22">
        <v>6</v>
      </c>
      <c r="AC87" s="22"/>
      <c r="AD87" s="22"/>
      <c r="AE87" s="60">
        <f t="shared" ref="AE87:AE101" si="46">SUM(AA87:AD87)</f>
        <v>6</v>
      </c>
      <c r="AF87" s="22"/>
      <c r="AG87" s="40">
        <f t="shared" ref="AG87:AG101" si="47">AE87+AF87</f>
        <v>6</v>
      </c>
      <c r="AH87" s="24"/>
      <c r="AI87" s="24"/>
      <c r="AJ87" s="121"/>
      <c r="AK87" s="121"/>
      <c r="AL87" s="24">
        <v>4</v>
      </c>
      <c r="AM87" s="24"/>
      <c r="AN87" s="23">
        <f t="shared" si="44"/>
        <v>10</v>
      </c>
      <c r="AO87" s="25">
        <v>5</v>
      </c>
      <c r="AP87" s="25">
        <v>5</v>
      </c>
      <c r="AQ87" s="25"/>
      <c r="AR87" s="25"/>
      <c r="AS87" s="25">
        <f t="shared" si="45"/>
        <v>10</v>
      </c>
      <c r="AT87" s="13"/>
      <c r="AU87" s="21"/>
      <c r="AV87" s="21"/>
      <c r="AW87" s="21">
        <v>2</v>
      </c>
      <c r="AX87" s="21">
        <v>3</v>
      </c>
      <c r="AY87" s="21"/>
      <c r="AZ87" s="21"/>
      <c r="BA87" s="77"/>
      <c r="BB87" s="21"/>
      <c r="BC87" s="21"/>
      <c r="BD87" s="21"/>
      <c r="BE87" s="21">
        <v>1</v>
      </c>
      <c r="BF87" s="21"/>
      <c r="BG87" s="77"/>
      <c r="BH87" s="77"/>
      <c r="BI87" s="21"/>
      <c r="BJ87" s="21"/>
      <c r="BK87" s="21"/>
      <c r="BL87" s="21"/>
      <c r="BM87" s="21"/>
      <c r="BN87" s="21"/>
      <c r="BO87" s="77"/>
      <c r="BP87" s="21"/>
      <c r="BQ87" s="21"/>
      <c r="BR87" s="21"/>
      <c r="BS87" s="21"/>
      <c r="BT87" s="21"/>
      <c r="BU87" s="21"/>
      <c r="BV87" s="77"/>
      <c r="BW87" s="96">
        <f t="shared" si="40"/>
        <v>6</v>
      </c>
      <c r="BX87" s="94">
        <f t="shared" si="41"/>
        <v>4</v>
      </c>
      <c r="BY87" s="26"/>
      <c r="CA87" s="52" t="s">
        <v>449</v>
      </c>
      <c r="CB87" s="19" t="b">
        <f t="shared" si="42"/>
        <v>1</v>
      </c>
      <c r="CC87" s="19" t="s">
        <v>449</v>
      </c>
      <c r="CD87" s="19" t="s">
        <v>991</v>
      </c>
      <c r="CE87" s="120" t="s">
        <v>921</v>
      </c>
      <c r="CF87" s="120" t="s">
        <v>922</v>
      </c>
      <c r="CG87" s="120" t="s">
        <v>923</v>
      </c>
      <c r="CH87" s="120" t="s">
        <v>924</v>
      </c>
      <c r="CI87" s="120" t="s">
        <v>925</v>
      </c>
      <c r="CJ87" s="120" t="s">
        <v>926</v>
      </c>
      <c r="CK87" s="120" t="s">
        <v>927</v>
      </c>
      <c r="CL87" s="120" t="s">
        <v>928</v>
      </c>
      <c r="CM87" s="120" t="s">
        <v>989</v>
      </c>
      <c r="CN87" s="120" t="s">
        <v>176</v>
      </c>
      <c r="CO87" s="120" t="s">
        <v>992</v>
      </c>
      <c r="CP87" s="120" t="s">
        <v>993</v>
      </c>
      <c r="CQ87" s="120"/>
      <c r="CR87" s="120"/>
      <c r="CS87" s="120" t="s">
        <v>538</v>
      </c>
      <c r="CT87" s="120" t="s">
        <v>539</v>
      </c>
      <c r="CU87" s="120" t="s">
        <v>933</v>
      </c>
      <c r="CV87" s="120" t="s">
        <v>934</v>
      </c>
      <c r="CW87" s="120"/>
      <c r="CX87" s="120"/>
      <c r="CY87" s="120"/>
      <c r="CZ87" s="120"/>
      <c r="DA87" s="120"/>
      <c r="DB87" s="120"/>
      <c r="DC87" s="120"/>
      <c r="DD87" s="120"/>
      <c r="DE87" s="18"/>
      <c r="DF87" s="18"/>
    </row>
    <row r="88" spans="1:110" s="7" customFormat="1" x14ac:dyDescent="0.25">
      <c r="A88" s="19" t="s">
        <v>228</v>
      </c>
      <c r="B88" s="19" t="s">
        <v>80</v>
      </c>
      <c r="C88" s="19" t="str">
        <f t="shared" si="43"/>
        <v>95158953India</v>
      </c>
      <c r="D88" s="19">
        <v>95158953</v>
      </c>
      <c r="E88" s="19" t="s">
        <v>1602</v>
      </c>
      <c r="F88" s="19" t="s">
        <v>2067</v>
      </c>
      <c r="G88" s="20" t="s">
        <v>1602</v>
      </c>
      <c r="H88" s="136">
        <v>16</v>
      </c>
      <c r="I88" s="19" t="s">
        <v>230</v>
      </c>
      <c r="J88" s="19" t="s">
        <v>334</v>
      </c>
      <c r="K88" s="19" t="s">
        <v>274</v>
      </c>
      <c r="L88" s="19" t="s">
        <v>233</v>
      </c>
      <c r="M88" s="19" t="s">
        <v>268</v>
      </c>
      <c r="N88" s="19" t="s">
        <v>247</v>
      </c>
      <c r="O88" s="19" t="s">
        <v>275</v>
      </c>
      <c r="P88" s="19" t="s">
        <v>237</v>
      </c>
      <c r="Q88" s="19" t="s">
        <v>441</v>
      </c>
      <c r="R88" s="19">
        <v>5700</v>
      </c>
      <c r="S88" s="19" t="s">
        <v>272</v>
      </c>
      <c r="T88" s="19" t="s">
        <v>263</v>
      </c>
      <c r="U88" s="20" t="s">
        <v>263</v>
      </c>
      <c r="V88" s="19" t="s">
        <v>1554</v>
      </c>
      <c r="W88" s="19" t="s">
        <v>222</v>
      </c>
      <c r="X88" s="35"/>
      <c r="Y88" s="35"/>
      <c r="Z88" s="32"/>
      <c r="AA88" s="22">
        <v>1.0000000000000013</v>
      </c>
      <c r="AB88" s="22"/>
      <c r="AC88" s="22"/>
      <c r="AD88" s="22"/>
      <c r="AE88" s="60">
        <f t="shared" si="46"/>
        <v>1.0000000000000013</v>
      </c>
      <c r="AF88" s="22"/>
      <c r="AG88" s="40">
        <f t="shared" si="47"/>
        <v>1.0000000000000013</v>
      </c>
      <c r="AH88" s="24"/>
      <c r="AI88" s="24"/>
      <c r="AJ88" s="121"/>
      <c r="AK88" s="121"/>
      <c r="AL88" s="24"/>
      <c r="AM88" s="24"/>
      <c r="AN88" s="23">
        <f t="shared" si="44"/>
        <v>1.0000000000000013</v>
      </c>
      <c r="AO88" s="25">
        <v>1</v>
      </c>
      <c r="AP88" s="25"/>
      <c r="AQ88" s="25"/>
      <c r="AR88" s="25"/>
      <c r="AS88" s="25">
        <f t="shared" si="45"/>
        <v>1</v>
      </c>
      <c r="AT88" s="13"/>
      <c r="AU88" s="21"/>
      <c r="AV88" s="21"/>
      <c r="AW88" s="21">
        <v>1</v>
      </c>
      <c r="AX88" s="21"/>
      <c r="AY88" s="21"/>
      <c r="AZ88" s="21"/>
      <c r="BA88" s="77"/>
      <c r="BB88" s="21"/>
      <c r="BC88" s="21"/>
      <c r="BD88" s="21"/>
      <c r="BE88" s="21"/>
      <c r="BF88" s="21"/>
      <c r="BG88" s="77"/>
      <c r="BH88" s="77"/>
      <c r="BI88" s="21"/>
      <c r="BJ88" s="21"/>
      <c r="BK88" s="21"/>
      <c r="BL88" s="21"/>
      <c r="BM88" s="21"/>
      <c r="BN88" s="21"/>
      <c r="BO88" s="77"/>
      <c r="BP88" s="21"/>
      <c r="BQ88" s="21"/>
      <c r="BR88" s="21"/>
      <c r="BS88" s="21"/>
      <c r="BT88" s="21"/>
      <c r="BU88" s="21"/>
      <c r="BV88" s="77"/>
      <c r="BW88" s="96">
        <f t="shared" si="40"/>
        <v>1</v>
      </c>
      <c r="BX88" s="94">
        <f t="shared" si="41"/>
        <v>0</v>
      </c>
      <c r="BY88" s="26"/>
      <c r="CA88" s="52" t="s">
        <v>1602</v>
      </c>
      <c r="CB88" s="19" t="b">
        <f t="shared" si="42"/>
        <v>1</v>
      </c>
      <c r="CC88" s="19" t="s">
        <v>1602</v>
      </c>
      <c r="CD88" s="19" t="s">
        <v>1659</v>
      </c>
      <c r="CE88" s="120" t="s">
        <v>921</v>
      </c>
      <c r="CF88" s="120" t="s">
        <v>922</v>
      </c>
      <c r="CG88" s="120" t="s">
        <v>923</v>
      </c>
      <c r="CH88" s="120" t="s">
        <v>924</v>
      </c>
      <c r="CI88" s="120" t="s">
        <v>925</v>
      </c>
      <c r="CJ88" s="120" t="s">
        <v>926</v>
      </c>
      <c r="CK88" s="120" t="s">
        <v>946</v>
      </c>
      <c r="CL88" s="120" t="s">
        <v>947</v>
      </c>
      <c r="CM88" s="120" t="s">
        <v>1660</v>
      </c>
      <c r="CN88" s="120" t="s">
        <v>1661</v>
      </c>
      <c r="CO88" s="120" t="s">
        <v>1662</v>
      </c>
      <c r="CP88" s="120" t="s">
        <v>1663</v>
      </c>
      <c r="CQ88" s="120"/>
      <c r="CR88" s="120"/>
      <c r="CS88" s="120" t="s">
        <v>538</v>
      </c>
      <c r="CT88" s="120" t="s">
        <v>539</v>
      </c>
      <c r="CU88" s="120" t="s">
        <v>933</v>
      </c>
      <c r="CV88" s="120" t="s">
        <v>934</v>
      </c>
      <c r="CW88" s="120"/>
      <c r="CX88" s="120"/>
      <c r="CY88" s="120"/>
      <c r="CZ88" s="120"/>
      <c r="DA88" s="120"/>
      <c r="DB88" s="120"/>
      <c r="DC88" s="120"/>
      <c r="DD88" s="120"/>
      <c r="DE88" s="18"/>
      <c r="DF88" s="18"/>
    </row>
    <row r="89" spans="1:110" s="7" customFormat="1" x14ac:dyDescent="0.25">
      <c r="A89" s="19" t="s">
        <v>228</v>
      </c>
      <c r="B89" s="19" t="s">
        <v>80</v>
      </c>
      <c r="C89" s="19" t="str">
        <f t="shared" si="43"/>
        <v>95255574India</v>
      </c>
      <c r="D89" s="19">
        <v>95255574</v>
      </c>
      <c r="E89" s="19" t="s">
        <v>424</v>
      </c>
      <c r="F89" s="19" t="s">
        <v>2067</v>
      </c>
      <c r="G89" s="20" t="s">
        <v>424</v>
      </c>
      <c r="H89" s="136">
        <v>617</v>
      </c>
      <c r="I89" s="19" t="s">
        <v>230</v>
      </c>
      <c r="J89" s="19" t="s">
        <v>243</v>
      </c>
      <c r="K89" s="19" t="s">
        <v>266</v>
      </c>
      <c r="L89" s="19" t="s">
        <v>279</v>
      </c>
      <c r="M89" s="19" t="s">
        <v>268</v>
      </c>
      <c r="N89" s="19" t="s">
        <v>269</v>
      </c>
      <c r="O89" s="19" t="s">
        <v>275</v>
      </c>
      <c r="P89" s="19" t="s">
        <v>237</v>
      </c>
      <c r="Q89" s="19" t="s">
        <v>271</v>
      </c>
      <c r="R89" s="19">
        <v>5800</v>
      </c>
      <c r="S89" s="19" t="s">
        <v>422</v>
      </c>
      <c r="T89" s="19" t="s">
        <v>263</v>
      </c>
      <c r="U89" s="20" t="s">
        <v>263</v>
      </c>
      <c r="V89" s="19" t="s">
        <v>158</v>
      </c>
      <c r="W89" s="19" t="s">
        <v>221</v>
      </c>
      <c r="X89" s="35">
        <v>10</v>
      </c>
      <c r="Y89" s="35">
        <v>6</v>
      </c>
      <c r="Z89" s="32"/>
      <c r="AA89" s="22">
        <v>5</v>
      </c>
      <c r="AB89" s="22">
        <v>3.000000000000004</v>
      </c>
      <c r="AC89" s="22">
        <v>4</v>
      </c>
      <c r="AD89" s="22">
        <v>5</v>
      </c>
      <c r="AE89" s="60">
        <f t="shared" si="46"/>
        <v>17.000000000000004</v>
      </c>
      <c r="AF89" s="22"/>
      <c r="AG89" s="40">
        <f t="shared" si="47"/>
        <v>17.000000000000004</v>
      </c>
      <c r="AH89" s="24">
        <v>15</v>
      </c>
      <c r="AI89" s="24"/>
      <c r="AJ89" s="121">
        <v>15</v>
      </c>
      <c r="AK89" s="121"/>
      <c r="AL89" s="24">
        <v>10</v>
      </c>
      <c r="AM89" s="24"/>
      <c r="AN89" s="23">
        <f t="shared" si="44"/>
        <v>12.000000000000004</v>
      </c>
      <c r="AO89" s="25">
        <v>6</v>
      </c>
      <c r="AP89" s="25">
        <v>6</v>
      </c>
      <c r="AQ89" s="25"/>
      <c r="AR89" s="25"/>
      <c r="AS89" s="25">
        <f t="shared" si="45"/>
        <v>12</v>
      </c>
      <c r="AT89" s="13"/>
      <c r="AU89" s="21"/>
      <c r="AV89" s="21"/>
      <c r="AW89" s="21">
        <v>3</v>
      </c>
      <c r="AX89" s="21">
        <v>3</v>
      </c>
      <c r="AY89" s="21"/>
      <c r="AZ89" s="21"/>
      <c r="BA89" s="77"/>
      <c r="BB89" s="21"/>
      <c r="BC89" s="21"/>
      <c r="BD89" s="21">
        <v>3</v>
      </c>
      <c r="BE89" s="21">
        <v>3</v>
      </c>
      <c r="BF89" s="21"/>
      <c r="BG89" s="77"/>
      <c r="BH89" s="77"/>
      <c r="BI89" s="21"/>
      <c r="BJ89" s="21"/>
      <c r="BK89" s="21"/>
      <c r="BL89" s="21"/>
      <c r="BM89" s="21"/>
      <c r="BN89" s="21"/>
      <c r="BO89" s="77"/>
      <c r="BP89" s="21"/>
      <c r="BQ89" s="21"/>
      <c r="BR89" s="21"/>
      <c r="BS89" s="21"/>
      <c r="BT89" s="21"/>
      <c r="BU89" s="21"/>
      <c r="BV89" s="77"/>
      <c r="BW89" s="96">
        <f t="shared" si="40"/>
        <v>12</v>
      </c>
      <c r="BX89" s="94">
        <f t="shared" si="41"/>
        <v>0</v>
      </c>
      <c r="BY89" s="26"/>
      <c r="CA89" s="52" t="s">
        <v>424</v>
      </c>
      <c r="CB89" s="19" t="b">
        <f t="shared" si="42"/>
        <v>1</v>
      </c>
      <c r="CC89" s="19" t="s">
        <v>424</v>
      </c>
      <c r="CD89" s="19" t="s">
        <v>1002</v>
      </c>
      <c r="CE89" s="120" t="s">
        <v>869</v>
      </c>
      <c r="CF89" s="120" t="s">
        <v>870</v>
      </c>
      <c r="CG89" s="120" t="s">
        <v>908</v>
      </c>
      <c r="CH89" s="120" t="s">
        <v>909</v>
      </c>
      <c r="CI89" s="120" t="s">
        <v>898</v>
      </c>
      <c r="CJ89" s="120" t="s">
        <v>899</v>
      </c>
      <c r="CK89" s="120" t="s">
        <v>875</v>
      </c>
      <c r="CL89" s="120" t="s">
        <v>876</v>
      </c>
      <c r="CM89" s="120" t="s">
        <v>1003</v>
      </c>
      <c r="CN89" s="120" t="s">
        <v>1004</v>
      </c>
      <c r="CO89" s="120" t="s">
        <v>1005</v>
      </c>
      <c r="CP89" s="120" t="s">
        <v>1006</v>
      </c>
      <c r="CQ89" s="120"/>
      <c r="CR89" s="120"/>
      <c r="CS89" s="120" t="s">
        <v>904</v>
      </c>
      <c r="CT89" s="120" t="s">
        <v>905</v>
      </c>
      <c r="CU89" s="120" t="s">
        <v>910</v>
      </c>
      <c r="CV89" s="120" t="s">
        <v>911</v>
      </c>
      <c r="CW89" s="120"/>
      <c r="CX89" s="120"/>
      <c r="CY89" s="120"/>
      <c r="CZ89" s="120"/>
      <c r="DA89" s="120"/>
      <c r="DB89" s="120"/>
      <c r="DC89" s="120"/>
      <c r="DD89" s="120"/>
      <c r="DE89" s="18"/>
      <c r="DF89" s="18"/>
    </row>
    <row r="90" spans="1:110" s="7" customFormat="1" x14ac:dyDescent="0.25">
      <c r="A90" s="19" t="s">
        <v>228</v>
      </c>
      <c r="B90" s="19" t="s">
        <v>80</v>
      </c>
      <c r="C90" s="19" t="str">
        <f t="shared" si="43"/>
        <v>95258927India</v>
      </c>
      <c r="D90" s="19">
        <v>95258927</v>
      </c>
      <c r="E90" s="19" t="s">
        <v>1599</v>
      </c>
      <c r="F90" s="19" t="s">
        <v>2067</v>
      </c>
      <c r="G90" s="20" t="s">
        <v>1599</v>
      </c>
      <c r="H90" s="136">
        <v>438</v>
      </c>
      <c r="I90" s="19" t="s">
        <v>230</v>
      </c>
      <c r="J90" s="19" t="s">
        <v>243</v>
      </c>
      <c r="K90" s="19" t="s">
        <v>266</v>
      </c>
      <c r="L90" s="19" t="s">
        <v>279</v>
      </c>
      <c r="M90" s="19" t="s">
        <v>268</v>
      </c>
      <c r="N90" s="19" t="s">
        <v>269</v>
      </c>
      <c r="O90" s="19" t="s">
        <v>275</v>
      </c>
      <c r="P90" s="19" t="s">
        <v>237</v>
      </c>
      <c r="Q90" s="19" t="s">
        <v>271</v>
      </c>
      <c r="R90" s="19">
        <v>5800</v>
      </c>
      <c r="S90" s="19" t="s">
        <v>272</v>
      </c>
      <c r="T90" s="19" t="s">
        <v>263</v>
      </c>
      <c r="U90" s="20" t="s">
        <v>263</v>
      </c>
      <c r="V90" s="19" t="s">
        <v>1600</v>
      </c>
      <c r="W90" s="19" t="s">
        <v>221</v>
      </c>
      <c r="X90" s="35">
        <v>10</v>
      </c>
      <c r="Y90" s="35">
        <v>5</v>
      </c>
      <c r="Z90" s="32"/>
      <c r="AA90" s="22"/>
      <c r="AB90" s="22"/>
      <c r="AC90" s="22"/>
      <c r="AD90" s="22"/>
      <c r="AE90" s="60">
        <f t="shared" si="46"/>
        <v>0</v>
      </c>
      <c r="AF90" s="22"/>
      <c r="AG90" s="40">
        <f t="shared" si="47"/>
        <v>0</v>
      </c>
      <c r="AH90" s="24"/>
      <c r="AI90" s="24"/>
      <c r="AJ90" s="121"/>
      <c r="AK90" s="121"/>
      <c r="AL90" s="24">
        <v>10</v>
      </c>
      <c r="AM90" s="24"/>
      <c r="AN90" s="23">
        <f t="shared" si="44"/>
        <v>10</v>
      </c>
      <c r="AO90" s="25">
        <v>5</v>
      </c>
      <c r="AP90" s="25">
        <v>5</v>
      </c>
      <c r="AQ90" s="25"/>
      <c r="AR90" s="25"/>
      <c r="AS90" s="25">
        <f t="shared" si="45"/>
        <v>10</v>
      </c>
      <c r="AT90" s="13"/>
      <c r="AU90" s="21"/>
      <c r="AV90" s="21"/>
      <c r="AW90" s="21"/>
      <c r="AX90" s="21"/>
      <c r="AY90" s="21"/>
      <c r="AZ90" s="21"/>
      <c r="BA90" s="77"/>
      <c r="BB90" s="21"/>
      <c r="BC90" s="21"/>
      <c r="BD90" s="21"/>
      <c r="BE90" s="21"/>
      <c r="BF90" s="21"/>
      <c r="BG90" s="77"/>
      <c r="BH90" s="77"/>
      <c r="BI90" s="21"/>
      <c r="BJ90" s="21"/>
      <c r="BK90" s="21"/>
      <c r="BL90" s="21"/>
      <c r="BM90" s="21"/>
      <c r="BN90" s="21"/>
      <c r="BO90" s="77"/>
      <c r="BP90" s="21"/>
      <c r="BQ90" s="21"/>
      <c r="BR90" s="21"/>
      <c r="BS90" s="21"/>
      <c r="BT90" s="21"/>
      <c r="BU90" s="21"/>
      <c r="BV90" s="77"/>
      <c r="BW90" s="96">
        <f t="shared" si="40"/>
        <v>0</v>
      </c>
      <c r="BX90" s="94">
        <f t="shared" si="41"/>
        <v>10</v>
      </c>
      <c r="BY90" s="26"/>
      <c r="CA90" s="52" t="s">
        <v>1599</v>
      </c>
      <c r="CB90" s="19" t="b">
        <f t="shared" si="42"/>
        <v>1</v>
      </c>
      <c r="CC90" s="19" t="s">
        <v>1599</v>
      </c>
      <c r="CD90" s="19" t="s">
        <v>1007</v>
      </c>
      <c r="CE90" s="120" t="s">
        <v>886</v>
      </c>
      <c r="CF90" s="120" t="s">
        <v>887</v>
      </c>
      <c r="CG90" s="120" t="s">
        <v>908</v>
      </c>
      <c r="CH90" s="120" t="s">
        <v>909</v>
      </c>
      <c r="CI90" s="120" t="s">
        <v>898</v>
      </c>
      <c r="CJ90" s="120" t="s">
        <v>899</v>
      </c>
      <c r="CK90" s="120" t="s">
        <v>875</v>
      </c>
      <c r="CL90" s="120" t="s">
        <v>876</v>
      </c>
      <c r="CM90" s="120" t="s">
        <v>1667</v>
      </c>
      <c r="CN90" s="120" t="s">
        <v>1668</v>
      </c>
      <c r="CO90" s="120" t="s">
        <v>1008</v>
      </c>
      <c r="CP90" s="120" t="s">
        <v>1009</v>
      </c>
      <c r="CQ90" s="120"/>
      <c r="CR90" s="120"/>
      <c r="CS90" s="120" t="s">
        <v>904</v>
      </c>
      <c r="CT90" s="120" t="s">
        <v>905</v>
      </c>
      <c r="CU90" s="120" t="s">
        <v>910</v>
      </c>
      <c r="CV90" s="120" t="s">
        <v>911</v>
      </c>
      <c r="CW90" s="120"/>
      <c r="CX90" s="120"/>
      <c r="CY90" s="120"/>
      <c r="CZ90" s="120"/>
      <c r="DA90" s="120"/>
      <c r="DB90" s="120"/>
      <c r="DC90" s="120"/>
      <c r="DD90" s="120"/>
      <c r="DE90" s="18"/>
      <c r="DF90" s="18"/>
    </row>
    <row r="91" spans="1:110" s="7" customFormat="1" x14ac:dyDescent="0.25">
      <c r="A91" s="19" t="s">
        <v>228</v>
      </c>
      <c r="B91" s="19" t="s">
        <v>80</v>
      </c>
      <c r="C91" s="19" t="str">
        <f t="shared" si="43"/>
        <v>95258926India</v>
      </c>
      <c r="D91" s="19">
        <v>95258926</v>
      </c>
      <c r="E91" s="19" t="s">
        <v>425</v>
      </c>
      <c r="F91" s="19" t="s">
        <v>2067</v>
      </c>
      <c r="G91" s="20" t="s">
        <v>425</v>
      </c>
      <c r="H91" s="136">
        <v>638</v>
      </c>
      <c r="I91" s="19" t="s">
        <v>230</v>
      </c>
      <c r="J91" s="19" t="s">
        <v>243</v>
      </c>
      <c r="K91" s="19" t="s">
        <v>266</v>
      </c>
      <c r="L91" s="19" t="s">
        <v>279</v>
      </c>
      <c r="M91" s="19" t="s">
        <v>268</v>
      </c>
      <c r="N91" s="19" t="s">
        <v>269</v>
      </c>
      <c r="O91" s="19" t="s">
        <v>275</v>
      </c>
      <c r="P91" s="19" t="s">
        <v>237</v>
      </c>
      <c r="Q91" s="19" t="s">
        <v>271</v>
      </c>
      <c r="R91" s="19">
        <v>5800</v>
      </c>
      <c r="S91" s="19" t="s">
        <v>272</v>
      </c>
      <c r="T91" s="19" t="s">
        <v>263</v>
      </c>
      <c r="U91" s="20" t="s">
        <v>263</v>
      </c>
      <c r="V91" s="19" t="s">
        <v>160</v>
      </c>
      <c r="W91" s="19" t="s">
        <v>221</v>
      </c>
      <c r="X91" s="35">
        <v>34.999999999999964</v>
      </c>
      <c r="Y91" s="35">
        <v>37</v>
      </c>
      <c r="Z91" s="32"/>
      <c r="AA91" s="22">
        <v>10</v>
      </c>
      <c r="AB91" s="22">
        <v>13</v>
      </c>
      <c r="AC91" s="22">
        <v>14</v>
      </c>
      <c r="AD91" s="22"/>
      <c r="AE91" s="60">
        <f t="shared" si="46"/>
        <v>37</v>
      </c>
      <c r="AF91" s="22"/>
      <c r="AG91" s="40">
        <f t="shared" si="47"/>
        <v>37</v>
      </c>
      <c r="AH91" s="24">
        <v>50</v>
      </c>
      <c r="AI91" s="24"/>
      <c r="AJ91" s="121">
        <v>37</v>
      </c>
      <c r="AK91" s="121"/>
      <c r="AL91" s="24">
        <v>20</v>
      </c>
      <c r="AM91" s="24"/>
      <c r="AN91" s="23">
        <f t="shared" si="44"/>
        <v>20</v>
      </c>
      <c r="AO91" s="25">
        <v>10</v>
      </c>
      <c r="AP91" s="25">
        <v>10</v>
      </c>
      <c r="AQ91" s="25"/>
      <c r="AR91" s="25"/>
      <c r="AS91" s="25">
        <f t="shared" si="45"/>
        <v>20</v>
      </c>
      <c r="AT91" s="13"/>
      <c r="AU91" s="21"/>
      <c r="AV91" s="21"/>
      <c r="AW91" s="21"/>
      <c r="AX91" s="21"/>
      <c r="AY91" s="21"/>
      <c r="AZ91" s="21"/>
      <c r="BA91" s="77"/>
      <c r="BB91" s="21"/>
      <c r="BC91" s="21"/>
      <c r="BD91" s="21"/>
      <c r="BE91" s="21"/>
      <c r="BF91" s="21"/>
      <c r="BG91" s="77"/>
      <c r="BH91" s="77"/>
      <c r="BI91" s="21"/>
      <c r="BJ91" s="21"/>
      <c r="BK91" s="21"/>
      <c r="BL91" s="21"/>
      <c r="BM91" s="21"/>
      <c r="BN91" s="21"/>
      <c r="BO91" s="77"/>
      <c r="BP91" s="21"/>
      <c r="BQ91" s="21"/>
      <c r="BR91" s="21"/>
      <c r="BS91" s="21"/>
      <c r="BT91" s="21"/>
      <c r="BU91" s="21"/>
      <c r="BV91" s="77"/>
      <c r="BW91" s="96">
        <f t="shared" si="40"/>
        <v>0</v>
      </c>
      <c r="BX91" s="94">
        <f t="shared" si="41"/>
        <v>20</v>
      </c>
      <c r="BY91" s="26"/>
      <c r="CA91" s="52" t="s">
        <v>425</v>
      </c>
      <c r="CB91" s="19" t="b">
        <f t="shared" si="42"/>
        <v>1</v>
      </c>
      <c r="CC91" s="19" t="s">
        <v>425</v>
      </c>
      <c r="CD91" s="19" t="s">
        <v>1010</v>
      </c>
      <c r="CE91" s="120" t="s">
        <v>886</v>
      </c>
      <c r="CF91" s="120" t="s">
        <v>887</v>
      </c>
      <c r="CG91" s="120" t="s">
        <v>908</v>
      </c>
      <c r="CH91" s="120" t="s">
        <v>909</v>
      </c>
      <c r="CI91" s="120" t="s">
        <v>898</v>
      </c>
      <c r="CJ91" s="120" t="s">
        <v>899</v>
      </c>
      <c r="CK91" s="120" t="s">
        <v>875</v>
      </c>
      <c r="CL91" s="120" t="s">
        <v>876</v>
      </c>
      <c r="CM91" s="120" t="s">
        <v>1011</v>
      </c>
      <c r="CN91" s="120" t="s">
        <v>1012</v>
      </c>
      <c r="CO91" s="120" t="s">
        <v>1013</v>
      </c>
      <c r="CP91" s="120" t="s">
        <v>1014</v>
      </c>
      <c r="CQ91" s="120"/>
      <c r="CR91" s="120"/>
      <c r="CS91" s="120" t="s">
        <v>904</v>
      </c>
      <c r="CT91" s="120" t="s">
        <v>905</v>
      </c>
      <c r="CU91" s="120" t="s">
        <v>910</v>
      </c>
      <c r="CV91" s="120" t="s">
        <v>911</v>
      </c>
      <c r="CW91" s="120"/>
      <c r="CX91" s="120"/>
      <c r="CY91" s="120"/>
      <c r="CZ91" s="120"/>
      <c r="DA91" s="120"/>
      <c r="DB91" s="120"/>
      <c r="DC91" s="120"/>
      <c r="DD91" s="120"/>
      <c r="DE91" s="18"/>
      <c r="DF91" s="18"/>
    </row>
    <row r="92" spans="1:110" s="7" customFormat="1" x14ac:dyDescent="0.25">
      <c r="A92" s="19" t="s">
        <v>228</v>
      </c>
      <c r="B92" s="19" t="s">
        <v>80</v>
      </c>
      <c r="C92" s="19" t="str">
        <f t="shared" si="43"/>
        <v>95259088India</v>
      </c>
      <c r="D92" s="19">
        <v>95259088</v>
      </c>
      <c r="E92" s="19" t="s">
        <v>1839</v>
      </c>
      <c r="F92" s="19" t="s">
        <v>2067</v>
      </c>
      <c r="G92" s="20" t="s">
        <v>1839</v>
      </c>
      <c r="H92" s="136">
        <v>49</v>
      </c>
      <c r="I92" s="19" t="s">
        <v>230</v>
      </c>
      <c r="J92" s="19" t="s">
        <v>243</v>
      </c>
      <c r="K92" s="19" t="s">
        <v>266</v>
      </c>
      <c r="L92" s="19" t="s">
        <v>279</v>
      </c>
      <c r="M92" s="19" t="s">
        <v>268</v>
      </c>
      <c r="N92" s="19" t="s">
        <v>269</v>
      </c>
      <c r="O92" s="19" t="s">
        <v>275</v>
      </c>
      <c r="P92" s="19" t="s">
        <v>237</v>
      </c>
      <c r="Q92" s="19" t="s">
        <v>271</v>
      </c>
      <c r="R92" s="19">
        <v>5800</v>
      </c>
      <c r="S92" s="19" t="s">
        <v>272</v>
      </c>
      <c r="T92" s="19" t="s">
        <v>263</v>
      </c>
      <c r="U92" s="20" t="s">
        <v>263</v>
      </c>
      <c r="V92" s="19" t="s">
        <v>1783</v>
      </c>
      <c r="W92" s="19" t="s">
        <v>222</v>
      </c>
      <c r="X92" s="35">
        <v>1.0000000000000013</v>
      </c>
      <c r="Y92" s="35">
        <v>1.0000000000000013</v>
      </c>
      <c r="Z92" s="32"/>
      <c r="AA92" s="22">
        <v>2</v>
      </c>
      <c r="AB92" s="22"/>
      <c r="AC92" s="22"/>
      <c r="AD92" s="22"/>
      <c r="AE92" s="60">
        <f t="shared" si="46"/>
        <v>2</v>
      </c>
      <c r="AF92" s="22"/>
      <c r="AG92" s="40">
        <f t="shared" si="47"/>
        <v>2</v>
      </c>
      <c r="AH92" s="24">
        <v>2</v>
      </c>
      <c r="AI92" s="24"/>
      <c r="AJ92" s="121">
        <v>2</v>
      </c>
      <c r="AK92" s="121"/>
      <c r="AL92" s="24"/>
      <c r="AM92" s="24"/>
      <c r="AN92" s="23">
        <f t="shared" si="44"/>
        <v>0</v>
      </c>
      <c r="AO92" s="25"/>
      <c r="AP92" s="25"/>
      <c r="AQ92" s="25"/>
      <c r="AR92" s="25"/>
      <c r="AS92" s="25">
        <f t="shared" si="45"/>
        <v>0</v>
      </c>
      <c r="AT92" s="13"/>
      <c r="AU92" s="21"/>
      <c r="AV92" s="21"/>
      <c r="AW92" s="21"/>
      <c r="AX92" s="21"/>
      <c r="AY92" s="21"/>
      <c r="AZ92" s="21"/>
      <c r="BA92" s="77"/>
      <c r="BB92" s="21"/>
      <c r="BC92" s="21"/>
      <c r="BD92" s="21"/>
      <c r="BE92" s="21"/>
      <c r="BF92" s="21"/>
      <c r="BG92" s="77"/>
      <c r="BH92" s="77"/>
      <c r="BI92" s="21"/>
      <c r="BJ92" s="21"/>
      <c r="BK92" s="21"/>
      <c r="BL92" s="21"/>
      <c r="BM92" s="21"/>
      <c r="BN92" s="21"/>
      <c r="BO92" s="77"/>
      <c r="BP92" s="21"/>
      <c r="BQ92" s="21"/>
      <c r="BR92" s="21"/>
      <c r="BS92" s="21"/>
      <c r="BT92" s="21"/>
      <c r="BU92" s="21"/>
      <c r="BV92" s="77"/>
      <c r="BW92" s="96">
        <f t="shared" si="40"/>
        <v>0</v>
      </c>
      <c r="BX92" s="94">
        <f t="shared" si="41"/>
        <v>0</v>
      </c>
      <c r="BY92" s="26"/>
      <c r="CA92" s="52" t="s">
        <v>1839</v>
      </c>
      <c r="CB92" s="19" t="b">
        <f t="shared" si="42"/>
        <v>1</v>
      </c>
      <c r="CC92" s="19" t="s">
        <v>1839</v>
      </c>
      <c r="CD92" s="19" t="s">
        <v>1031</v>
      </c>
      <c r="CE92" s="120" t="s">
        <v>886</v>
      </c>
      <c r="CF92" s="120" t="s">
        <v>887</v>
      </c>
      <c r="CG92" s="120" t="s">
        <v>1024</v>
      </c>
      <c r="CH92" s="120" t="s">
        <v>707</v>
      </c>
      <c r="CI92" s="120" t="s">
        <v>1015</v>
      </c>
      <c r="CJ92" s="120" t="s">
        <v>1016</v>
      </c>
      <c r="CK92" s="120" t="s">
        <v>1017</v>
      </c>
      <c r="CL92" s="120" t="s">
        <v>876</v>
      </c>
      <c r="CM92" s="120" t="s">
        <v>1032</v>
      </c>
      <c r="CN92" s="120" t="s">
        <v>1033</v>
      </c>
      <c r="CO92" s="120" t="s">
        <v>1034</v>
      </c>
      <c r="CP92" s="120" t="s">
        <v>1035</v>
      </c>
      <c r="CQ92" s="120"/>
      <c r="CR92" s="120"/>
      <c r="CS92" s="120" t="s">
        <v>1020</v>
      </c>
      <c r="CT92" s="120" t="s">
        <v>1021</v>
      </c>
      <c r="CU92" s="120" t="s">
        <v>1026</v>
      </c>
      <c r="CV92" s="120" t="s">
        <v>1027</v>
      </c>
      <c r="CW92" s="120"/>
      <c r="CX92" s="120"/>
      <c r="CY92" s="120"/>
      <c r="CZ92" s="120"/>
      <c r="DA92" s="120"/>
      <c r="DB92" s="120"/>
      <c r="DC92" s="120"/>
      <c r="DD92" s="120"/>
      <c r="DE92" s="18"/>
      <c r="DF92" s="18"/>
    </row>
    <row r="93" spans="1:110" s="7" customFormat="1" x14ac:dyDescent="0.25">
      <c r="A93" s="19" t="s">
        <v>228</v>
      </c>
      <c r="B93" s="19" t="s">
        <v>80</v>
      </c>
      <c r="C93" s="19" t="str">
        <f t="shared" si="43"/>
        <v>95255582India</v>
      </c>
      <c r="D93" s="19">
        <v>95255582</v>
      </c>
      <c r="E93" s="19" t="s">
        <v>424</v>
      </c>
      <c r="F93" s="19" t="s">
        <v>2067</v>
      </c>
      <c r="G93" s="20" t="s">
        <v>424</v>
      </c>
      <c r="H93" s="136">
        <v>617</v>
      </c>
      <c r="I93" s="19" t="s">
        <v>230</v>
      </c>
      <c r="J93" s="19" t="s">
        <v>243</v>
      </c>
      <c r="K93" s="19" t="s">
        <v>266</v>
      </c>
      <c r="L93" s="19" t="s">
        <v>279</v>
      </c>
      <c r="M93" s="19" t="s">
        <v>268</v>
      </c>
      <c r="N93" s="19" t="s">
        <v>269</v>
      </c>
      <c r="O93" s="19" t="s">
        <v>275</v>
      </c>
      <c r="P93" s="19" t="s">
        <v>237</v>
      </c>
      <c r="Q93" s="19" t="s">
        <v>271</v>
      </c>
      <c r="R93" s="19">
        <v>5800</v>
      </c>
      <c r="S93" s="19" t="s">
        <v>462</v>
      </c>
      <c r="T93" s="19" t="s">
        <v>263</v>
      </c>
      <c r="U93" s="20" t="s">
        <v>263</v>
      </c>
      <c r="V93" s="19" t="s">
        <v>1791</v>
      </c>
      <c r="W93" s="19" t="s">
        <v>221</v>
      </c>
      <c r="X93" s="35">
        <v>3.000000000000004</v>
      </c>
      <c r="Y93" s="35">
        <v>3.000000000000004</v>
      </c>
      <c r="Z93" s="32"/>
      <c r="AA93" s="22">
        <v>6</v>
      </c>
      <c r="AB93" s="22"/>
      <c r="AC93" s="22"/>
      <c r="AD93" s="22"/>
      <c r="AE93" s="60">
        <f t="shared" si="46"/>
        <v>6</v>
      </c>
      <c r="AF93" s="22"/>
      <c r="AG93" s="40">
        <f t="shared" si="47"/>
        <v>6</v>
      </c>
      <c r="AH93" s="24"/>
      <c r="AI93" s="24"/>
      <c r="AJ93" s="121"/>
      <c r="AK93" s="121"/>
      <c r="AL93" s="24"/>
      <c r="AM93" s="24"/>
      <c r="AN93" s="23">
        <f t="shared" si="44"/>
        <v>6</v>
      </c>
      <c r="AO93" s="25"/>
      <c r="AP93" s="25">
        <v>6</v>
      </c>
      <c r="AQ93" s="25"/>
      <c r="AR93" s="25"/>
      <c r="AS93" s="25">
        <f t="shared" si="45"/>
        <v>6</v>
      </c>
      <c r="AT93" s="13"/>
      <c r="AU93" s="21"/>
      <c r="AV93" s="21"/>
      <c r="AW93" s="21"/>
      <c r="AX93" s="21"/>
      <c r="AY93" s="21"/>
      <c r="AZ93" s="21"/>
      <c r="BA93" s="77"/>
      <c r="BB93" s="21"/>
      <c r="BC93" s="21"/>
      <c r="BD93" s="21">
        <v>3</v>
      </c>
      <c r="BE93" s="21">
        <v>3</v>
      </c>
      <c r="BF93" s="21"/>
      <c r="BG93" s="77"/>
      <c r="BH93" s="77"/>
      <c r="BI93" s="21"/>
      <c r="BJ93" s="21"/>
      <c r="BK93" s="21"/>
      <c r="BL93" s="21"/>
      <c r="BM93" s="21"/>
      <c r="BN93" s="21"/>
      <c r="BO93" s="77"/>
      <c r="BP93" s="21"/>
      <c r="BQ93" s="21"/>
      <c r="BR93" s="21"/>
      <c r="BS93" s="21"/>
      <c r="BT93" s="21"/>
      <c r="BU93" s="21"/>
      <c r="BV93" s="77"/>
      <c r="BW93" s="96">
        <f t="shared" si="40"/>
        <v>6</v>
      </c>
      <c r="BX93" s="94">
        <f t="shared" si="41"/>
        <v>0</v>
      </c>
      <c r="BY93" s="26"/>
      <c r="CA93" s="52" t="s">
        <v>424</v>
      </c>
      <c r="CB93" s="19" t="b">
        <f t="shared" si="42"/>
        <v>1</v>
      </c>
      <c r="CC93" s="19" t="s">
        <v>424</v>
      </c>
      <c r="CD93" s="19" t="s">
        <v>1002</v>
      </c>
      <c r="CE93" s="120" t="s">
        <v>869</v>
      </c>
      <c r="CF93" s="120" t="s">
        <v>870</v>
      </c>
      <c r="CG93" s="120" t="s">
        <v>908</v>
      </c>
      <c r="CH93" s="120" t="s">
        <v>909</v>
      </c>
      <c r="CI93" s="120" t="s">
        <v>898</v>
      </c>
      <c r="CJ93" s="120" t="s">
        <v>899</v>
      </c>
      <c r="CK93" s="120" t="s">
        <v>875</v>
      </c>
      <c r="CL93" s="120" t="s">
        <v>876</v>
      </c>
      <c r="CM93" s="120" t="s">
        <v>1003</v>
      </c>
      <c r="CN93" s="120" t="s">
        <v>1004</v>
      </c>
      <c r="CO93" s="120" t="s">
        <v>1005</v>
      </c>
      <c r="CP93" s="120" t="s">
        <v>1006</v>
      </c>
      <c r="CQ93" s="120"/>
      <c r="CR93" s="120"/>
      <c r="CS93" s="120" t="s">
        <v>904</v>
      </c>
      <c r="CT93" s="120" t="s">
        <v>905</v>
      </c>
      <c r="CU93" s="120" t="s">
        <v>910</v>
      </c>
      <c r="CV93" s="120" t="s">
        <v>911</v>
      </c>
      <c r="CW93" s="120"/>
      <c r="CX93" s="120"/>
      <c r="CY93" s="120"/>
      <c r="CZ93" s="120"/>
      <c r="DA93" s="120"/>
      <c r="DB93" s="120"/>
      <c r="DC93" s="120"/>
      <c r="DD93" s="120"/>
      <c r="DE93" s="18"/>
      <c r="DF93" s="18"/>
    </row>
    <row r="94" spans="1:110" s="7" customFormat="1" x14ac:dyDescent="0.25">
      <c r="A94" s="19" t="s">
        <v>228</v>
      </c>
      <c r="B94" s="19" t="s">
        <v>80</v>
      </c>
      <c r="C94" s="19" t="str">
        <f t="shared" si="43"/>
        <v>95258095India</v>
      </c>
      <c r="D94" s="19">
        <v>95258095</v>
      </c>
      <c r="E94" s="19" t="s">
        <v>474</v>
      </c>
      <c r="F94" s="19" t="s">
        <v>2067</v>
      </c>
      <c r="G94" s="20" t="s">
        <v>474</v>
      </c>
      <c r="H94" s="136">
        <v>98</v>
      </c>
      <c r="I94" s="19" t="s">
        <v>230</v>
      </c>
      <c r="J94" s="19" t="s">
        <v>243</v>
      </c>
      <c r="K94" s="19" t="s">
        <v>266</v>
      </c>
      <c r="L94" s="19" t="s">
        <v>279</v>
      </c>
      <c r="M94" s="19" t="s">
        <v>268</v>
      </c>
      <c r="N94" s="19" t="s">
        <v>269</v>
      </c>
      <c r="O94" s="19" t="s">
        <v>275</v>
      </c>
      <c r="P94" s="19" t="s">
        <v>237</v>
      </c>
      <c r="Q94" s="19" t="s">
        <v>271</v>
      </c>
      <c r="R94" s="19">
        <v>5800</v>
      </c>
      <c r="S94" s="19" t="s">
        <v>272</v>
      </c>
      <c r="T94" s="19" t="s">
        <v>263</v>
      </c>
      <c r="U94" s="20" t="s">
        <v>263</v>
      </c>
      <c r="V94" s="19" t="s">
        <v>199</v>
      </c>
      <c r="W94" s="19" t="s">
        <v>222</v>
      </c>
      <c r="X94" s="35">
        <v>1.0000000000000013</v>
      </c>
      <c r="Y94" s="35">
        <v>1.0000000000000013</v>
      </c>
      <c r="Z94" s="32"/>
      <c r="AA94" s="22"/>
      <c r="AB94" s="22">
        <v>2.0000000000000027</v>
      </c>
      <c r="AC94" s="22"/>
      <c r="AD94" s="22"/>
      <c r="AE94" s="60">
        <f t="shared" si="46"/>
        <v>2.0000000000000027</v>
      </c>
      <c r="AF94" s="22"/>
      <c r="AG94" s="40">
        <f t="shared" si="47"/>
        <v>2.0000000000000027</v>
      </c>
      <c r="AH94" s="24"/>
      <c r="AI94" s="24"/>
      <c r="AJ94" s="121"/>
      <c r="AK94" s="121"/>
      <c r="AL94" s="24"/>
      <c r="AM94" s="24"/>
      <c r="AN94" s="23">
        <f t="shared" si="44"/>
        <v>2.0000000000000027</v>
      </c>
      <c r="AO94" s="25"/>
      <c r="AP94" s="25"/>
      <c r="AQ94" s="25">
        <v>2</v>
      </c>
      <c r="AR94" s="25"/>
      <c r="AS94" s="25">
        <f t="shared" si="45"/>
        <v>2</v>
      </c>
      <c r="AT94" s="13"/>
      <c r="AU94" s="21"/>
      <c r="AV94" s="21"/>
      <c r="AW94" s="21"/>
      <c r="AX94" s="21"/>
      <c r="AY94" s="21"/>
      <c r="AZ94" s="21"/>
      <c r="BA94" s="77"/>
      <c r="BB94" s="21"/>
      <c r="BC94" s="21"/>
      <c r="BD94" s="21"/>
      <c r="BE94" s="21"/>
      <c r="BF94" s="21"/>
      <c r="BG94" s="77"/>
      <c r="BH94" s="77"/>
      <c r="BI94" s="21"/>
      <c r="BJ94" s="21"/>
      <c r="BK94" s="21">
        <v>2</v>
      </c>
      <c r="BL94" s="21"/>
      <c r="BM94" s="21"/>
      <c r="BN94" s="21"/>
      <c r="BO94" s="77"/>
      <c r="BP94" s="21"/>
      <c r="BQ94" s="21"/>
      <c r="BR94" s="21"/>
      <c r="BS94" s="21"/>
      <c r="BT94" s="21"/>
      <c r="BU94" s="21"/>
      <c r="BV94" s="77"/>
      <c r="BW94" s="96">
        <f t="shared" si="40"/>
        <v>2</v>
      </c>
      <c r="BX94" s="94">
        <f t="shared" si="41"/>
        <v>0</v>
      </c>
      <c r="BY94" s="26"/>
      <c r="CA94" s="52" t="s">
        <v>474</v>
      </c>
      <c r="CB94" s="19" t="b">
        <f t="shared" si="42"/>
        <v>1</v>
      </c>
      <c r="CC94" s="19" t="s">
        <v>474</v>
      </c>
      <c r="CD94" s="19" t="s">
        <v>1049</v>
      </c>
      <c r="CE94" s="120" t="s">
        <v>886</v>
      </c>
      <c r="CF94" s="120" t="s">
        <v>887</v>
      </c>
      <c r="CG94" s="120" t="s">
        <v>1024</v>
      </c>
      <c r="CH94" s="120" t="s">
        <v>707</v>
      </c>
      <c r="CI94" s="120" t="s">
        <v>1015</v>
      </c>
      <c r="CJ94" s="120" t="s">
        <v>1016</v>
      </c>
      <c r="CK94" s="120" t="s">
        <v>1017</v>
      </c>
      <c r="CL94" s="120" t="s">
        <v>876</v>
      </c>
      <c r="CM94" s="120" t="s">
        <v>1018</v>
      </c>
      <c r="CN94" s="120" t="s">
        <v>1019</v>
      </c>
      <c r="CO94" s="120" t="s">
        <v>1050</v>
      </c>
      <c r="CP94" s="120" t="s">
        <v>1051</v>
      </c>
      <c r="CQ94" s="120"/>
      <c r="CR94" s="120"/>
      <c r="CS94" s="120" t="s">
        <v>1020</v>
      </c>
      <c r="CT94" s="120" t="s">
        <v>1021</v>
      </c>
      <c r="CU94" s="120" t="s">
        <v>1026</v>
      </c>
      <c r="CV94" s="120" t="s">
        <v>1027</v>
      </c>
      <c r="CW94" s="120"/>
      <c r="CX94" s="120"/>
      <c r="CY94" s="120"/>
      <c r="CZ94" s="120"/>
      <c r="DA94" s="120"/>
      <c r="DB94" s="120"/>
      <c r="DC94" s="120"/>
      <c r="DD94" s="120"/>
      <c r="DE94" s="18"/>
      <c r="DF94" s="18"/>
    </row>
    <row r="95" spans="1:110" s="7" customFormat="1" x14ac:dyDescent="0.25">
      <c r="A95" s="19" t="s">
        <v>228</v>
      </c>
      <c r="B95" s="19" t="s">
        <v>80</v>
      </c>
      <c r="C95" s="19" t="str">
        <f t="shared" si="43"/>
        <v>95259073India</v>
      </c>
      <c r="D95" s="19">
        <v>95259073</v>
      </c>
      <c r="E95" s="19" t="s">
        <v>476</v>
      </c>
      <c r="F95" s="19" t="s">
        <v>2067</v>
      </c>
      <c r="G95" s="20" t="s">
        <v>476</v>
      </c>
      <c r="H95" s="136">
        <v>42</v>
      </c>
      <c r="I95" s="19" t="s">
        <v>230</v>
      </c>
      <c r="J95" s="19" t="s">
        <v>243</v>
      </c>
      <c r="K95" s="19" t="s">
        <v>266</v>
      </c>
      <c r="L95" s="19" t="s">
        <v>267</v>
      </c>
      <c r="M95" s="19" t="s">
        <v>268</v>
      </c>
      <c r="N95" s="19" t="s">
        <v>269</v>
      </c>
      <c r="O95" s="19" t="s">
        <v>275</v>
      </c>
      <c r="P95" s="19" t="s">
        <v>237</v>
      </c>
      <c r="Q95" s="19" t="s">
        <v>271</v>
      </c>
      <c r="R95" s="19">
        <v>5800</v>
      </c>
      <c r="S95" s="19" t="s">
        <v>272</v>
      </c>
      <c r="T95" s="19" t="s">
        <v>263</v>
      </c>
      <c r="U95" s="20" t="s">
        <v>263</v>
      </c>
      <c r="V95" s="19" t="s">
        <v>1559</v>
      </c>
      <c r="W95" s="19" t="s">
        <v>219</v>
      </c>
      <c r="X95" s="35">
        <v>2.0000000000000027</v>
      </c>
      <c r="Y95" s="35">
        <v>1.0000000000000013</v>
      </c>
      <c r="Z95" s="32"/>
      <c r="AA95" s="22"/>
      <c r="AB95" s="22">
        <v>2.0000000000000027</v>
      </c>
      <c r="AC95" s="22"/>
      <c r="AD95" s="22"/>
      <c r="AE95" s="60">
        <f t="shared" si="46"/>
        <v>2.0000000000000027</v>
      </c>
      <c r="AF95" s="22"/>
      <c r="AG95" s="40">
        <f t="shared" si="47"/>
        <v>2.0000000000000027</v>
      </c>
      <c r="AH95" s="24"/>
      <c r="AI95" s="24"/>
      <c r="AJ95" s="121"/>
      <c r="AK95" s="121"/>
      <c r="AL95" s="24"/>
      <c r="AM95" s="24"/>
      <c r="AN95" s="23">
        <f t="shared" si="44"/>
        <v>2.0000000000000027</v>
      </c>
      <c r="AO95" s="25"/>
      <c r="AP95" s="25"/>
      <c r="AQ95" s="25">
        <v>2</v>
      </c>
      <c r="AR95" s="25"/>
      <c r="AS95" s="25">
        <f t="shared" si="45"/>
        <v>2</v>
      </c>
      <c r="AT95" s="13"/>
      <c r="AU95" s="21"/>
      <c r="AV95" s="21"/>
      <c r="AW95" s="21"/>
      <c r="AX95" s="21"/>
      <c r="AY95" s="21"/>
      <c r="AZ95" s="21"/>
      <c r="BA95" s="77"/>
      <c r="BB95" s="21"/>
      <c r="BC95" s="21"/>
      <c r="BD95" s="21"/>
      <c r="BE95" s="21"/>
      <c r="BF95" s="21"/>
      <c r="BG95" s="77"/>
      <c r="BH95" s="77"/>
      <c r="BI95" s="21"/>
      <c r="BJ95" s="21"/>
      <c r="BK95" s="21">
        <v>2</v>
      </c>
      <c r="BL95" s="21"/>
      <c r="BM95" s="21"/>
      <c r="BN95" s="21"/>
      <c r="BO95" s="77"/>
      <c r="BP95" s="21"/>
      <c r="BQ95" s="21"/>
      <c r="BR95" s="21"/>
      <c r="BS95" s="21"/>
      <c r="BT95" s="21"/>
      <c r="BU95" s="21"/>
      <c r="BV95" s="77"/>
      <c r="BW95" s="96">
        <f t="shared" si="40"/>
        <v>2</v>
      </c>
      <c r="BX95" s="94">
        <f t="shared" si="41"/>
        <v>0</v>
      </c>
      <c r="BY95" s="26"/>
      <c r="CA95" s="52" t="s">
        <v>476</v>
      </c>
      <c r="CB95" s="19" t="b">
        <f t="shared" si="42"/>
        <v>1</v>
      </c>
      <c r="CC95" s="19" t="s">
        <v>476</v>
      </c>
      <c r="CD95" s="19" t="s">
        <v>1053</v>
      </c>
      <c r="CE95" s="120" t="s">
        <v>886</v>
      </c>
      <c r="CF95" s="120" t="s">
        <v>887</v>
      </c>
      <c r="CG95" s="120" t="s">
        <v>908</v>
      </c>
      <c r="CH95" s="120" t="s">
        <v>909</v>
      </c>
      <c r="CI95" s="120" t="s">
        <v>898</v>
      </c>
      <c r="CJ95" s="120" t="s">
        <v>899</v>
      </c>
      <c r="CK95" s="120" t="s">
        <v>875</v>
      </c>
      <c r="CL95" s="120" t="s">
        <v>876</v>
      </c>
      <c r="CM95" s="120" t="s">
        <v>1054</v>
      </c>
      <c r="CN95" s="120" t="s">
        <v>1055</v>
      </c>
      <c r="CO95" s="120" t="s">
        <v>1008</v>
      </c>
      <c r="CP95" s="120" t="s">
        <v>1009</v>
      </c>
      <c r="CQ95" s="120"/>
      <c r="CR95" s="120"/>
      <c r="CS95" s="120" t="s">
        <v>904</v>
      </c>
      <c r="CT95" s="120" t="s">
        <v>905</v>
      </c>
      <c r="CU95" s="120" t="s">
        <v>910</v>
      </c>
      <c r="CV95" s="120" t="s">
        <v>911</v>
      </c>
      <c r="CW95" s="120"/>
      <c r="CX95" s="120"/>
      <c r="CY95" s="120"/>
      <c r="CZ95" s="120"/>
      <c r="DA95" s="120"/>
      <c r="DB95" s="120"/>
      <c r="DC95" s="120"/>
      <c r="DD95" s="120"/>
      <c r="DE95" s="18"/>
      <c r="DF95" s="18"/>
    </row>
    <row r="96" spans="1:110" s="7" customFormat="1" x14ac:dyDescent="0.25">
      <c r="A96" s="19" t="s">
        <v>228</v>
      </c>
      <c r="B96" s="19" t="s">
        <v>80</v>
      </c>
      <c r="C96" s="19" t="str">
        <f t="shared" si="43"/>
        <v>95258925India</v>
      </c>
      <c r="D96" s="19">
        <v>95258925</v>
      </c>
      <c r="E96" s="19" t="s">
        <v>478</v>
      </c>
      <c r="F96" s="19" t="s">
        <v>2067</v>
      </c>
      <c r="G96" s="20" t="s">
        <v>478</v>
      </c>
      <c r="H96" s="136">
        <v>78</v>
      </c>
      <c r="I96" s="19" t="s">
        <v>230</v>
      </c>
      <c r="J96" s="19" t="s">
        <v>243</v>
      </c>
      <c r="K96" s="19" t="s">
        <v>266</v>
      </c>
      <c r="L96" s="19" t="s">
        <v>279</v>
      </c>
      <c r="M96" s="19" t="s">
        <v>268</v>
      </c>
      <c r="N96" s="19" t="s">
        <v>269</v>
      </c>
      <c r="O96" s="19" t="s">
        <v>275</v>
      </c>
      <c r="P96" s="19" t="s">
        <v>237</v>
      </c>
      <c r="Q96" s="19" t="s">
        <v>271</v>
      </c>
      <c r="R96" s="19">
        <v>5800</v>
      </c>
      <c r="S96" s="19" t="s">
        <v>272</v>
      </c>
      <c r="T96" s="19" t="s">
        <v>263</v>
      </c>
      <c r="U96" s="20" t="s">
        <v>263</v>
      </c>
      <c r="V96" s="19" t="s">
        <v>204</v>
      </c>
      <c r="W96" s="19" t="s">
        <v>221</v>
      </c>
      <c r="X96" s="35">
        <v>3.000000000000004</v>
      </c>
      <c r="Y96" s="35">
        <v>2.0000000000000027</v>
      </c>
      <c r="Z96" s="32"/>
      <c r="AA96" s="22"/>
      <c r="AB96" s="22">
        <v>3</v>
      </c>
      <c r="AC96" s="22"/>
      <c r="AD96" s="22"/>
      <c r="AE96" s="60">
        <f t="shared" si="46"/>
        <v>3</v>
      </c>
      <c r="AF96" s="22"/>
      <c r="AG96" s="40">
        <f t="shared" si="47"/>
        <v>3</v>
      </c>
      <c r="AH96" s="24">
        <v>6</v>
      </c>
      <c r="AI96" s="24"/>
      <c r="AJ96" s="121">
        <v>3</v>
      </c>
      <c r="AK96" s="121"/>
      <c r="AL96" s="24"/>
      <c r="AM96" s="24"/>
      <c r="AN96" s="23">
        <f t="shared" si="44"/>
        <v>0</v>
      </c>
      <c r="AO96" s="25"/>
      <c r="AP96" s="25"/>
      <c r="AQ96" s="25"/>
      <c r="AR96" s="25"/>
      <c r="AS96" s="25">
        <f t="shared" si="45"/>
        <v>0</v>
      </c>
      <c r="AT96" s="13"/>
      <c r="AU96" s="21"/>
      <c r="AV96" s="21"/>
      <c r="AW96" s="21"/>
      <c r="AX96" s="21"/>
      <c r="AY96" s="21"/>
      <c r="AZ96" s="21"/>
      <c r="BA96" s="77"/>
      <c r="BB96" s="21"/>
      <c r="BC96" s="21"/>
      <c r="BD96" s="21"/>
      <c r="BE96" s="21"/>
      <c r="BF96" s="21"/>
      <c r="BG96" s="77"/>
      <c r="BH96" s="77"/>
      <c r="BI96" s="21"/>
      <c r="BJ96" s="21"/>
      <c r="BK96" s="21"/>
      <c r="BL96" s="21"/>
      <c r="BM96" s="21"/>
      <c r="BN96" s="21"/>
      <c r="BO96" s="77"/>
      <c r="BP96" s="21"/>
      <c r="BQ96" s="21"/>
      <c r="BR96" s="21"/>
      <c r="BS96" s="21"/>
      <c r="BT96" s="21"/>
      <c r="BU96" s="21"/>
      <c r="BV96" s="77"/>
      <c r="BW96" s="96">
        <f t="shared" si="40"/>
        <v>0</v>
      </c>
      <c r="BX96" s="94">
        <f t="shared" si="41"/>
        <v>0</v>
      </c>
      <c r="BY96" s="26"/>
      <c r="CA96" s="52" t="s">
        <v>478</v>
      </c>
      <c r="CB96" s="19" t="b">
        <f t="shared" si="42"/>
        <v>1</v>
      </c>
      <c r="CC96" s="19" t="s">
        <v>478</v>
      </c>
      <c r="CD96" s="19" t="s">
        <v>1056</v>
      </c>
      <c r="CE96" s="120" t="s">
        <v>886</v>
      </c>
      <c r="CF96" s="120" t="s">
        <v>887</v>
      </c>
      <c r="CG96" s="120" t="s">
        <v>995</v>
      </c>
      <c r="CH96" s="120" t="s">
        <v>897</v>
      </c>
      <c r="CI96" s="120" t="s">
        <v>1015</v>
      </c>
      <c r="CJ96" s="120" t="s">
        <v>1016</v>
      </c>
      <c r="CK96" s="120" t="s">
        <v>1017</v>
      </c>
      <c r="CL96" s="120" t="s">
        <v>876</v>
      </c>
      <c r="CM96" s="120" t="s">
        <v>1036</v>
      </c>
      <c r="CN96" s="120" t="s">
        <v>1037</v>
      </c>
      <c r="CO96" s="120" t="s">
        <v>1039</v>
      </c>
      <c r="CP96" s="120" t="s">
        <v>1040</v>
      </c>
      <c r="CQ96" s="120"/>
      <c r="CR96" s="120"/>
      <c r="CS96" s="120" t="s">
        <v>1020</v>
      </c>
      <c r="CT96" s="120" t="s">
        <v>1021</v>
      </c>
      <c r="CU96" s="120" t="s">
        <v>1022</v>
      </c>
      <c r="CV96" s="120" t="s">
        <v>1023</v>
      </c>
      <c r="CW96" s="120"/>
      <c r="CX96" s="120"/>
      <c r="CY96" s="120"/>
      <c r="CZ96" s="120"/>
      <c r="DA96" s="120"/>
      <c r="DB96" s="120"/>
      <c r="DC96" s="120"/>
      <c r="DD96" s="120"/>
      <c r="DE96" s="18"/>
      <c r="DF96" s="18"/>
    </row>
    <row r="97" spans="1:110" s="7" customFormat="1" x14ac:dyDescent="0.25">
      <c r="A97" s="19" t="s">
        <v>228</v>
      </c>
      <c r="B97" s="19" t="s">
        <v>80</v>
      </c>
      <c r="C97" s="19" t="str">
        <f t="shared" si="43"/>
        <v>95258921India</v>
      </c>
      <c r="D97" s="19">
        <v>95258921</v>
      </c>
      <c r="E97" s="19" t="s">
        <v>1846</v>
      </c>
      <c r="F97" s="19" t="s">
        <v>2067</v>
      </c>
      <c r="G97" s="20" t="s">
        <v>1846</v>
      </c>
      <c r="H97" s="136">
        <v>11</v>
      </c>
      <c r="I97" s="19" t="s">
        <v>230</v>
      </c>
      <c r="J97" s="19" t="s">
        <v>243</v>
      </c>
      <c r="K97" s="19" t="s">
        <v>266</v>
      </c>
      <c r="L97" s="19" t="s">
        <v>267</v>
      </c>
      <c r="M97" s="19" t="s">
        <v>268</v>
      </c>
      <c r="N97" s="19" t="s">
        <v>269</v>
      </c>
      <c r="O97" s="19" t="s">
        <v>275</v>
      </c>
      <c r="P97" s="19" t="s">
        <v>237</v>
      </c>
      <c r="Q97" s="19" t="s">
        <v>271</v>
      </c>
      <c r="R97" s="19">
        <v>5800</v>
      </c>
      <c r="S97" s="19" t="s">
        <v>272</v>
      </c>
      <c r="T97" s="19" t="s">
        <v>263</v>
      </c>
      <c r="U97" s="20" t="s">
        <v>263</v>
      </c>
      <c r="V97" s="19" t="s">
        <v>1802</v>
      </c>
      <c r="W97" s="19" t="s">
        <v>222</v>
      </c>
      <c r="X97" s="35"/>
      <c r="Y97" s="35"/>
      <c r="Z97" s="32"/>
      <c r="AA97" s="22"/>
      <c r="AB97" s="22">
        <v>2.0000000000000027</v>
      </c>
      <c r="AC97" s="22"/>
      <c r="AD97" s="22"/>
      <c r="AE97" s="60">
        <f t="shared" si="46"/>
        <v>2.0000000000000027</v>
      </c>
      <c r="AF97" s="22"/>
      <c r="AG97" s="40">
        <f t="shared" si="47"/>
        <v>2.0000000000000027</v>
      </c>
      <c r="AH97" s="24"/>
      <c r="AI97" s="24"/>
      <c r="AJ97" s="121"/>
      <c r="AK97" s="121"/>
      <c r="AL97" s="24"/>
      <c r="AM97" s="24"/>
      <c r="AN97" s="23">
        <f t="shared" si="44"/>
        <v>2.0000000000000027</v>
      </c>
      <c r="AO97" s="25"/>
      <c r="AP97" s="25"/>
      <c r="AQ97" s="25">
        <v>2</v>
      </c>
      <c r="AR97" s="25"/>
      <c r="AS97" s="25">
        <f t="shared" si="45"/>
        <v>2</v>
      </c>
      <c r="AT97" s="13"/>
      <c r="AU97" s="21"/>
      <c r="AV97" s="21"/>
      <c r="AW97" s="21"/>
      <c r="AX97" s="21"/>
      <c r="AY97" s="21"/>
      <c r="AZ97" s="21"/>
      <c r="BA97" s="77"/>
      <c r="BB97" s="21"/>
      <c r="BC97" s="21"/>
      <c r="BD97" s="21"/>
      <c r="BE97" s="21"/>
      <c r="BF97" s="21"/>
      <c r="BG97" s="77"/>
      <c r="BH97" s="77"/>
      <c r="BI97" s="21"/>
      <c r="BJ97" s="21"/>
      <c r="BK97" s="21">
        <v>2</v>
      </c>
      <c r="BL97" s="21"/>
      <c r="BM97" s="21"/>
      <c r="BN97" s="21"/>
      <c r="BO97" s="77"/>
      <c r="BP97" s="21"/>
      <c r="BQ97" s="21"/>
      <c r="BR97" s="21"/>
      <c r="BS97" s="21"/>
      <c r="BT97" s="21"/>
      <c r="BU97" s="21"/>
      <c r="BV97" s="77"/>
      <c r="BW97" s="96">
        <f t="shared" si="40"/>
        <v>2</v>
      </c>
      <c r="BX97" s="94">
        <f t="shared" si="41"/>
        <v>0</v>
      </c>
      <c r="BY97" s="26"/>
      <c r="CA97" s="52" t="s">
        <v>1846</v>
      </c>
      <c r="CB97" s="19" t="b">
        <f t="shared" si="42"/>
        <v>1</v>
      </c>
      <c r="CC97" s="19" t="s">
        <v>1846</v>
      </c>
      <c r="CD97" s="19" t="s">
        <v>1908</v>
      </c>
      <c r="CE97" s="120" t="s">
        <v>886</v>
      </c>
      <c r="CF97" s="120" t="s">
        <v>887</v>
      </c>
      <c r="CG97" s="120" t="s">
        <v>995</v>
      </c>
      <c r="CH97" s="120" t="s">
        <v>897</v>
      </c>
      <c r="CI97" s="120" t="s">
        <v>898</v>
      </c>
      <c r="CJ97" s="120" t="s">
        <v>899</v>
      </c>
      <c r="CK97" s="120" t="s">
        <v>875</v>
      </c>
      <c r="CL97" s="120" t="s">
        <v>876</v>
      </c>
      <c r="CM97" s="120" t="s">
        <v>996</v>
      </c>
      <c r="CN97" s="120" t="s">
        <v>997</v>
      </c>
      <c r="CO97" s="120" t="s">
        <v>1013</v>
      </c>
      <c r="CP97" s="120" t="s">
        <v>1014</v>
      </c>
      <c r="CQ97" s="120"/>
      <c r="CR97" s="120"/>
      <c r="CS97" s="120" t="s">
        <v>904</v>
      </c>
      <c r="CT97" s="120" t="s">
        <v>905</v>
      </c>
      <c r="CU97" s="120" t="s">
        <v>1000</v>
      </c>
      <c r="CV97" s="120" t="s">
        <v>1001</v>
      </c>
      <c r="CW97" s="120"/>
      <c r="CX97" s="120"/>
      <c r="CY97" s="120"/>
      <c r="CZ97" s="120"/>
      <c r="DA97" s="120"/>
      <c r="DB97" s="120"/>
      <c r="DC97" s="120"/>
      <c r="DD97" s="120"/>
      <c r="DE97" s="18"/>
      <c r="DF97" s="18"/>
    </row>
    <row r="98" spans="1:110" s="7" customFormat="1" x14ac:dyDescent="0.25">
      <c r="A98" s="19" t="s">
        <v>228</v>
      </c>
      <c r="B98" s="19" t="s">
        <v>80</v>
      </c>
      <c r="C98" s="19" t="str">
        <f t="shared" si="43"/>
        <v>95259172India</v>
      </c>
      <c r="D98" s="19">
        <v>95259172</v>
      </c>
      <c r="E98" s="19" t="s">
        <v>1820</v>
      </c>
      <c r="F98" s="19" t="s">
        <v>2067</v>
      </c>
      <c r="G98" s="20" t="s">
        <v>1820</v>
      </c>
      <c r="H98" s="136">
        <v>504</v>
      </c>
      <c r="I98" s="19" t="s">
        <v>230</v>
      </c>
      <c r="J98" s="19" t="s">
        <v>243</v>
      </c>
      <c r="K98" s="19" t="s">
        <v>266</v>
      </c>
      <c r="L98" s="19" t="s">
        <v>279</v>
      </c>
      <c r="M98" s="19" t="s">
        <v>268</v>
      </c>
      <c r="N98" s="19" t="s">
        <v>269</v>
      </c>
      <c r="O98" s="19" t="s">
        <v>275</v>
      </c>
      <c r="P98" s="19" t="s">
        <v>237</v>
      </c>
      <c r="Q98" s="19" t="s">
        <v>271</v>
      </c>
      <c r="R98" s="19">
        <v>5800</v>
      </c>
      <c r="S98" s="19" t="s">
        <v>272</v>
      </c>
      <c r="T98" s="19" t="s">
        <v>263</v>
      </c>
      <c r="U98" s="20" t="s">
        <v>263</v>
      </c>
      <c r="V98" s="19" t="s">
        <v>2197</v>
      </c>
      <c r="W98" s="19" t="s">
        <v>219</v>
      </c>
      <c r="X98" s="35">
        <v>1.0000000000000013</v>
      </c>
      <c r="Y98" s="35">
        <v>1.0000000000000013</v>
      </c>
      <c r="Z98" s="32"/>
      <c r="AA98" s="22">
        <v>1</v>
      </c>
      <c r="AB98" s="22"/>
      <c r="AC98" s="22"/>
      <c r="AD98" s="22"/>
      <c r="AE98" s="60">
        <f t="shared" si="46"/>
        <v>1</v>
      </c>
      <c r="AF98" s="22"/>
      <c r="AG98" s="40">
        <f t="shared" si="47"/>
        <v>1</v>
      </c>
      <c r="AH98" s="24">
        <v>5</v>
      </c>
      <c r="AI98" s="24"/>
      <c r="AJ98" s="121">
        <v>1</v>
      </c>
      <c r="AK98" s="121"/>
      <c r="AL98" s="24"/>
      <c r="AM98" s="24"/>
      <c r="AN98" s="23">
        <f t="shared" si="44"/>
        <v>0</v>
      </c>
      <c r="AO98" s="25"/>
      <c r="AP98" s="25"/>
      <c r="AQ98" s="25"/>
      <c r="AR98" s="25"/>
      <c r="AS98" s="25">
        <f t="shared" si="45"/>
        <v>0</v>
      </c>
      <c r="AT98" s="13"/>
      <c r="AU98" s="21"/>
      <c r="AV98" s="21"/>
      <c r="AW98" s="21"/>
      <c r="AX98" s="21"/>
      <c r="AY98" s="21"/>
      <c r="AZ98" s="21"/>
      <c r="BA98" s="77"/>
      <c r="BB98" s="21"/>
      <c r="BC98" s="21"/>
      <c r="BD98" s="21"/>
      <c r="BE98" s="21"/>
      <c r="BF98" s="21"/>
      <c r="BG98" s="77"/>
      <c r="BH98" s="77"/>
      <c r="BI98" s="21"/>
      <c r="BJ98" s="21"/>
      <c r="BK98" s="21"/>
      <c r="BL98" s="21"/>
      <c r="BM98" s="21"/>
      <c r="BN98" s="21"/>
      <c r="BO98" s="77"/>
      <c r="BP98" s="21"/>
      <c r="BQ98" s="21"/>
      <c r="BR98" s="21"/>
      <c r="BS98" s="21"/>
      <c r="BT98" s="21"/>
      <c r="BU98" s="21"/>
      <c r="BV98" s="77"/>
      <c r="BW98" s="96">
        <f t="shared" si="40"/>
        <v>0</v>
      </c>
      <c r="BX98" s="94">
        <f t="shared" si="41"/>
        <v>0</v>
      </c>
      <c r="BY98" s="26"/>
      <c r="CA98" s="52" t="s">
        <v>1820</v>
      </c>
      <c r="CB98" s="19" t="b">
        <f t="shared" si="42"/>
        <v>1</v>
      </c>
      <c r="CC98" s="19" t="s">
        <v>1820</v>
      </c>
      <c r="CD98" s="19" t="s">
        <v>1007</v>
      </c>
      <c r="CE98" s="120" t="s">
        <v>886</v>
      </c>
      <c r="CF98" s="120" t="s">
        <v>887</v>
      </c>
      <c r="CG98" s="120" t="s">
        <v>908</v>
      </c>
      <c r="CH98" s="120" t="s">
        <v>909</v>
      </c>
      <c r="CI98" s="120" t="s">
        <v>898</v>
      </c>
      <c r="CJ98" s="120" t="s">
        <v>899</v>
      </c>
      <c r="CK98" s="120" t="s">
        <v>875</v>
      </c>
      <c r="CL98" s="120" t="s">
        <v>876</v>
      </c>
      <c r="CM98" s="120" t="s">
        <v>1003</v>
      </c>
      <c r="CN98" s="120" t="s">
        <v>1004</v>
      </c>
      <c r="CO98" s="120" t="s">
        <v>1008</v>
      </c>
      <c r="CP98" s="120" t="s">
        <v>1009</v>
      </c>
      <c r="CQ98" s="120"/>
      <c r="CR98" s="120"/>
      <c r="CS98" s="120" t="s">
        <v>904</v>
      </c>
      <c r="CT98" s="120" t="s">
        <v>905</v>
      </c>
      <c r="CU98" s="120" t="s">
        <v>910</v>
      </c>
      <c r="CV98" s="120" t="s">
        <v>911</v>
      </c>
      <c r="CW98" s="120"/>
      <c r="CX98" s="120"/>
      <c r="CY98" s="120"/>
      <c r="CZ98" s="120"/>
      <c r="DA98" s="120"/>
      <c r="DB98" s="120"/>
      <c r="DC98" s="120"/>
      <c r="DD98" s="120"/>
      <c r="DE98" s="18"/>
      <c r="DF98" s="18"/>
    </row>
    <row r="99" spans="1:110" s="7" customFormat="1" x14ac:dyDescent="0.25">
      <c r="A99" s="19" t="s">
        <v>228</v>
      </c>
      <c r="B99" s="19" t="s">
        <v>80</v>
      </c>
      <c r="C99" s="19" t="str">
        <f t="shared" si="43"/>
        <v>95259781India</v>
      </c>
      <c r="D99" s="19">
        <v>95259781</v>
      </c>
      <c r="E99" s="19" t="s">
        <v>2215</v>
      </c>
      <c r="F99" s="19" t="s">
        <v>2067</v>
      </c>
      <c r="G99" s="20" t="s">
        <v>2215</v>
      </c>
      <c r="H99" s="136">
        <v>1</v>
      </c>
      <c r="I99" s="19" t="s">
        <v>230</v>
      </c>
      <c r="J99" s="19" t="s">
        <v>243</v>
      </c>
      <c r="K99" s="19" t="s">
        <v>266</v>
      </c>
      <c r="L99" s="19" t="s">
        <v>279</v>
      </c>
      <c r="M99" s="19" t="s">
        <v>268</v>
      </c>
      <c r="N99" s="19" t="s">
        <v>247</v>
      </c>
      <c r="O99" s="19" t="s">
        <v>275</v>
      </c>
      <c r="P99" s="19" t="s">
        <v>237</v>
      </c>
      <c r="Q99" s="19" t="s">
        <v>271</v>
      </c>
      <c r="R99" s="19">
        <v>5800</v>
      </c>
      <c r="S99" s="19" t="s">
        <v>272</v>
      </c>
      <c r="T99" s="19" t="s">
        <v>263</v>
      </c>
      <c r="U99" s="20" t="s">
        <v>263</v>
      </c>
      <c r="V99" s="19" t="s">
        <v>2198</v>
      </c>
      <c r="W99" s="19" t="s">
        <v>219</v>
      </c>
      <c r="X99" s="35"/>
      <c r="Y99" s="35"/>
      <c r="Z99" s="32"/>
      <c r="AA99" s="22"/>
      <c r="AB99" s="22">
        <v>1.0000000000000013</v>
      </c>
      <c r="AC99" s="22"/>
      <c r="AD99" s="22"/>
      <c r="AE99" s="60">
        <f t="shared" si="46"/>
        <v>1.0000000000000013</v>
      </c>
      <c r="AF99" s="22"/>
      <c r="AG99" s="40">
        <f t="shared" si="47"/>
        <v>1.0000000000000013</v>
      </c>
      <c r="AH99" s="24"/>
      <c r="AI99" s="24"/>
      <c r="AJ99" s="121"/>
      <c r="AK99" s="121"/>
      <c r="AL99" s="24"/>
      <c r="AM99" s="24"/>
      <c r="AN99" s="23">
        <f t="shared" si="44"/>
        <v>1.0000000000000013</v>
      </c>
      <c r="AO99" s="25"/>
      <c r="AP99" s="25"/>
      <c r="AQ99" s="25">
        <v>1</v>
      </c>
      <c r="AR99" s="25"/>
      <c r="AS99" s="25">
        <f t="shared" si="45"/>
        <v>1</v>
      </c>
      <c r="AT99" s="13"/>
      <c r="AU99" s="21"/>
      <c r="AV99" s="21"/>
      <c r="AW99" s="21"/>
      <c r="AX99" s="21"/>
      <c r="AY99" s="21"/>
      <c r="AZ99" s="21"/>
      <c r="BA99" s="77"/>
      <c r="BB99" s="21"/>
      <c r="BC99" s="21"/>
      <c r="BD99" s="21"/>
      <c r="BE99" s="21"/>
      <c r="BF99" s="21"/>
      <c r="BG99" s="77"/>
      <c r="BH99" s="77"/>
      <c r="BI99" s="21"/>
      <c r="BJ99" s="21"/>
      <c r="BK99" s="21">
        <v>1</v>
      </c>
      <c r="BL99" s="21"/>
      <c r="BM99" s="21"/>
      <c r="BN99" s="21"/>
      <c r="BO99" s="77"/>
      <c r="BP99" s="21"/>
      <c r="BQ99" s="21"/>
      <c r="BR99" s="21"/>
      <c r="BS99" s="21"/>
      <c r="BT99" s="21"/>
      <c r="BU99" s="21"/>
      <c r="BV99" s="77"/>
      <c r="BW99" s="96">
        <f t="shared" si="40"/>
        <v>1</v>
      </c>
      <c r="BX99" s="94">
        <f t="shared" si="41"/>
        <v>0</v>
      </c>
      <c r="BY99" s="26"/>
      <c r="CA99" s="52" t="s">
        <v>2215</v>
      </c>
      <c r="CB99" s="19" t="b">
        <f t="shared" si="42"/>
        <v>1</v>
      </c>
      <c r="CC99" s="19" t="s">
        <v>2215</v>
      </c>
      <c r="CD99" s="19" t="s">
        <v>2243</v>
      </c>
      <c r="CE99" s="120" t="s">
        <v>886</v>
      </c>
      <c r="CF99" s="120" t="s">
        <v>887</v>
      </c>
      <c r="CG99" s="120" t="s">
        <v>1024</v>
      </c>
      <c r="CH99" s="120" t="s">
        <v>707</v>
      </c>
      <c r="CI99" s="120" t="s">
        <v>1015</v>
      </c>
      <c r="CJ99" s="120" t="s">
        <v>1016</v>
      </c>
      <c r="CK99" s="120" t="s">
        <v>1025</v>
      </c>
      <c r="CL99" s="120" t="s">
        <v>983</v>
      </c>
      <c r="CM99" s="120" t="s">
        <v>1036</v>
      </c>
      <c r="CN99" s="120" t="s">
        <v>1037</v>
      </c>
      <c r="CO99" s="120" t="s">
        <v>1034</v>
      </c>
      <c r="CP99" s="120" t="s">
        <v>1035</v>
      </c>
      <c r="CQ99" s="120"/>
      <c r="CR99" s="120"/>
      <c r="CS99" s="120" t="s">
        <v>1020</v>
      </c>
      <c r="CT99" s="120" t="s">
        <v>1021</v>
      </c>
      <c r="CU99" s="120" t="s">
        <v>1026</v>
      </c>
      <c r="CV99" s="120" t="s">
        <v>1027</v>
      </c>
      <c r="CW99" s="120"/>
      <c r="CX99" s="120"/>
      <c r="CY99" s="120"/>
      <c r="CZ99" s="120"/>
      <c r="DA99" s="120"/>
      <c r="DB99" s="120"/>
      <c r="DC99" s="120"/>
      <c r="DD99" s="120"/>
      <c r="DE99" s="18"/>
      <c r="DF99" s="18"/>
    </row>
    <row r="100" spans="1:110" s="7" customFormat="1" x14ac:dyDescent="0.25">
      <c r="A100" s="19" t="s">
        <v>228</v>
      </c>
      <c r="B100" s="19" t="s">
        <v>80</v>
      </c>
      <c r="C100" s="19" t="str">
        <f t="shared" si="43"/>
        <v>97058955India</v>
      </c>
      <c r="D100" s="19">
        <v>97058955</v>
      </c>
      <c r="E100" s="19" t="s">
        <v>452</v>
      </c>
      <c r="F100" s="19" t="s">
        <v>2067</v>
      </c>
      <c r="G100" s="20" t="s">
        <v>452</v>
      </c>
      <c r="H100" s="136">
        <v>116</v>
      </c>
      <c r="I100" s="19" t="s">
        <v>230</v>
      </c>
      <c r="J100" s="19" t="s">
        <v>334</v>
      </c>
      <c r="K100" s="19" t="s">
        <v>266</v>
      </c>
      <c r="L100" s="19" t="s">
        <v>279</v>
      </c>
      <c r="M100" s="19" t="s">
        <v>268</v>
      </c>
      <c r="N100" s="19" t="s">
        <v>269</v>
      </c>
      <c r="O100" s="19" t="s">
        <v>275</v>
      </c>
      <c r="P100" s="19" t="s">
        <v>237</v>
      </c>
      <c r="Q100" s="19" t="s">
        <v>437</v>
      </c>
      <c r="R100" s="19">
        <v>5900</v>
      </c>
      <c r="S100" s="19" t="s">
        <v>272</v>
      </c>
      <c r="T100" s="19" t="s">
        <v>263</v>
      </c>
      <c r="U100" s="20" t="s">
        <v>263</v>
      </c>
      <c r="V100" s="19" t="s">
        <v>179</v>
      </c>
      <c r="W100" s="19" t="s">
        <v>221</v>
      </c>
      <c r="X100" s="35">
        <v>3.000000000000004</v>
      </c>
      <c r="Y100" s="35">
        <v>2.0000000000000027</v>
      </c>
      <c r="Z100" s="32"/>
      <c r="AA100" s="22"/>
      <c r="AB100" s="22">
        <v>3</v>
      </c>
      <c r="AC100" s="22"/>
      <c r="AD100" s="22"/>
      <c r="AE100" s="60">
        <f t="shared" si="46"/>
        <v>3</v>
      </c>
      <c r="AF100" s="22"/>
      <c r="AG100" s="40">
        <f t="shared" si="47"/>
        <v>3</v>
      </c>
      <c r="AH100" s="24">
        <v>4</v>
      </c>
      <c r="AI100" s="24"/>
      <c r="AJ100" s="121">
        <v>3</v>
      </c>
      <c r="AK100" s="121"/>
      <c r="AL100" s="24"/>
      <c r="AM100" s="24"/>
      <c r="AN100" s="23">
        <f t="shared" si="44"/>
        <v>0</v>
      </c>
      <c r="AO100" s="25"/>
      <c r="AP100" s="25"/>
      <c r="AQ100" s="25"/>
      <c r="AR100" s="25"/>
      <c r="AS100" s="25">
        <f t="shared" si="45"/>
        <v>0</v>
      </c>
      <c r="AT100" s="13"/>
      <c r="AU100" s="21"/>
      <c r="AV100" s="21"/>
      <c r="AW100" s="21"/>
      <c r="AX100" s="21"/>
      <c r="AY100" s="21"/>
      <c r="AZ100" s="21"/>
      <c r="BA100" s="77"/>
      <c r="BB100" s="21"/>
      <c r="BC100" s="21"/>
      <c r="BD100" s="21"/>
      <c r="BE100" s="21"/>
      <c r="BF100" s="21"/>
      <c r="BG100" s="77"/>
      <c r="BH100" s="77"/>
      <c r="BI100" s="21"/>
      <c r="BJ100" s="21"/>
      <c r="BK100" s="21"/>
      <c r="BL100" s="21"/>
      <c r="BM100" s="21"/>
      <c r="BN100" s="21"/>
      <c r="BO100" s="77"/>
      <c r="BP100" s="21"/>
      <c r="BQ100" s="21"/>
      <c r="BR100" s="21"/>
      <c r="BS100" s="21"/>
      <c r="BT100" s="21"/>
      <c r="BU100" s="21"/>
      <c r="BV100" s="77"/>
      <c r="BW100" s="96">
        <f t="shared" ref="BW100:BW131" si="48">SUM(AV100:BV100)</f>
        <v>0</v>
      </c>
      <c r="BX100" s="94">
        <f t="shared" ref="BX100:BX131" si="49">AS100-BW100</f>
        <v>0</v>
      </c>
      <c r="BY100" s="26"/>
      <c r="CA100" s="52" t="s">
        <v>452</v>
      </c>
      <c r="CB100" s="19" t="b">
        <f t="shared" si="42"/>
        <v>1</v>
      </c>
      <c r="CC100" s="19" t="s">
        <v>452</v>
      </c>
      <c r="CD100" s="19" t="s">
        <v>1068</v>
      </c>
      <c r="CE100" s="120" t="s">
        <v>921</v>
      </c>
      <c r="CF100" s="120" t="s">
        <v>922</v>
      </c>
      <c r="CG100" s="120" t="s">
        <v>923</v>
      </c>
      <c r="CH100" s="120" t="s">
        <v>924</v>
      </c>
      <c r="CI100" s="120" t="s">
        <v>925</v>
      </c>
      <c r="CJ100" s="120" t="s">
        <v>926</v>
      </c>
      <c r="CK100" s="120" t="s">
        <v>1064</v>
      </c>
      <c r="CL100" s="120" t="s">
        <v>1065</v>
      </c>
      <c r="CM100" s="120" t="s">
        <v>1066</v>
      </c>
      <c r="CN100" s="120" t="s">
        <v>1067</v>
      </c>
      <c r="CO100" s="120" t="s">
        <v>1069</v>
      </c>
      <c r="CP100" s="120" t="s">
        <v>1070</v>
      </c>
      <c r="CQ100" s="120"/>
      <c r="CR100" s="120"/>
      <c r="CS100" s="120" t="s">
        <v>538</v>
      </c>
      <c r="CT100" s="120" t="s">
        <v>539</v>
      </c>
      <c r="CU100" s="120" t="s">
        <v>933</v>
      </c>
      <c r="CV100" s="120" t="s">
        <v>934</v>
      </c>
      <c r="CW100" s="120"/>
      <c r="CX100" s="120"/>
      <c r="CY100" s="120"/>
      <c r="CZ100" s="120"/>
      <c r="DA100" s="120"/>
      <c r="DB100" s="120"/>
      <c r="DC100" s="120"/>
      <c r="DD100" s="120"/>
      <c r="DE100" s="18"/>
      <c r="DF100" s="18"/>
    </row>
    <row r="101" spans="1:110" s="7" customFormat="1" x14ac:dyDescent="0.25">
      <c r="A101" s="19" t="s">
        <v>228</v>
      </c>
      <c r="B101" s="19" t="s">
        <v>80</v>
      </c>
      <c r="C101" s="19" t="str">
        <f t="shared" si="43"/>
        <v>97058958India</v>
      </c>
      <c r="D101" s="19">
        <v>97058958</v>
      </c>
      <c r="E101" s="19" t="s">
        <v>460</v>
      </c>
      <c r="F101" s="19" t="s">
        <v>2067</v>
      </c>
      <c r="G101" s="20" t="s">
        <v>460</v>
      </c>
      <c r="H101" s="136">
        <v>24</v>
      </c>
      <c r="I101" s="19" t="s">
        <v>230</v>
      </c>
      <c r="J101" s="19" t="s">
        <v>334</v>
      </c>
      <c r="K101" s="19" t="s">
        <v>266</v>
      </c>
      <c r="L101" s="19" t="s">
        <v>279</v>
      </c>
      <c r="M101" s="19" t="s">
        <v>268</v>
      </c>
      <c r="N101" s="19" t="s">
        <v>269</v>
      </c>
      <c r="O101" s="19" t="s">
        <v>275</v>
      </c>
      <c r="P101" s="19" t="s">
        <v>237</v>
      </c>
      <c r="Q101" s="19" t="s">
        <v>437</v>
      </c>
      <c r="R101" s="19">
        <v>5900</v>
      </c>
      <c r="S101" s="19" t="s">
        <v>272</v>
      </c>
      <c r="T101" s="19" t="s">
        <v>263</v>
      </c>
      <c r="U101" s="20" t="s">
        <v>263</v>
      </c>
      <c r="V101" s="19" t="s">
        <v>184</v>
      </c>
      <c r="W101" s="19" t="s">
        <v>222</v>
      </c>
      <c r="X101" s="35">
        <v>2.0000000000000027</v>
      </c>
      <c r="Y101" s="35">
        <v>2.0000000000000027</v>
      </c>
      <c r="Z101" s="32"/>
      <c r="AA101" s="22"/>
      <c r="AB101" s="22">
        <v>3.000000000000004</v>
      </c>
      <c r="AC101" s="22"/>
      <c r="AD101" s="22"/>
      <c r="AE101" s="60">
        <f t="shared" si="46"/>
        <v>3.000000000000004</v>
      </c>
      <c r="AF101" s="22"/>
      <c r="AG101" s="40">
        <f t="shared" si="47"/>
        <v>3.000000000000004</v>
      </c>
      <c r="AH101" s="24"/>
      <c r="AI101" s="24"/>
      <c r="AJ101" s="121"/>
      <c r="AK101" s="121"/>
      <c r="AL101" s="24"/>
      <c r="AM101" s="24"/>
      <c r="AN101" s="23">
        <f t="shared" si="44"/>
        <v>3.000000000000004</v>
      </c>
      <c r="AO101" s="25"/>
      <c r="AP101" s="25"/>
      <c r="AQ101" s="25">
        <v>3</v>
      </c>
      <c r="AR101" s="25"/>
      <c r="AS101" s="25">
        <f t="shared" si="45"/>
        <v>3</v>
      </c>
      <c r="AT101" s="13"/>
      <c r="AU101" s="21"/>
      <c r="AV101" s="21"/>
      <c r="AW101" s="21"/>
      <c r="AX101" s="21"/>
      <c r="AY101" s="21"/>
      <c r="AZ101" s="21"/>
      <c r="BA101" s="77"/>
      <c r="BB101" s="21"/>
      <c r="BC101" s="21"/>
      <c r="BD101" s="21"/>
      <c r="BE101" s="21"/>
      <c r="BF101" s="21"/>
      <c r="BG101" s="77"/>
      <c r="BH101" s="77"/>
      <c r="BI101" s="21"/>
      <c r="BJ101" s="21"/>
      <c r="BK101" s="21">
        <v>1</v>
      </c>
      <c r="BL101" s="21">
        <v>2</v>
      </c>
      <c r="BM101" s="21"/>
      <c r="BN101" s="21"/>
      <c r="BO101" s="77"/>
      <c r="BP101" s="21"/>
      <c r="BQ101" s="21"/>
      <c r="BR101" s="21"/>
      <c r="BS101" s="21"/>
      <c r="BT101" s="21"/>
      <c r="BU101" s="21"/>
      <c r="BV101" s="77"/>
      <c r="BW101" s="96">
        <f t="shared" si="48"/>
        <v>3</v>
      </c>
      <c r="BX101" s="94">
        <f t="shared" si="49"/>
        <v>0</v>
      </c>
      <c r="BY101" s="26"/>
      <c r="CA101" s="52" t="s">
        <v>460</v>
      </c>
      <c r="CB101" s="19" t="b">
        <f t="shared" si="42"/>
        <v>1</v>
      </c>
      <c r="CC101" s="19" t="s">
        <v>460</v>
      </c>
      <c r="CD101" s="19" t="s">
        <v>1071</v>
      </c>
      <c r="CE101" s="120" t="s">
        <v>921</v>
      </c>
      <c r="CF101" s="120" t="s">
        <v>922</v>
      </c>
      <c r="CG101" s="120" t="s">
        <v>923</v>
      </c>
      <c r="CH101" s="120" t="s">
        <v>924</v>
      </c>
      <c r="CI101" s="120" t="s">
        <v>925</v>
      </c>
      <c r="CJ101" s="120" t="s">
        <v>926</v>
      </c>
      <c r="CK101" s="120" t="s">
        <v>1072</v>
      </c>
      <c r="CL101" s="120" t="s">
        <v>1073</v>
      </c>
      <c r="CM101" s="120" t="s">
        <v>1074</v>
      </c>
      <c r="CN101" s="120" t="s">
        <v>1075</v>
      </c>
      <c r="CO101" s="120" t="s">
        <v>1076</v>
      </c>
      <c r="CP101" s="120" t="s">
        <v>1077</v>
      </c>
      <c r="CQ101" s="120"/>
      <c r="CR101" s="120"/>
      <c r="CS101" s="120" t="s">
        <v>538</v>
      </c>
      <c r="CT101" s="120" t="s">
        <v>539</v>
      </c>
      <c r="CU101" s="120" t="s">
        <v>933</v>
      </c>
      <c r="CV101" s="120" t="s">
        <v>934</v>
      </c>
      <c r="CW101" s="120"/>
      <c r="CX101" s="120"/>
      <c r="CY101" s="120"/>
      <c r="CZ101" s="120"/>
      <c r="DA101" s="120"/>
      <c r="DB101" s="120"/>
      <c r="DC101" s="120"/>
      <c r="DD101" s="120"/>
      <c r="DE101" s="18"/>
      <c r="DF101" s="18"/>
    </row>
    <row r="102" spans="1:110" s="7" customFormat="1" x14ac:dyDescent="0.25">
      <c r="A102" s="19" t="s">
        <v>224</v>
      </c>
      <c r="B102" s="19" t="s">
        <v>224</v>
      </c>
      <c r="C102" s="19" t="str">
        <f t="shared" si="43"/>
        <v>10253813NPI Proj</v>
      </c>
      <c r="D102" s="19">
        <v>10253813</v>
      </c>
      <c r="E102" s="19" t="s">
        <v>229</v>
      </c>
      <c r="F102" s="19" t="s">
        <v>2067</v>
      </c>
      <c r="G102" s="20" t="s">
        <v>229</v>
      </c>
      <c r="H102" s="136" t="s">
        <v>2234</v>
      </c>
      <c r="I102" s="19" t="s">
        <v>491</v>
      </c>
      <c r="J102" s="19" t="s">
        <v>487</v>
      </c>
      <c r="K102" s="19" t="s">
        <v>2162</v>
      </c>
      <c r="L102" s="19" t="s">
        <v>2160</v>
      </c>
      <c r="M102" s="19" t="s">
        <v>268</v>
      </c>
      <c r="N102" s="19" t="s">
        <v>247</v>
      </c>
      <c r="O102" s="19" t="s">
        <v>270</v>
      </c>
      <c r="P102" s="19" t="s">
        <v>237</v>
      </c>
      <c r="Q102" s="19" t="s">
        <v>2161</v>
      </c>
      <c r="R102" s="19">
        <v>6100</v>
      </c>
      <c r="S102" s="19" t="s">
        <v>272</v>
      </c>
      <c r="T102" s="19" t="s">
        <v>488</v>
      </c>
      <c r="U102" s="20" t="s">
        <v>488</v>
      </c>
      <c r="V102" s="19" t="s">
        <v>2204</v>
      </c>
      <c r="W102" s="19"/>
      <c r="X102" s="35"/>
      <c r="Y102" s="35"/>
      <c r="Z102" s="32"/>
      <c r="AA102" s="22"/>
      <c r="AB102" s="22">
        <v>4</v>
      </c>
      <c r="AC102" s="22">
        <v>4</v>
      </c>
      <c r="AD102" s="22"/>
      <c r="AE102" s="60">
        <v>8</v>
      </c>
      <c r="AF102" s="22"/>
      <c r="AG102" s="40">
        <v>8</v>
      </c>
      <c r="AH102" s="24"/>
      <c r="AI102" s="24"/>
      <c r="AJ102" s="121"/>
      <c r="AK102" s="121"/>
      <c r="AL102" s="24"/>
      <c r="AM102" s="24"/>
      <c r="AN102" s="23">
        <f t="shared" si="44"/>
        <v>8</v>
      </c>
      <c r="AO102" s="25"/>
      <c r="AP102" s="25"/>
      <c r="AQ102" s="25"/>
      <c r="AR102" s="25"/>
      <c r="AS102" s="25">
        <f t="shared" si="45"/>
        <v>0</v>
      </c>
      <c r="AT102" s="13"/>
      <c r="AU102" s="21"/>
      <c r="AV102" s="21"/>
      <c r="AW102" s="21"/>
      <c r="AX102" s="21"/>
      <c r="AY102" s="21"/>
      <c r="AZ102" s="21"/>
      <c r="BA102" s="77"/>
      <c r="BB102" s="21"/>
      <c r="BC102" s="21"/>
      <c r="BD102" s="21"/>
      <c r="BE102" s="21"/>
      <c r="BF102" s="21"/>
      <c r="BG102" s="77"/>
      <c r="BH102" s="77"/>
      <c r="BI102" s="21"/>
      <c r="BJ102" s="21"/>
      <c r="BK102" s="21"/>
      <c r="BL102" s="21"/>
      <c r="BM102" s="21"/>
      <c r="BN102" s="21"/>
      <c r="BO102" s="77"/>
      <c r="BP102" s="21"/>
      <c r="BQ102" s="21"/>
      <c r="BR102" s="21"/>
      <c r="BS102" s="21"/>
      <c r="BT102" s="21"/>
      <c r="BU102" s="21"/>
      <c r="BV102" s="77"/>
      <c r="BW102" s="96">
        <f t="shared" si="48"/>
        <v>0</v>
      </c>
      <c r="BX102" s="94">
        <f t="shared" si="49"/>
        <v>0</v>
      </c>
      <c r="BY102" s="26" t="s">
        <v>2291</v>
      </c>
      <c r="CA102" s="19" t="s">
        <v>229</v>
      </c>
      <c r="CB102" s="19" t="b">
        <f t="shared" si="42"/>
        <v>0</v>
      </c>
      <c r="CC102" s="19"/>
      <c r="CD102" s="19"/>
      <c r="CE102" s="120"/>
      <c r="CF102" s="120"/>
      <c r="CG102" s="120"/>
      <c r="CH102" s="120"/>
      <c r="CI102" s="120"/>
      <c r="CJ102" s="120"/>
      <c r="CK102" s="120"/>
      <c r="CL102" s="120"/>
      <c r="CM102" s="120"/>
      <c r="CN102" s="120"/>
      <c r="CO102" s="120"/>
      <c r="CP102" s="120"/>
      <c r="CQ102" s="120"/>
      <c r="CR102" s="120"/>
      <c r="CS102" s="120"/>
      <c r="CT102" s="120"/>
      <c r="CU102" s="120"/>
      <c r="CV102" s="120"/>
      <c r="CW102" s="120"/>
      <c r="CX102" s="120"/>
      <c r="CY102" s="120"/>
      <c r="CZ102" s="120"/>
      <c r="DA102" s="120"/>
      <c r="DB102" s="120"/>
      <c r="DC102" s="120"/>
      <c r="DD102" s="120"/>
      <c r="DE102" s="18"/>
      <c r="DF102" s="18"/>
    </row>
    <row r="103" spans="1:110" s="7" customFormat="1" x14ac:dyDescent="0.25">
      <c r="A103" s="19" t="s">
        <v>224</v>
      </c>
      <c r="B103" s="19" t="s">
        <v>224</v>
      </c>
      <c r="C103" s="19" t="str">
        <f t="shared" si="43"/>
        <v>BPCH1013NPI Proj</v>
      </c>
      <c r="D103" s="19" t="s">
        <v>2201</v>
      </c>
      <c r="E103" s="19" t="s">
        <v>229</v>
      </c>
      <c r="F103" s="19" t="s">
        <v>2067</v>
      </c>
      <c r="G103" s="20" t="s">
        <v>229</v>
      </c>
      <c r="H103" s="136" t="s">
        <v>2234</v>
      </c>
      <c r="I103" s="19" t="s">
        <v>491</v>
      </c>
      <c r="J103" s="19" t="s">
        <v>487</v>
      </c>
      <c r="K103" s="19" t="s">
        <v>2162</v>
      </c>
      <c r="L103" s="19" t="s">
        <v>2160</v>
      </c>
      <c r="M103" s="19" t="s">
        <v>268</v>
      </c>
      <c r="N103" s="19" t="s">
        <v>247</v>
      </c>
      <c r="O103" s="19" t="s">
        <v>270</v>
      </c>
      <c r="P103" s="19" t="s">
        <v>237</v>
      </c>
      <c r="Q103" s="19" t="s">
        <v>2161</v>
      </c>
      <c r="R103" s="19">
        <v>6100</v>
      </c>
      <c r="S103" s="19" t="s">
        <v>272</v>
      </c>
      <c r="T103" s="19" t="s">
        <v>488</v>
      </c>
      <c r="U103" s="20" t="s">
        <v>488</v>
      </c>
      <c r="V103" s="19" t="s">
        <v>2205</v>
      </c>
      <c r="W103" s="19"/>
      <c r="X103" s="35"/>
      <c r="Y103" s="35"/>
      <c r="Z103" s="32"/>
      <c r="AA103" s="22">
        <v>2</v>
      </c>
      <c r="AB103" s="22">
        <v>2</v>
      </c>
      <c r="AC103" s="22"/>
      <c r="AD103" s="22"/>
      <c r="AE103" s="60">
        <v>4</v>
      </c>
      <c r="AF103" s="22"/>
      <c r="AG103" s="40">
        <v>4</v>
      </c>
      <c r="AH103" s="24"/>
      <c r="AI103" s="24"/>
      <c r="AJ103" s="121"/>
      <c r="AK103" s="121"/>
      <c r="AL103" s="24"/>
      <c r="AM103" s="24"/>
      <c r="AN103" s="23">
        <f t="shared" si="44"/>
        <v>4</v>
      </c>
      <c r="AO103" s="25"/>
      <c r="AP103" s="25"/>
      <c r="AQ103" s="25"/>
      <c r="AR103" s="25"/>
      <c r="AS103" s="25">
        <f t="shared" si="45"/>
        <v>0</v>
      </c>
      <c r="AT103" s="13"/>
      <c r="AU103" s="21"/>
      <c r="AV103" s="21"/>
      <c r="AW103" s="21"/>
      <c r="AX103" s="21"/>
      <c r="AY103" s="21"/>
      <c r="AZ103" s="21"/>
      <c r="BA103" s="77"/>
      <c r="BB103" s="21"/>
      <c r="BC103" s="21"/>
      <c r="BD103" s="21"/>
      <c r="BE103" s="21"/>
      <c r="BF103" s="21"/>
      <c r="BG103" s="77"/>
      <c r="BH103" s="77"/>
      <c r="BI103" s="21"/>
      <c r="BJ103" s="21"/>
      <c r="BK103" s="21"/>
      <c r="BL103" s="21"/>
      <c r="BM103" s="21"/>
      <c r="BN103" s="21"/>
      <c r="BO103" s="77"/>
      <c r="BP103" s="21"/>
      <c r="BQ103" s="21"/>
      <c r="BR103" s="21"/>
      <c r="BS103" s="21"/>
      <c r="BT103" s="21"/>
      <c r="BU103" s="21"/>
      <c r="BV103" s="77"/>
      <c r="BW103" s="96">
        <f t="shared" si="48"/>
        <v>0</v>
      </c>
      <c r="BX103" s="94">
        <f t="shared" si="49"/>
        <v>0</v>
      </c>
      <c r="BY103" s="26" t="s">
        <v>2291</v>
      </c>
      <c r="CA103" s="19" t="s">
        <v>229</v>
      </c>
      <c r="CB103" s="19" t="b">
        <f t="shared" si="42"/>
        <v>0</v>
      </c>
      <c r="CC103" s="19"/>
      <c r="CD103" s="19"/>
      <c r="CE103" s="120"/>
      <c r="CF103" s="120"/>
      <c r="CG103" s="120"/>
      <c r="CH103" s="120"/>
      <c r="CI103" s="120"/>
      <c r="CJ103" s="120"/>
      <c r="CK103" s="120"/>
      <c r="CL103" s="120"/>
      <c r="CM103" s="120"/>
      <c r="CN103" s="120"/>
      <c r="CO103" s="120"/>
      <c r="CP103" s="120"/>
      <c r="CQ103" s="120"/>
      <c r="CR103" s="120"/>
      <c r="CS103" s="120"/>
      <c r="CT103" s="120"/>
      <c r="CU103" s="120"/>
      <c r="CV103" s="120"/>
      <c r="CW103" s="120"/>
      <c r="CX103" s="120"/>
      <c r="CY103" s="120"/>
      <c r="CZ103" s="120"/>
      <c r="DA103" s="120"/>
      <c r="DB103" s="120"/>
      <c r="DC103" s="120"/>
      <c r="DD103" s="120"/>
      <c r="DE103" s="18"/>
      <c r="DF103" s="18"/>
    </row>
    <row r="104" spans="1:110" s="7" customFormat="1" x14ac:dyDescent="0.25">
      <c r="A104" s="19" t="s">
        <v>224</v>
      </c>
      <c r="B104" s="19" t="s">
        <v>224</v>
      </c>
      <c r="C104" s="19" t="str">
        <f t="shared" si="43"/>
        <v>10253373NPI Proj</v>
      </c>
      <c r="D104" s="19">
        <v>10253373</v>
      </c>
      <c r="E104" s="19" t="s">
        <v>229</v>
      </c>
      <c r="F104" s="19" t="s">
        <v>2067</v>
      </c>
      <c r="G104" s="20" t="s">
        <v>229</v>
      </c>
      <c r="H104" s="136" t="s">
        <v>2234</v>
      </c>
      <c r="I104" s="19" t="s">
        <v>491</v>
      </c>
      <c r="J104" s="19" t="s">
        <v>487</v>
      </c>
      <c r="K104" s="19" t="s">
        <v>2162</v>
      </c>
      <c r="L104" s="19" t="s">
        <v>2160</v>
      </c>
      <c r="M104" s="19" t="s">
        <v>268</v>
      </c>
      <c r="N104" s="19" t="s">
        <v>247</v>
      </c>
      <c r="O104" s="19" t="s">
        <v>270</v>
      </c>
      <c r="P104" s="19" t="s">
        <v>237</v>
      </c>
      <c r="Q104" s="19" t="s">
        <v>2161</v>
      </c>
      <c r="R104" s="19">
        <v>6100</v>
      </c>
      <c r="S104" s="19" t="s">
        <v>272</v>
      </c>
      <c r="T104" s="19" t="s">
        <v>488</v>
      </c>
      <c r="U104" s="20" t="s">
        <v>488</v>
      </c>
      <c r="V104" s="19" t="s">
        <v>2205</v>
      </c>
      <c r="W104" s="19"/>
      <c r="X104" s="35"/>
      <c r="Y104" s="35"/>
      <c r="Z104" s="32"/>
      <c r="AA104" s="22"/>
      <c r="AB104" s="22">
        <v>2</v>
      </c>
      <c r="AC104" s="22">
        <v>2</v>
      </c>
      <c r="AD104" s="22"/>
      <c r="AE104" s="60">
        <v>4</v>
      </c>
      <c r="AF104" s="22"/>
      <c r="AG104" s="40">
        <v>4</v>
      </c>
      <c r="AH104" s="24"/>
      <c r="AI104" s="24"/>
      <c r="AJ104" s="121"/>
      <c r="AK104" s="121"/>
      <c r="AL104" s="24"/>
      <c r="AM104" s="24"/>
      <c r="AN104" s="23">
        <f t="shared" si="44"/>
        <v>4</v>
      </c>
      <c r="AO104" s="25"/>
      <c r="AP104" s="25"/>
      <c r="AQ104" s="25"/>
      <c r="AR104" s="25"/>
      <c r="AS104" s="25">
        <f t="shared" si="45"/>
        <v>0</v>
      </c>
      <c r="AT104" s="13"/>
      <c r="AU104" s="21"/>
      <c r="AV104" s="21"/>
      <c r="AW104" s="21"/>
      <c r="AX104" s="21"/>
      <c r="AY104" s="21"/>
      <c r="AZ104" s="21"/>
      <c r="BA104" s="77"/>
      <c r="BB104" s="21"/>
      <c r="BC104" s="21"/>
      <c r="BD104" s="21"/>
      <c r="BE104" s="21"/>
      <c r="BF104" s="21"/>
      <c r="BG104" s="77"/>
      <c r="BH104" s="77"/>
      <c r="BI104" s="21"/>
      <c r="BJ104" s="21"/>
      <c r="BK104" s="21"/>
      <c r="BL104" s="21"/>
      <c r="BM104" s="21"/>
      <c r="BN104" s="21"/>
      <c r="BO104" s="77"/>
      <c r="BP104" s="21"/>
      <c r="BQ104" s="21"/>
      <c r="BR104" s="21"/>
      <c r="BS104" s="21"/>
      <c r="BT104" s="21"/>
      <c r="BU104" s="21"/>
      <c r="BV104" s="77"/>
      <c r="BW104" s="96">
        <f t="shared" si="48"/>
        <v>0</v>
      </c>
      <c r="BX104" s="94">
        <f t="shared" si="49"/>
        <v>0</v>
      </c>
      <c r="BY104" s="26" t="s">
        <v>2291</v>
      </c>
      <c r="CA104" s="19" t="s">
        <v>229</v>
      </c>
      <c r="CB104" s="19" t="b">
        <f t="shared" si="42"/>
        <v>0</v>
      </c>
      <c r="CC104" s="19"/>
      <c r="CD104" s="19"/>
      <c r="CE104" s="120"/>
      <c r="CF104" s="120"/>
      <c r="CG104" s="120"/>
      <c r="CH104" s="120"/>
      <c r="CI104" s="120"/>
      <c r="CJ104" s="120"/>
      <c r="CK104" s="120"/>
      <c r="CL104" s="120"/>
      <c r="CM104" s="120"/>
      <c r="CN104" s="120"/>
      <c r="CO104" s="120"/>
      <c r="CP104" s="120"/>
      <c r="CQ104" s="120"/>
      <c r="CR104" s="120"/>
      <c r="CS104" s="120"/>
      <c r="CT104" s="120"/>
      <c r="CU104" s="120"/>
      <c r="CV104" s="120"/>
      <c r="CW104" s="120"/>
      <c r="CX104" s="120"/>
      <c r="CY104" s="120"/>
      <c r="CZ104" s="120"/>
      <c r="DA104" s="120"/>
      <c r="DB104" s="120"/>
      <c r="DC104" s="120"/>
      <c r="DD104" s="120"/>
      <c r="DE104" s="18"/>
      <c r="DF104" s="18"/>
    </row>
    <row r="105" spans="1:110" s="7" customFormat="1" x14ac:dyDescent="0.25">
      <c r="A105" s="19" t="s">
        <v>228</v>
      </c>
      <c r="B105" s="19" t="s">
        <v>80</v>
      </c>
      <c r="C105" s="19" t="str">
        <f t="shared" si="43"/>
        <v>10258643India</v>
      </c>
      <c r="D105" s="19">
        <v>10258643</v>
      </c>
      <c r="E105" s="19" t="s">
        <v>2085</v>
      </c>
      <c r="F105" s="19" t="s">
        <v>2067</v>
      </c>
      <c r="G105" s="20" t="s">
        <v>2085</v>
      </c>
      <c r="H105" s="136" t="s">
        <v>2234</v>
      </c>
      <c r="I105" s="19" t="s">
        <v>230</v>
      </c>
      <c r="J105" s="19" t="s">
        <v>487</v>
      </c>
      <c r="K105" s="19" t="s">
        <v>494</v>
      </c>
      <c r="L105" s="19" t="s">
        <v>233</v>
      </c>
      <c r="M105" s="19" t="s">
        <v>268</v>
      </c>
      <c r="N105" s="19" t="s">
        <v>235</v>
      </c>
      <c r="O105" s="19" t="s">
        <v>275</v>
      </c>
      <c r="P105" s="19" t="s">
        <v>237</v>
      </c>
      <c r="Q105" s="19" t="s">
        <v>495</v>
      </c>
      <c r="R105" s="19">
        <v>6100</v>
      </c>
      <c r="S105" s="19" t="s">
        <v>272</v>
      </c>
      <c r="T105" s="19" t="s">
        <v>488</v>
      </c>
      <c r="U105" s="20" t="s">
        <v>488</v>
      </c>
      <c r="V105" s="19" t="s">
        <v>2228</v>
      </c>
      <c r="W105" s="19" t="s">
        <v>219</v>
      </c>
      <c r="X105" s="35"/>
      <c r="Y105" s="35"/>
      <c r="Z105" s="32"/>
      <c r="AA105" s="22">
        <v>4</v>
      </c>
      <c r="AB105" s="22"/>
      <c r="AC105" s="22"/>
      <c r="AD105" s="22"/>
      <c r="AE105" s="60">
        <f>SUM(AA105:AD105)</f>
        <v>4</v>
      </c>
      <c r="AF105" s="22"/>
      <c r="AG105" s="40">
        <f>AE105+AF105</f>
        <v>4</v>
      </c>
      <c r="AH105" s="24"/>
      <c r="AI105" s="24"/>
      <c r="AJ105" s="121"/>
      <c r="AK105" s="121"/>
      <c r="AL105" s="24"/>
      <c r="AM105" s="24"/>
      <c r="AN105" s="23">
        <f t="shared" si="44"/>
        <v>4</v>
      </c>
      <c r="AO105" s="25"/>
      <c r="AP105" s="25"/>
      <c r="AQ105" s="25">
        <v>4</v>
      </c>
      <c r="AR105" s="25"/>
      <c r="AS105" s="25">
        <f t="shared" si="45"/>
        <v>4</v>
      </c>
      <c r="AT105" s="13"/>
      <c r="AU105" s="21"/>
      <c r="AV105" s="21"/>
      <c r="AW105" s="21"/>
      <c r="AX105" s="21"/>
      <c r="AY105" s="21"/>
      <c r="AZ105" s="21"/>
      <c r="BA105" s="77"/>
      <c r="BB105" s="21"/>
      <c r="BC105" s="21"/>
      <c r="BD105" s="21"/>
      <c r="BE105" s="21"/>
      <c r="BF105" s="21"/>
      <c r="BG105" s="77"/>
      <c r="BH105" s="77"/>
      <c r="BI105" s="21"/>
      <c r="BJ105" s="21"/>
      <c r="BK105" s="21">
        <v>2</v>
      </c>
      <c r="BL105" s="21">
        <v>2</v>
      </c>
      <c r="BM105" s="21"/>
      <c r="BN105" s="21"/>
      <c r="BO105" s="77"/>
      <c r="BP105" s="21"/>
      <c r="BQ105" s="21"/>
      <c r="BR105" s="21"/>
      <c r="BS105" s="21"/>
      <c r="BT105" s="21"/>
      <c r="BU105" s="21"/>
      <c r="BV105" s="77"/>
      <c r="BW105" s="96">
        <f t="shared" si="48"/>
        <v>4</v>
      </c>
      <c r="BX105" s="94">
        <f t="shared" si="49"/>
        <v>0</v>
      </c>
      <c r="BY105" s="26"/>
      <c r="CA105" s="52" t="s">
        <v>2085</v>
      </c>
      <c r="CB105" s="19" t="b">
        <f t="shared" si="42"/>
        <v>1</v>
      </c>
      <c r="CC105" s="19" t="s">
        <v>2085</v>
      </c>
      <c r="CD105" s="19" t="s">
        <v>2092</v>
      </c>
      <c r="CE105" s="120" t="s">
        <v>2093</v>
      </c>
      <c r="CF105" s="120" t="s">
        <v>2094</v>
      </c>
      <c r="CG105" s="120"/>
      <c r="CH105" s="120"/>
      <c r="CI105" s="120"/>
      <c r="CJ105" s="120"/>
      <c r="CK105" s="120" t="s">
        <v>2095</v>
      </c>
      <c r="CL105" s="120" t="s">
        <v>2096</v>
      </c>
      <c r="CM105" s="120" t="s">
        <v>2097</v>
      </c>
      <c r="CN105" s="120" t="s">
        <v>2098</v>
      </c>
      <c r="CO105" s="120" t="s">
        <v>2099</v>
      </c>
      <c r="CP105" s="120" t="s">
        <v>2100</v>
      </c>
      <c r="CQ105" s="120"/>
      <c r="CR105" s="120"/>
      <c r="CS105" s="120" t="s">
        <v>2101</v>
      </c>
      <c r="CT105" s="120" t="s">
        <v>2102</v>
      </c>
      <c r="CU105" s="120"/>
      <c r="CV105" s="120"/>
      <c r="CW105" s="120"/>
      <c r="CX105" s="120"/>
      <c r="CY105" s="120"/>
      <c r="CZ105" s="120"/>
      <c r="DA105" s="120"/>
      <c r="DB105" s="120"/>
      <c r="DC105" s="120"/>
      <c r="DD105" s="120"/>
      <c r="DE105" s="18"/>
      <c r="DF105" s="18"/>
    </row>
    <row r="106" spans="1:110" s="7" customFormat="1" x14ac:dyDescent="0.25">
      <c r="A106" s="19" t="s">
        <v>228</v>
      </c>
      <c r="B106" s="19" t="s">
        <v>80</v>
      </c>
      <c r="C106" s="19" t="str">
        <f t="shared" si="43"/>
        <v>10253497India</v>
      </c>
      <c r="D106" s="19">
        <v>10253497</v>
      </c>
      <c r="E106" s="19" t="s">
        <v>229</v>
      </c>
      <c r="F106" s="19" t="s">
        <v>2067</v>
      </c>
      <c r="G106" s="20" t="s">
        <v>229</v>
      </c>
      <c r="H106" s="136" t="s">
        <v>2234</v>
      </c>
      <c r="I106" s="19" t="s">
        <v>491</v>
      </c>
      <c r="J106" s="19" t="s">
        <v>487</v>
      </c>
      <c r="K106" s="19" t="s">
        <v>494</v>
      </c>
      <c r="L106" s="19" t="s">
        <v>233</v>
      </c>
      <c r="M106" s="19" t="s">
        <v>362</v>
      </c>
      <c r="N106" s="19" t="s">
        <v>235</v>
      </c>
      <c r="O106" s="19" t="s">
        <v>275</v>
      </c>
      <c r="P106" s="19" t="s">
        <v>237</v>
      </c>
      <c r="Q106" s="19" t="s">
        <v>495</v>
      </c>
      <c r="R106" s="19">
        <v>6100</v>
      </c>
      <c r="S106" s="19" t="s">
        <v>272</v>
      </c>
      <c r="T106" s="19" t="s">
        <v>488</v>
      </c>
      <c r="U106" s="20" t="s">
        <v>488</v>
      </c>
      <c r="V106" s="19" t="s">
        <v>2227</v>
      </c>
      <c r="W106" s="19" t="s">
        <v>219</v>
      </c>
      <c r="X106" s="35"/>
      <c r="Y106" s="35"/>
      <c r="Z106" s="32"/>
      <c r="AA106" s="22">
        <v>8</v>
      </c>
      <c r="AB106" s="22"/>
      <c r="AC106" s="22"/>
      <c r="AD106" s="22"/>
      <c r="AE106" s="60">
        <v>8</v>
      </c>
      <c r="AF106" s="22"/>
      <c r="AG106" s="40">
        <v>8</v>
      </c>
      <c r="AH106" s="24"/>
      <c r="AI106" s="24"/>
      <c r="AJ106" s="121"/>
      <c r="AK106" s="121"/>
      <c r="AL106" s="24"/>
      <c r="AM106" s="24"/>
      <c r="AN106" s="23">
        <f t="shared" si="44"/>
        <v>8</v>
      </c>
      <c r="AO106" s="25"/>
      <c r="AP106" s="25"/>
      <c r="AQ106" s="25">
        <v>8</v>
      </c>
      <c r="AR106" s="25"/>
      <c r="AS106" s="25">
        <f t="shared" si="45"/>
        <v>8</v>
      </c>
      <c r="AT106" s="13"/>
      <c r="AU106" s="21"/>
      <c r="AV106" s="21"/>
      <c r="AW106" s="21"/>
      <c r="AX106" s="21"/>
      <c r="AY106" s="21"/>
      <c r="AZ106" s="21"/>
      <c r="BA106" s="77"/>
      <c r="BB106" s="21"/>
      <c r="BC106" s="21"/>
      <c r="BD106" s="21"/>
      <c r="BE106" s="21"/>
      <c r="BF106" s="21"/>
      <c r="BG106" s="77"/>
      <c r="BH106" s="77"/>
      <c r="BI106" s="21"/>
      <c r="BJ106" s="21"/>
      <c r="BK106" s="21">
        <v>2</v>
      </c>
      <c r="BL106" s="21">
        <v>3</v>
      </c>
      <c r="BM106" s="21">
        <v>3</v>
      </c>
      <c r="BN106" s="21"/>
      <c r="BO106" s="77"/>
      <c r="BP106" s="21"/>
      <c r="BQ106" s="21"/>
      <c r="BR106" s="21"/>
      <c r="BS106" s="21"/>
      <c r="BT106" s="21"/>
      <c r="BU106" s="21"/>
      <c r="BV106" s="77"/>
      <c r="BW106" s="96">
        <f t="shared" si="48"/>
        <v>8</v>
      </c>
      <c r="BX106" s="94">
        <f t="shared" si="49"/>
        <v>0</v>
      </c>
      <c r="BY106" s="26"/>
      <c r="CA106" s="19" t="s">
        <v>229</v>
      </c>
      <c r="CB106" s="19" t="b">
        <f t="shared" si="42"/>
        <v>0</v>
      </c>
      <c r="CC106" s="19"/>
      <c r="CD106" s="19"/>
      <c r="CE106" s="120"/>
      <c r="CF106" s="120"/>
      <c r="CG106" s="120"/>
      <c r="CH106" s="120"/>
      <c r="CI106" s="120"/>
      <c r="CJ106" s="120"/>
      <c r="CK106" s="120"/>
      <c r="CL106" s="120"/>
      <c r="CM106" s="120"/>
      <c r="CN106" s="120"/>
      <c r="CO106" s="120"/>
      <c r="CP106" s="120"/>
      <c r="CQ106" s="120"/>
      <c r="CR106" s="120"/>
      <c r="CS106" s="120"/>
      <c r="CT106" s="120"/>
      <c r="CU106" s="120"/>
      <c r="CV106" s="120"/>
      <c r="CW106" s="120"/>
      <c r="CX106" s="120"/>
      <c r="CY106" s="120"/>
      <c r="CZ106" s="120"/>
      <c r="DA106" s="120"/>
      <c r="DB106" s="120"/>
      <c r="DC106" s="120"/>
      <c r="DD106" s="120"/>
      <c r="DE106" s="18"/>
      <c r="DF106" s="18"/>
    </row>
    <row r="107" spans="1:110" s="7" customFormat="1" x14ac:dyDescent="0.25">
      <c r="A107" s="19" t="s">
        <v>224</v>
      </c>
      <c r="B107" s="19" t="s">
        <v>224</v>
      </c>
      <c r="C107" s="19" t="str">
        <f t="shared" si="43"/>
        <v>BPCH1012NPI Proj</v>
      </c>
      <c r="D107" s="19" t="s">
        <v>2060</v>
      </c>
      <c r="E107" s="19" t="s">
        <v>229</v>
      </c>
      <c r="F107" s="19" t="s">
        <v>2067</v>
      </c>
      <c r="G107" s="20" t="s">
        <v>229</v>
      </c>
      <c r="H107" s="136" t="s">
        <v>2234</v>
      </c>
      <c r="I107" s="19" t="s">
        <v>491</v>
      </c>
      <c r="J107" s="19" t="s">
        <v>487</v>
      </c>
      <c r="K107" s="19" t="s">
        <v>494</v>
      </c>
      <c r="L107" s="19" t="s">
        <v>233</v>
      </c>
      <c r="M107" s="19" t="s">
        <v>362</v>
      </c>
      <c r="N107" s="19" t="s">
        <v>235</v>
      </c>
      <c r="O107" s="19" t="s">
        <v>275</v>
      </c>
      <c r="P107" s="19" t="s">
        <v>237</v>
      </c>
      <c r="Q107" s="19" t="s">
        <v>495</v>
      </c>
      <c r="R107" s="19">
        <v>6100</v>
      </c>
      <c r="S107" s="19" t="s">
        <v>272</v>
      </c>
      <c r="T107" s="19" t="s">
        <v>488</v>
      </c>
      <c r="U107" s="20" t="s">
        <v>488</v>
      </c>
      <c r="V107" s="19" t="s">
        <v>2037</v>
      </c>
      <c r="W107" s="19"/>
      <c r="X107" s="35"/>
      <c r="Y107" s="35"/>
      <c r="Z107" s="32"/>
      <c r="AA107" s="22">
        <v>4</v>
      </c>
      <c r="AB107" s="22">
        <v>4</v>
      </c>
      <c r="AC107" s="22"/>
      <c r="AD107" s="22"/>
      <c r="AE107" s="60">
        <v>8</v>
      </c>
      <c r="AF107" s="22"/>
      <c r="AG107" s="40">
        <v>8</v>
      </c>
      <c r="AH107" s="24">
        <v>1</v>
      </c>
      <c r="AI107" s="24"/>
      <c r="AJ107" s="121">
        <v>1</v>
      </c>
      <c r="AK107" s="121"/>
      <c r="AL107" s="24"/>
      <c r="AM107" s="24"/>
      <c r="AN107" s="23">
        <f t="shared" si="44"/>
        <v>7</v>
      </c>
      <c r="AO107" s="25"/>
      <c r="AP107" s="25"/>
      <c r="AQ107" s="25"/>
      <c r="AR107" s="25"/>
      <c r="AS107" s="25">
        <f t="shared" si="45"/>
        <v>0</v>
      </c>
      <c r="AT107" s="13"/>
      <c r="AU107" s="21"/>
      <c r="AV107" s="21"/>
      <c r="AW107" s="21"/>
      <c r="AX107" s="21"/>
      <c r="AY107" s="21"/>
      <c r="AZ107" s="21"/>
      <c r="BA107" s="77"/>
      <c r="BB107" s="21"/>
      <c r="BC107" s="21"/>
      <c r="BD107" s="21"/>
      <c r="BE107" s="21"/>
      <c r="BF107" s="21"/>
      <c r="BG107" s="77"/>
      <c r="BH107" s="77"/>
      <c r="BI107" s="21"/>
      <c r="BJ107" s="21"/>
      <c r="BK107" s="21"/>
      <c r="BL107" s="21"/>
      <c r="BM107" s="21"/>
      <c r="BN107" s="21"/>
      <c r="BO107" s="77"/>
      <c r="BP107" s="21"/>
      <c r="BQ107" s="21"/>
      <c r="BR107" s="21"/>
      <c r="BS107" s="21"/>
      <c r="BT107" s="21"/>
      <c r="BU107" s="21"/>
      <c r="BV107" s="77"/>
      <c r="BW107" s="96">
        <f t="shared" si="48"/>
        <v>0</v>
      </c>
      <c r="BX107" s="94">
        <f t="shared" si="49"/>
        <v>0</v>
      </c>
      <c r="BY107" s="26" t="s">
        <v>2291</v>
      </c>
      <c r="CA107" s="19" t="s">
        <v>229</v>
      </c>
      <c r="CB107" s="19" t="b">
        <f t="shared" si="42"/>
        <v>0</v>
      </c>
      <c r="CC107" s="19"/>
      <c r="CD107" s="19"/>
      <c r="CE107" s="120"/>
      <c r="CF107" s="120"/>
      <c r="CG107" s="120"/>
      <c r="CH107" s="120"/>
      <c r="CI107" s="120"/>
      <c r="CJ107" s="120"/>
      <c r="CK107" s="120"/>
      <c r="CL107" s="120"/>
      <c r="CM107" s="120"/>
      <c r="CN107" s="120"/>
      <c r="CO107" s="120"/>
      <c r="CP107" s="120"/>
      <c r="CQ107" s="120"/>
      <c r="CR107" s="120"/>
      <c r="CS107" s="120"/>
      <c r="CT107" s="120"/>
      <c r="CU107" s="120"/>
      <c r="CV107" s="120"/>
      <c r="CW107" s="120"/>
      <c r="CX107" s="120"/>
      <c r="CY107" s="120"/>
      <c r="CZ107" s="120"/>
      <c r="DA107" s="120"/>
      <c r="DB107" s="120"/>
      <c r="DC107" s="120"/>
      <c r="DD107" s="120"/>
      <c r="DE107" s="18"/>
      <c r="DF107" s="18"/>
    </row>
    <row r="108" spans="1:110" s="7" customFormat="1" x14ac:dyDescent="0.25">
      <c r="A108" s="19" t="s">
        <v>81</v>
      </c>
      <c r="B108" s="19" t="s">
        <v>84</v>
      </c>
      <c r="C108" s="19" t="str">
        <f t="shared" si="43"/>
        <v>80658559TANZANIA</v>
      </c>
      <c r="D108" s="19">
        <v>80658559</v>
      </c>
      <c r="E108" s="19" t="s">
        <v>2214</v>
      </c>
      <c r="F108" s="19" t="s">
        <v>2067</v>
      </c>
      <c r="G108" s="20" t="s">
        <v>2214</v>
      </c>
      <c r="H108" s="136">
        <v>2</v>
      </c>
      <c r="I108" s="19" t="s">
        <v>230</v>
      </c>
      <c r="J108" s="19" t="s">
        <v>355</v>
      </c>
      <c r="K108" s="19" t="s">
        <v>2080</v>
      </c>
      <c r="L108" s="19" t="s">
        <v>289</v>
      </c>
      <c r="M108" s="19" t="s">
        <v>362</v>
      </c>
      <c r="N108" s="19" t="s">
        <v>284</v>
      </c>
      <c r="O108" s="19" t="s">
        <v>275</v>
      </c>
      <c r="P108" s="19" t="s">
        <v>285</v>
      </c>
      <c r="Q108" s="19" t="s">
        <v>2081</v>
      </c>
      <c r="R108" s="19">
        <v>6200</v>
      </c>
      <c r="S108" s="19" t="s">
        <v>272</v>
      </c>
      <c r="T108" s="19" t="s">
        <v>287</v>
      </c>
      <c r="U108" s="20" t="s">
        <v>287</v>
      </c>
      <c r="V108" s="19" t="s">
        <v>2229</v>
      </c>
      <c r="W108" s="19" t="s">
        <v>219</v>
      </c>
      <c r="X108" s="35"/>
      <c r="Y108" s="35"/>
      <c r="Z108" s="32"/>
      <c r="AA108" s="22">
        <v>1</v>
      </c>
      <c r="AB108" s="22"/>
      <c r="AC108" s="22"/>
      <c r="AD108" s="22"/>
      <c r="AE108" s="60">
        <f t="shared" ref="AE108:AE121" si="50">SUM(AA108:AD108)</f>
        <v>1</v>
      </c>
      <c r="AF108" s="22"/>
      <c r="AG108" s="40">
        <f t="shared" ref="AG108:AG121" si="51">AE108+AF108</f>
        <v>1</v>
      </c>
      <c r="AH108" s="24"/>
      <c r="AI108" s="24"/>
      <c r="AJ108" s="121"/>
      <c r="AK108" s="121"/>
      <c r="AL108" s="24"/>
      <c r="AM108" s="24"/>
      <c r="AN108" s="23">
        <f t="shared" si="44"/>
        <v>1</v>
      </c>
      <c r="AO108" s="25"/>
      <c r="AP108" s="25">
        <v>1</v>
      </c>
      <c r="AQ108" s="25"/>
      <c r="AR108" s="25"/>
      <c r="AS108" s="25">
        <f t="shared" si="45"/>
        <v>1</v>
      </c>
      <c r="AT108" s="13"/>
      <c r="AU108" s="21"/>
      <c r="AV108" s="21"/>
      <c r="AW108" s="21"/>
      <c r="AX108" s="21"/>
      <c r="AY108" s="21"/>
      <c r="AZ108" s="21"/>
      <c r="BA108" s="77"/>
      <c r="BB108" s="21"/>
      <c r="BC108" s="21"/>
      <c r="BD108" s="21"/>
      <c r="BE108" s="21"/>
      <c r="BF108" s="21"/>
      <c r="BG108" s="77"/>
      <c r="BH108" s="77"/>
      <c r="BI108" s="21"/>
      <c r="BJ108" s="21">
        <v>1</v>
      </c>
      <c r="BK108" s="21"/>
      <c r="BL108" s="21"/>
      <c r="BM108" s="21"/>
      <c r="BN108" s="21"/>
      <c r="BO108" s="77"/>
      <c r="BP108" s="21"/>
      <c r="BQ108" s="21"/>
      <c r="BR108" s="21"/>
      <c r="BS108" s="21"/>
      <c r="BT108" s="21"/>
      <c r="BU108" s="21"/>
      <c r="BV108" s="77"/>
      <c r="BW108" s="96">
        <f t="shared" si="48"/>
        <v>1</v>
      </c>
      <c r="BX108" s="94">
        <f t="shared" si="49"/>
        <v>0</v>
      </c>
      <c r="BY108" s="26"/>
      <c r="CA108" s="52" t="s">
        <v>2214</v>
      </c>
      <c r="CB108" s="19" t="b">
        <f t="shared" si="42"/>
        <v>1</v>
      </c>
      <c r="CC108" s="19" t="s">
        <v>2214</v>
      </c>
      <c r="CD108" s="19" t="s">
        <v>2244</v>
      </c>
      <c r="CE108" s="120" t="s">
        <v>2135</v>
      </c>
      <c r="CF108" s="120" t="s">
        <v>2136</v>
      </c>
      <c r="CG108" s="120" t="s">
        <v>2137</v>
      </c>
      <c r="CH108" s="120" t="s">
        <v>2138</v>
      </c>
      <c r="CI108" s="120" t="s">
        <v>2245</v>
      </c>
      <c r="CJ108" s="120" t="s">
        <v>2246</v>
      </c>
      <c r="CK108" s="120" t="s">
        <v>2247</v>
      </c>
      <c r="CL108" s="120" t="s">
        <v>2248</v>
      </c>
      <c r="CM108" s="120" t="s">
        <v>2139</v>
      </c>
      <c r="CN108" s="120" t="s">
        <v>2140</v>
      </c>
      <c r="CO108" s="120" t="s">
        <v>2141</v>
      </c>
      <c r="CP108" s="120" t="s">
        <v>2142</v>
      </c>
      <c r="CQ108" s="120"/>
      <c r="CR108" s="120"/>
      <c r="CS108" s="120" t="s">
        <v>2143</v>
      </c>
      <c r="CT108" s="120" t="s">
        <v>2144</v>
      </c>
      <c r="CU108" s="120" t="s">
        <v>2249</v>
      </c>
      <c r="CV108" s="120" t="s">
        <v>2250</v>
      </c>
      <c r="CW108" s="120"/>
      <c r="CX108" s="120"/>
      <c r="CY108" s="120"/>
      <c r="CZ108" s="120"/>
      <c r="DA108" s="120"/>
      <c r="DB108" s="120"/>
      <c r="DC108" s="120"/>
      <c r="DD108" s="120"/>
      <c r="DE108" s="18"/>
      <c r="DF108" s="18"/>
    </row>
    <row r="109" spans="1:110" s="7" customFormat="1" x14ac:dyDescent="0.25">
      <c r="A109" s="19" t="s">
        <v>81</v>
      </c>
      <c r="B109" s="19" t="s">
        <v>92</v>
      </c>
      <c r="C109" s="19" t="str">
        <f t="shared" si="43"/>
        <v>80653910UTD.ARAB EMIR.</v>
      </c>
      <c r="D109" s="19">
        <v>80653910</v>
      </c>
      <c r="E109" s="19" t="s">
        <v>1828</v>
      </c>
      <c r="F109" s="19" t="s">
        <v>2067</v>
      </c>
      <c r="G109" s="20" t="s">
        <v>1828</v>
      </c>
      <c r="H109" s="136">
        <v>178</v>
      </c>
      <c r="I109" s="19" t="s">
        <v>230</v>
      </c>
      <c r="J109" s="19" t="s">
        <v>359</v>
      </c>
      <c r="K109" s="19" t="s">
        <v>352</v>
      </c>
      <c r="L109" s="19" t="s">
        <v>289</v>
      </c>
      <c r="M109" s="19" t="s">
        <v>353</v>
      </c>
      <c r="N109" s="19" t="s">
        <v>284</v>
      </c>
      <c r="O109" s="19" t="s">
        <v>275</v>
      </c>
      <c r="P109" s="19" t="s">
        <v>285</v>
      </c>
      <c r="Q109" s="19" t="s">
        <v>354</v>
      </c>
      <c r="R109" s="19">
        <v>6300</v>
      </c>
      <c r="S109" s="19" t="s">
        <v>272</v>
      </c>
      <c r="T109" s="19" t="s">
        <v>287</v>
      </c>
      <c r="U109" s="20" t="s">
        <v>287</v>
      </c>
      <c r="V109" s="19" t="s">
        <v>2191</v>
      </c>
      <c r="W109" s="19" t="s">
        <v>219</v>
      </c>
      <c r="X109" s="35"/>
      <c r="Y109" s="35"/>
      <c r="Z109" s="32"/>
      <c r="AA109" s="22">
        <v>100</v>
      </c>
      <c r="AB109" s="22"/>
      <c r="AC109" s="22"/>
      <c r="AD109" s="22"/>
      <c r="AE109" s="60">
        <f t="shared" si="50"/>
        <v>100</v>
      </c>
      <c r="AF109" s="22"/>
      <c r="AG109" s="40">
        <f t="shared" si="51"/>
        <v>100</v>
      </c>
      <c r="AH109" s="24"/>
      <c r="AI109" s="24"/>
      <c r="AJ109" s="121"/>
      <c r="AK109" s="121"/>
      <c r="AL109" s="24"/>
      <c r="AM109" s="24"/>
      <c r="AN109" s="23">
        <f t="shared" si="44"/>
        <v>100</v>
      </c>
      <c r="AO109" s="25"/>
      <c r="AP109" s="25"/>
      <c r="AQ109" s="25">
        <v>50</v>
      </c>
      <c r="AR109" s="25">
        <v>50</v>
      </c>
      <c r="AS109" s="25">
        <f t="shared" si="45"/>
        <v>100</v>
      </c>
      <c r="AT109" s="13"/>
      <c r="AU109" s="21"/>
      <c r="AV109" s="21"/>
      <c r="AW109" s="21"/>
      <c r="AX109" s="21"/>
      <c r="AY109" s="21"/>
      <c r="AZ109" s="21"/>
      <c r="BA109" s="77"/>
      <c r="BB109" s="21"/>
      <c r="BC109" s="21"/>
      <c r="BD109" s="21"/>
      <c r="BE109" s="21"/>
      <c r="BF109" s="21"/>
      <c r="BG109" s="77"/>
      <c r="BH109" s="77"/>
      <c r="BI109" s="21"/>
      <c r="BJ109" s="21"/>
      <c r="BK109" s="21"/>
      <c r="BL109" s="21"/>
      <c r="BM109" s="21"/>
      <c r="BN109" s="21">
        <v>10</v>
      </c>
      <c r="BO109" s="77"/>
      <c r="BP109" s="21">
        <v>10</v>
      </c>
      <c r="BQ109" s="21">
        <v>10</v>
      </c>
      <c r="BR109" s="21">
        <v>10</v>
      </c>
      <c r="BS109" s="21">
        <v>10</v>
      </c>
      <c r="BT109" s="21">
        <v>10</v>
      </c>
      <c r="BU109" s="21">
        <v>10</v>
      </c>
      <c r="BV109" s="77"/>
      <c r="BW109" s="96">
        <f t="shared" si="48"/>
        <v>70</v>
      </c>
      <c r="BX109" s="94">
        <f t="shared" si="49"/>
        <v>30</v>
      </c>
      <c r="BY109" s="26" t="s">
        <v>2285</v>
      </c>
      <c r="CA109" s="52" t="s">
        <v>1828</v>
      </c>
      <c r="CB109" s="19" t="b">
        <f t="shared" si="42"/>
        <v>1</v>
      </c>
      <c r="CC109" s="19" t="s">
        <v>1828</v>
      </c>
      <c r="CD109" s="19" t="s">
        <v>1913</v>
      </c>
      <c r="CE109" s="120" t="s">
        <v>1086</v>
      </c>
      <c r="CF109" s="120" t="s">
        <v>1087</v>
      </c>
      <c r="CG109" s="120" t="s">
        <v>1910</v>
      </c>
      <c r="CH109" s="120" t="s">
        <v>1120</v>
      </c>
      <c r="CI109" s="120" t="s">
        <v>1090</v>
      </c>
      <c r="CJ109" s="120" t="s">
        <v>1091</v>
      </c>
      <c r="CK109" s="120" t="s">
        <v>1092</v>
      </c>
      <c r="CL109" s="120" t="s">
        <v>1093</v>
      </c>
      <c r="CM109" s="120" t="s">
        <v>1094</v>
      </c>
      <c r="CN109" s="120" t="s">
        <v>1095</v>
      </c>
      <c r="CO109" s="120" t="s">
        <v>1125</v>
      </c>
      <c r="CP109" s="120" t="s">
        <v>1118</v>
      </c>
      <c r="CQ109" s="120"/>
      <c r="CR109" s="120"/>
      <c r="CS109" s="120" t="s">
        <v>1098</v>
      </c>
      <c r="CT109" s="120" t="s">
        <v>1099</v>
      </c>
      <c r="CU109" s="120" t="s">
        <v>2134</v>
      </c>
      <c r="CV109" s="120" t="s">
        <v>1912</v>
      </c>
      <c r="CW109" s="120"/>
      <c r="CX109" s="120"/>
      <c r="CY109" s="120"/>
      <c r="CZ109" s="120"/>
      <c r="DA109" s="120"/>
      <c r="DB109" s="120"/>
      <c r="DC109" s="120"/>
      <c r="DD109" s="120"/>
      <c r="DE109" s="18"/>
      <c r="DF109" s="18"/>
    </row>
    <row r="110" spans="1:110" s="7" customFormat="1" x14ac:dyDescent="0.25">
      <c r="A110" s="19" t="s">
        <v>81</v>
      </c>
      <c r="B110" s="19" t="s">
        <v>2027</v>
      </c>
      <c r="C110" s="19" t="str">
        <f t="shared" si="43"/>
        <v>80658432LIBYA</v>
      </c>
      <c r="D110" s="19">
        <v>80658432</v>
      </c>
      <c r="E110" s="19" t="s">
        <v>2166</v>
      </c>
      <c r="F110" s="19" t="s">
        <v>2067</v>
      </c>
      <c r="G110" s="20" t="s">
        <v>2166</v>
      </c>
      <c r="H110" s="136" t="s">
        <v>2234</v>
      </c>
      <c r="I110" s="19" t="s">
        <v>230</v>
      </c>
      <c r="J110" s="19" t="s">
        <v>351</v>
      </c>
      <c r="K110" s="19" t="s">
        <v>352</v>
      </c>
      <c r="L110" s="19" t="s">
        <v>289</v>
      </c>
      <c r="M110" s="19" t="s">
        <v>353</v>
      </c>
      <c r="N110" s="19" t="s">
        <v>284</v>
      </c>
      <c r="O110" s="19" t="s">
        <v>275</v>
      </c>
      <c r="P110" s="19" t="s">
        <v>285</v>
      </c>
      <c r="Q110" s="19" t="s">
        <v>354</v>
      </c>
      <c r="R110" s="19">
        <v>6300</v>
      </c>
      <c r="S110" s="19" t="s">
        <v>272</v>
      </c>
      <c r="T110" s="19" t="s">
        <v>287</v>
      </c>
      <c r="U110" s="20" t="s">
        <v>287</v>
      </c>
      <c r="V110" s="19" t="s">
        <v>2031</v>
      </c>
      <c r="W110" s="19" t="s">
        <v>219</v>
      </c>
      <c r="X110" s="35"/>
      <c r="Y110" s="35"/>
      <c r="Z110" s="32"/>
      <c r="AA110" s="22">
        <v>10</v>
      </c>
      <c r="AB110" s="22"/>
      <c r="AC110" s="22"/>
      <c r="AD110" s="22"/>
      <c r="AE110" s="60">
        <f t="shared" si="50"/>
        <v>10</v>
      </c>
      <c r="AF110" s="22"/>
      <c r="AG110" s="40">
        <f t="shared" si="51"/>
        <v>10</v>
      </c>
      <c r="AH110" s="24"/>
      <c r="AI110" s="24">
        <v>10</v>
      </c>
      <c r="AJ110" s="121"/>
      <c r="AK110" s="121">
        <v>10</v>
      </c>
      <c r="AL110" s="24"/>
      <c r="AM110" s="24"/>
      <c r="AN110" s="23">
        <f t="shared" si="44"/>
        <v>0</v>
      </c>
      <c r="AO110" s="25"/>
      <c r="AP110" s="25"/>
      <c r="AQ110" s="25"/>
      <c r="AR110" s="25"/>
      <c r="AS110" s="25">
        <f t="shared" si="45"/>
        <v>0</v>
      </c>
      <c r="AT110" s="13">
        <v>10</v>
      </c>
      <c r="AU110" s="21">
        <v>5</v>
      </c>
      <c r="AV110" s="21">
        <v>5</v>
      </c>
      <c r="AW110" s="21"/>
      <c r="AX110" s="21"/>
      <c r="AY110" s="21"/>
      <c r="AZ110" s="21"/>
      <c r="BA110" s="77"/>
      <c r="BB110" s="21"/>
      <c r="BC110" s="21"/>
      <c r="BD110" s="21"/>
      <c r="BE110" s="21"/>
      <c r="BF110" s="21"/>
      <c r="BG110" s="77"/>
      <c r="BH110" s="77"/>
      <c r="BI110" s="21"/>
      <c r="BJ110" s="21"/>
      <c r="BK110" s="21"/>
      <c r="BL110" s="21"/>
      <c r="BM110" s="21"/>
      <c r="BN110" s="21"/>
      <c r="BO110" s="77"/>
      <c r="BP110" s="21"/>
      <c r="BQ110" s="21"/>
      <c r="BR110" s="21"/>
      <c r="BS110" s="21"/>
      <c r="BT110" s="21"/>
      <c r="BU110" s="21"/>
      <c r="BV110" s="77"/>
      <c r="BW110" s="96">
        <f t="shared" si="48"/>
        <v>5</v>
      </c>
      <c r="BX110" s="94">
        <f t="shared" si="49"/>
        <v>-5</v>
      </c>
      <c r="BY110" s="26"/>
      <c r="CA110" s="52" t="s">
        <v>2166</v>
      </c>
      <c r="CB110" s="19" t="b">
        <f t="shared" si="42"/>
        <v>1</v>
      </c>
      <c r="CC110" s="19" t="s">
        <v>2166</v>
      </c>
      <c r="CD110" s="19" t="s">
        <v>1085</v>
      </c>
      <c r="CE110" s="120" t="s">
        <v>1086</v>
      </c>
      <c r="CF110" s="120" t="s">
        <v>1087</v>
      </c>
      <c r="CG110" s="120" t="s">
        <v>1088</v>
      </c>
      <c r="CH110" s="120" t="s">
        <v>1089</v>
      </c>
      <c r="CI110" s="120" t="s">
        <v>1090</v>
      </c>
      <c r="CJ110" s="120" t="s">
        <v>1091</v>
      </c>
      <c r="CK110" s="120" t="s">
        <v>1092</v>
      </c>
      <c r="CL110" s="120" t="s">
        <v>1093</v>
      </c>
      <c r="CM110" s="120" t="s">
        <v>1094</v>
      </c>
      <c r="CN110" s="120" t="s">
        <v>1095</v>
      </c>
      <c r="CO110" s="120" t="s">
        <v>2087</v>
      </c>
      <c r="CP110" s="120" t="s">
        <v>1097</v>
      </c>
      <c r="CQ110" s="120"/>
      <c r="CR110" s="120"/>
      <c r="CS110" s="120" t="s">
        <v>1098</v>
      </c>
      <c r="CT110" s="120" t="s">
        <v>1099</v>
      </c>
      <c r="CU110" s="120" t="s">
        <v>1100</v>
      </c>
      <c r="CV110" s="120" t="s">
        <v>1101</v>
      </c>
      <c r="CW110" s="120"/>
      <c r="CX110" s="120"/>
      <c r="CY110" s="120"/>
      <c r="CZ110" s="120"/>
      <c r="DA110" s="120"/>
      <c r="DB110" s="120"/>
      <c r="DC110" s="120"/>
      <c r="DD110" s="120"/>
      <c r="DE110" s="18"/>
      <c r="DF110" s="18"/>
    </row>
    <row r="111" spans="1:110" s="7" customFormat="1" x14ac:dyDescent="0.25">
      <c r="A111" s="19" t="s">
        <v>81</v>
      </c>
      <c r="B111" s="19" t="s">
        <v>99</v>
      </c>
      <c r="C111" s="19" t="str">
        <f t="shared" si="43"/>
        <v>80658432OMAN</v>
      </c>
      <c r="D111" s="19">
        <v>80658432</v>
      </c>
      <c r="E111" s="19" t="s">
        <v>2166</v>
      </c>
      <c r="F111" s="19" t="s">
        <v>2067</v>
      </c>
      <c r="G111" s="20" t="s">
        <v>2166</v>
      </c>
      <c r="H111" s="136" t="s">
        <v>2234</v>
      </c>
      <c r="I111" s="19" t="s">
        <v>230</v>
      </c>
      <c r="J111" s="19" t="s">
        <v>351</v>
      </c>
      <c r="K111" s="19" t="s">
        <v>352</v>
      </c>
      <c r="L111" s="19" t="s">
        <v>289</v>
      </c>
      <c r="M111" s="19" t="s">
        <v>353</v>
      </c>
      <c r="N111" s="19" t="s">
        <v>284</v>
      </c>
      <c r="O111" s="19" t="s">
        <v>275</v>
      </c>
      <c r="P111" s="19" t="s">
        <v>285</v>
      </c>
      <c r="Q111" s="19" t="s">
        <v>354</v>
      </c>
      <c r="R111" s="19">
        <v>6300</v>
      </c>
      <c r="S111" s="19" t="s">
        <v>272</v>
      </c>
      <c r="T111" s="19" t="s">
        <v>287</v>
      </c>
      <c r="U111" s="20" t="s">
        <v>287</v>
      </c>
      <c r="V111" s="19" t="s">
        <v>2031</v>
      </c>
      <c r="W111" s="19" t="s">
        <v>219</v>
      </c>
      <c r="X111" s="35"/>
      <c r="Y111" s="35"/>
      <c r="Z111" s="32"/>
      <c r="AA111" s="22">
        <v>6</v>
      </c>
      <c r="AB111" s="22"/>
      <c r="AC111" s="22"/>
      <c r="AD111" s="22"/>
      <c r="AE111" s="60">
        <f t="shared" si="50"/>
        <v>6</v>
      </c>
      <c r="AF111" s="22"/>
      <c r="AG111" s="40">
        <f t="shared" si="51"/>
        <v>6</v>
      </c>
      <c r="AH111" s="24"/>
      <c r="AI111" s="24">
        <v>6</v>
      </c>
      <c r="AJ111" s="121"/>
      <c r="AK111" s="121">
        <v>6</v>
      </c>
      <c r="AL111" s="24"/>
      <c r="AM111" s="24"/>
      <c r="AN111" s="23">
        <f t="shared" si="44"/>
        <v>0</v>
      </c>
      <c r="AO111" s="25"/>
      <c r="AP111" s="25"/>
      <c r="AQ111" s="25"/>
      <c r="AR111" s="25"/>
      <c r="AS111" s="25">
        <f t="shared" si="45"/>
        <v>0</v>
      </c>
      <c r="AT111" s="13">
        <v>6</v>
      </c>
      <c r="AU111" s="21">
        <v>3</v>
      </c>
      <c r="AV111" s="21">
        <v>3</v>
      </c>
      <c r="AW111" s="21"/>
      <c r="AX111" s="21"/>
      <c r="AY111" s="21"/>
      <c r="AZ111" s="21"/>
      <c r="BA111" s="77"/>
      <c r="BB111" s="21"/>
      <c r="BC111" s="21"/>
      <c r="BD111" s="21"/>
      <c r="BE111" s="21"/>
      <c r="BF111" s="21"/>
      <c r="BG111" s="77"/>
      <c r="BH111" s="77"/>
      <c r="BI111" s="21"/>
      <c r="BJ111" s="21"/>
      <c r="BK111" s="21"/>
      <c r="BL111" s="21"/>
      <c r="BM111" s="21"/>
      <c r="BN111" s="21"/>
      <c r="BO111" s="77"/>
      <c r="BP111" s="21"/>
      <c r="BQ111" s="21"/>
      <c r="BR111" s="21"/>
      <c r="BS111" s="21"/>
      <c r="BT111" s="21"/>
      <c r="BU111" s="21"/>
      <c r="BV111" s="77"/>
      <c r="BW111" s="96">
        <f t="shared" si="48"/>
        <v>3</v>
      </c>
      <c r="BX111" s="94">
        <f t="shared" si="49"/>
        <v>-3</v>
      </c>
      <c r="BY111" s="26"/>
      <c r="CA111" s="52" t="s">
        <v>2166</v>
      </c>
      <c r="CB111" s="19" t="b">
        <f t="shared" si="42"/>
        <v>1</v>
      </c>
      <c r="CC111" s="19" t="s">
        <v>2166</v>
      </c>
      <c r="CD111" s="19" t="s">
        <v>1085</v>
      </c>
      <c r="CE111" s="120" t="s">
        <v>1086</v>
      </c>
      <c r="CF111" s="120" t="s">
        <v>1087</v>
      </c>
      <c r="CG111" s="120" t="s">
        <v>1088</v>
      </c>
      <c r="CH111" s="120" t="s">
        <v>1089</v>
      </c>
      <c r="CI111" s="120" t="s">
        <v>1090</v>
      </c>
      <c r="CJ111" s="120" t="s">
        <v>1091</v>
      </c>
      <c r="CK111" s="120" t="s">
        <v>1092</v>
      </c>
      <c r="CL111" s="120" t="s">
        <v>1093</v>
      </c>
      <c r="CM111" s="120" t="s">
        <v>1094</v>
      </c>
      <c r="CN111" s="120" t="s">
        <v>1095</v>
      </c>
      <c r="CO111" s="120" t="s">
        <v>2087</v>
      </c>
      <c r="CP111" s="120" t="s">
        <v>1097</v>
      </c>
      <c r="CQ111" s="120"/>
      <c r="CR111" s="120"/>
      <c r="CS111" s="120" t="s">
        <v>1098</v>
      </c>
      <c r="CT111" s="120" t="s">
        <v>1099</v>
      </c>
      <c r="CU111" s="120" t="s">
        <v>1100</v>
      </c>
      <c r="CV111" s="120" t="s">
        <v>1101</v>
      </c>
      <c r="CW111" s="120"/>
      <c r="CX111" s="120"/>
      <c r="CY111" s="120"/>
      <c r="CZ111" s="120"/>
      <c r="DA111" s="120"/>
      <c r="DB111" s="120"/>
      <c r="DC111" s="120"/>
      <c r="DD111" s="120"/>
      <c r="DE111" s="18"/>
      <c r="DF111" s="18"/>
    </row>
    <row r="112" spans="1:110" s="7" customFormat="1" x14ac:dyDescent="0.25">
      <c r="A112" s="19" t="s">
        <v>81</v>
      </c>
      <c r="B112" s="19" t="s">
        <v>92</v>
      </c>
      <c r="C112" s="19" t="str">
        <f t="shared" si="43"/>
        <v>80651539UTD.ARAB EMIR.</v>
      </c>
      <c r="D112" s="19">
        <v>80651539</v>
      </c>
      <c r="E112" s="19" t="s">
        <v>1827</v>
      </c>
      <c r="F112" s="19" t="s">
        <v>2067</v>
      </c>
      <c r="G112" s="20" t="s">
        <v>1827</v>
      </c>
      <c r="H112" s="136">
        <v>110</v>
      </c>
      <c r="I112" s="19" t="s">
        <v>230</v>
      </c>
      <c r="J112" s="19" t="s">
        <v>359</v>
      </c>
      <c r="K112" s="19" t="s">
        <v>352</v>
      </c>
      <c r="L112" s="19" t="s">
        <v>289</v>
      </c>
      <c r="M112" s="19" t="s">
        <v>353</v>
      </c>
      <c r="N112" s="19" t="s">
        <v>284</v>
      </c>
      <c r="O112" s="19" t="s">
        <v>275</v>
      </c>
      <c r="P112" s="19" t="s">
        <v>285</v>
      </c>
      <c r="Q112" s="19" t="s">
        <v>354</v>
      </c>
      <c r="R112" s="19">
        <v>6300</v>
      </c>
      <c r="S112" s="19" t="s">
        <v>272</v>
      </c>
      <c r="T112" s="19" t="s">
        <v>287</v>
      </c>
      <c r="U112" s="20" t="s">
        <v>287</v>
      </c>
      <c r="V112" s="19" t="s">
        <v>1772</v>
      </c>
      <c r="W112" s="19" t="s">
        <v>219</v>
      </c>
      <c r="X112" s="35"/>
      <c r="Y112" s="35"/>
      <c r="Z112" s="32"/>
      <c r="AA112" s="22">
        <v>15</v>
      </c>
      <c r="AB112" s="22"/>
      <c r="AC112" s="22"/>
      <c r="AD112" s="22"/>
      <c r="AE112" s="60">
        <f t="shared" si="50"/>
        <v>15</v>
      </c>
      <c r="AF112" s="22"/>
      <c r="AG112" s="40">
        <f t="shared" si="51"/>
        <v>15</v>
      </c>
      <c r="AH112" s="24">
        <v>15</v>
      </c>
      <c r="AI112" s="24"/>
      <c r="AJ112" s="121">
        <v>15</v>
      </c>
      <c r="AK112" s="121"/>
      <c r="AL112" s="24"/>
      <c r="AM112" s="24"/>
      <c r="AN112" s="23">
        <f t="shared" si="44"/>
        <v>0</v>
      </c>
      <c r="AO112" s="25"/>
      <c r="AP112" s="25"/>
      <c r="AQ112" s="25"/>
      <c r="AR112" s="25"/>
      <c r="AS112" s="25">
        <f t="shared" si="45"/>
        <v>0</v>
      </c>
      <c r="AT112" s="13"/>
      <c r="AU112" s="21"/>
      <c r="AV112" s="21"/>
      <c r="AW112" s="21"/>
      <c r="AX112" s="21"/>
      <c r="AY112" s="21"/>
      <c r="AZ112" s="21"/>
      <c r="BA112" s="77"/>
      <c r="BB112" s="21"/>
      <c r="BC112" s="21"/>
      <c r="BD112" s="21"/>
      <c r="BE112" s="21"/>
      <c r="BF112" s="21"/>
      <c r="BG112" s="77"/>
      <c r="BH112" s="77"/>
      <c r="BI112" s="21"/>
      <c r="BJ112" s="21"/>
      <c r="BK112" s="21"/>
      <c r="BL112" s="21"/>
      <c r="BM112" s="21"/>
      <c r="BN112" s="21"/>
      <c r="BO112" s="77"/>
      <c r="BP112" s="21"/>
      <c r="BQ112" s="21"/>
      <c r="BR112" s="21"/>
      <c r="BS112" s="21"/>
      <c r="BT112" s="21"/>
      <c r="BU112" s="21"/>
      <c r="BV112" s="77"/>
      <c r="BW112" s="96">
        <f t="shared" si="48"/>
        <v>0</v>
      </c>
      <c r="BX112" s="94">
        <f t="shared" si="49"/>
        <v>0</v>
      </c>
      <c r="BY112" s="26"/>
      <c r="CA112" s="52" t="s">
        <v>1827</v>
      </c>
      <c r="CB112" s="19" t="b">
        <f t="shared" si="42"/>
        <v>1</v>
      </c>
      <c r="CC112" s="19" t="s">
        <v>1827</v>
      </c>
      <c r="CD112" s="19" t="s">
        <v>1909</v>
      </c>
      <c r="CE112" s="120" t="s">
        <v>1086</v>
      </c>
      <c r="CF112" s="120" t="s">
        <v>1087</v>
      </c>
      <c r="CG112" s="120" t="s">
        <v>1910</v>
      </c>
      <c r="CH112" s="120" t="s">
        <v>1120</v>
      </c>
      <c r="CI112" s="120" t="s">
        <v>1090</v>
      </c>
      <c r="CJ112" s="120" t="s">
        <v>1091</v>
      </c>
      <c r="CK112" s="120" t="s">
        <v>1092</v>
      </c>
      <c r="CL112" s="120" t="s">
        <v>1093</v>
      </c>
      <c r="CM112" s="120" t="s">
        <v>1094</v>
      </c>
      <c r="CN112" s="120" t="s">
        <v>1095</v>
      </c>
      <c r="CO112" s="120" t="s">
        <v>1125</v>
      </c>
      <c r="CP112" s="120" t="s">
        <v>1118</v>
      </c>
      <c r="CQ112" s="120"/>
      <c r="CR112" s="120"/>
      <c r="CS112" s="120" t="s">
        <v>1098</v>
      </c>
      <c r="CT112" s="120" t="s">
        <v>1099</v>
      </c>
      <c r="CU112" s="120" t="s">
        <v>1911</v>
      </c>
      <c r="CV112" s="120" t="s">
        <v>1912</v>
      </c>
      <c r="CW112" s="120"/>
      <c r="CX112" s="120"/>
      <c r="CY112" s="120"/>
      <c r="CZ112" s="120"/>
      <c r="DA112" s="120"/>
      <c r="DB112" s="120"/>
      <c r="DC112" s="120"/>
      <c r="DD112" s="120"/>
      <c r="DE112" s="18"/>
      <c r="DF112" s="18"/>
    </row>
    <row r="113" spans="1:110" s="7" customFormat="1" x14ac:dyDescent="0.25">
      <c r="A113" s="19" t="s">
        <v>81</v>
      </c>
      <c r="B113" s="19" t="s">
        <v>92</v>
      </c>
      <c r="C113" s="19" t="str">
        <f t="shared" si="43"/>
        <v>80653614UTD.ARAB EMIR.</v>
      </c>
      <c r="D113" s="19">
        <v>80653614</v>
      </c>
      <c r="E113" s="19" t="s">
        <v>1828</v>
      </c>
      <c r="F113" s="19" t="s">
        <v>2067</v>
      </c>
      <c r="G113" s="20" t="s">
        <v>1828</v>
      </c>
      <c r="H113" s="136">
        <v>178</v>
      </c>
      <c r="I113" s="19" t="s">
        <v>230</v>
      </c>
      <c r="J113" s="19" t="s">
        <v>359</v>
      </c>
      <c r="K113" s="19" t="s">
        <v>352</v>
      </c>
      <c r="L113" s="19" t="s">
        <v>289</v>
      </c>
      <c r="M113" s="19" t="s">
        <v>353</v>
      </c>
      <c r="N113" s="19" t="s">
        <v>284</v>
      </c>
      <c r="O113" s="19" t="s">
        <v>275</v>
      </c>
      <c r="P113" s="19" t="s">
        <v>285</v>
      </c>
      <c r="Q113" s="19" t="s">
        <v>354</v>
      </c>
      <c r="R113" s="19">
        <v>6300</v>
      </c>
      <c r="S113" s="19" t="s">
        <v>272</v>
      </c>
      <c r="T113" s="19" t="s">
        <v>287</v>
      </c>
      <c r="U113" s="20" t="s">
        <v>287</v>
      </c>
      <c r="V113" s="19" t="s">
        <v>1774</v>
      </c>
      <c r="W113" s="19" t="s">
        <v>219</v>
      </c>
      <c r="X113" s="35"/>
      <c r="Y113" s="35"/>
      <c r="Z113" s="32"/>
      <c r="AA113" s="22">
        <v>29</v>
      </c>
      <c r="AB113" s="22"/>
      <c r="AC113" s="22"/>
      <c r="AD113" s="22"/>
      <c r="AE113" s="60">
        <f t="shared" si="50"/>
        <v>29</v>
      </c>
      <c r="AF113" s="22"/>
      <c r="AG113" s="40">
        <f t="shared" si="51"/>
        <v>29</v>
      </c>
      <c r="AH113" s="24">
        <v>29</v>
      </c>
      <c r="AI113" s="24"/>
      <c r="AJ113" s="121">
        <v>29</v>
      </c>
      <c r="AK113" s="121"/>
      <c r="AL113" s="24"/>
      <c r="AM113" s="24"/>
      <c r="AN113" s="23">
        <f t="shared" si="44"/>
        <v>0</v>
      </c>
      <c r="AO113" s="25"/>
      <c r="AP113" s="25"/>
      <c r="AQ113" s="25"/>
      <c r="AR113" s="25"/>
      <c r="AS113" s="25">
        <f t="shared" si="45"/>
        <v>0</v>
      </c>
      <c r="AT113" s="13"/>
      <c r="AU113" s="21"/>
      <c r="AV113" s="21"/>
      <c r="AW113" s="21"/>
      <c r="AX113" s="21"/>
      <c r="AY113" s="21"/>
      <c r="AZ113" s="21"/>
      <c r="BA113" s="77"/>
      <c r="BB113" s="21"/>
      <c r="BC113" s="21"/>
      <c r="BD113" s="21"/>
      <c r="BE113" s="21"/>
      <c r="BF113" s="21"/>
      <c r="BG113" s="77"/>
      <c r="BH113" s="77"/>
      <c r="BI113" s="21"/>
      <c r="BJ113" s="21"/>
      <c r="BK113" s="21"/>
      <c r="BL113" s="21"/>
      <c r="BM113" s="21"/>
      <c r="BN113" s="21"/>
      <c r="BO113" s="77"/>
      <c r="BP113" s="21"/>
      <c r="BQ113" s="21"/>
      <c r="BR113" s="21"/>
      <c r="BS113" s="21"/>
      <c r="BT113" s="21"/>
      <c r="BU113" s="21"/>
      <c r="BV113" s="77"/>
      <c r="BW113" s="96">
        <f t="shared" si="48"/>
        <v>0</v>
      </c>
      <c r="BX113" s="94">
        <f t="shared" si="49"/>
        <v>0</v>
      </c>
      <c r="BY113" s="26"/>
      <c r="CA113" s="52" t="s">
        <v>1828</v>
      </c>
      <c r="CB113" s="19" t="b">
        <f t="shared" si="42"/>
        <v>1</v>
      </c>
      <c r="CC113" s="19" t="s">
        <v>1828</v>
      </c>
      <c r="CD113" s="19" t="s">
        <v>1913</v>
      </c>
      <c r="CE113" s="120" t="s">
        <v>1086</v>
      </c>
      <c r="CF113" s="120" t="s">
        <v>1087</v>
      </c>
      <c r="CG113" s="120" t="s">
        <v>1910</v>
      </c>
      <c r="CH113" s="120" t="s">
        <v>1120</v>
      </c>
      <c r="CI113" s="120" t="s">
        <v>1090</v>
      </c>
      <c r="CJ113" s="120" t="s">
        <v>1091</v>
      </c>
      <c r="CK113" s="120" t="s">
        <v>1092</v>
      </c>
      <c r="CL113" s="120" t="s">
        <v>1093</v>
      </c>
      <c r="CM113" s="120" t="s">
        <v>1094</v>
      </c>
      <c r="CN113" s="120" t="s">
        <v>1095</v>
      </c>
      <c r="CO113" s="120" t="s">
        <v>1125</v>
      </c>
      <c r="CP113" s="120" t="s">
        <v>1118</v>
      </c>
      <c r="CQ113" s="120"/>
      <c r="CR113" s="120"/>
      <c r="CS113" s="120" t="s">
        <v>1098</v>
      </c>
      <c r="CT113" s="120" t="s">
        <v>1099</v>
      </c>
      <c r="CU113" s="120" t="s">
        <v>2134</v>
      </c>
      <c r="CV113" s="120" t="s">
        <v>1912</v>
      </c>
      <c r="CW113" s="120"/>
      <c r="CX113" s="120"/>
      <c r="CY113" s="120"/>
      <c r="CZ113" s="120"/>
      <c r="DA113" s="120"/>
      <c r="DB113" s="120"/>
      <c r="DC113" s="120"/>
      <c r="DD113" s="120"/>
      <c r="DE113" s="18"/>
      <c r="DF113" s="18"/>
    </row>
    <row r="114" spans="1:110" s="7" customFormat="1" x14ac:dyDescent="0.25">
      <c r="A114" s="19" t="s">
        <v>81</v>
      </c>
      <c r="B114" s="19" t="s">
        <v>92</v>
      </c>
      <c r="C114" s="19" t="str">
        <f t="shared" si="43"/>
        <v>80652753UTD.ARAB EMIR.</v>
      </c>
      <c r="D114" s="19">
        <v>80652753</v>
      </c>
      <c r="E114" s="19" t="s">
        <v>1829</v>
      </c>
      <c r="F114" s="19" t="s">
        <v>2067</v>
      </c>
      <c r="G114" s="20" t="s">
        <v>1829</v>
      </c>
      <c r="H114" s="136" t="s">
        <v>2234</v>
      </c>
      <c r="I114" s="19" t="s">
        <v>230</v>
      </c>
      <c r="J114" s="19" t="s">
        <v>359</v>
      </c>
      <c r="K114" s="19" t="s">
        <v>352</v>
      </c>
      <c r="L114" s="19" t="s">
        <v>289</v>
      </c>
      <c r="M114" s="19" t="s">
        <v>353</v>
      </c>
      <c r="N114" s="19" t="s">
        <v>284</v>
      </c>
      <c r="O114" s="19" t="s">
        <v>275</v>
      </c>
      <c r="P114" s="19" t="s">
        <v>285</v>
      </c>
      <c r="Q114" s="19" t="s">
        <v>354</v>
      </c>
      <c r="R114" s="19">
        <v>6300</v>
      </c>
      <c r="S114" s="19" t="s">
        <v>272</v>
      </c>
      <c r="T114" s="19" t="s">
        <v>287</v>
      </c>
      <c r="U114" s="20" t="s">
        <v>287</v>
      </c>
      <c r="V114" s="19" t="s">
        <v>1995</v>
      </c>
      <c r="W114" s="19" t="s">
        <v>219</v>
      </c>
      <c r="X114" s="35"/>
      <c r="Y114" s="35"/>
      <c r="Z114" s="32"/>
      <c r="AA114" s="22">
        <v>26</v>
      </c>
      <c r="AB114" s="22"/>
      <c r="AC114" s="22"/>
      <c r="AD114" s="22"/>
      <c r="AE114" s="60">
        <f t="shared" si="50"/>
        <v>26</v>
      </c>
      <c r="AF114" s="22"/>
      <c r="AG114" s="40">
        <f t="shared" si="51"/>
        <v>26</v>
      </c>
      <c r="AH114" s="24"/>
      <c r="AI114" s="24">
        <v>26</v>
      </c>
      <c r="AJ114" s="121"/>
      <c r="AK114" s="121">
        <v>26</v>
      </c>
      <c r="AL114" s="24"/>
      <c r="AM114" s="24"/>
      <c r="AN114" s="23">
        <f t="shared" si="44"/>
        <v>0</v>
      </c>
      <c r="AO114" s="25"/>
      <c r="AP114" s="25"/>
      <c r="AQ114" s="25"/>
      <c r="AR114" s="25"/>
      <c r="AS114" s="25">
        <f t="shared" si="45"/>
        <v>0</v>
      </c>
      <c r="AT114" s="13">
        <v>26</v>
      </c>
      <c r="AU114" s="21">
        <v>2</v>
      </c>
      <c r="AV114" s="21">
        <v>6</v>
      </c>
      <c r="AW114" s="21">
        <v>6</v>
      </c>
      <c r="AX114" s="21">
        <v>6</v>
      </c>
      <c r="AY114" s="21">
        <v>6</v>
      </c>
      <c r="AZ114" s="21"/>
      <c r="BA114" s="77"/>
      <c r="BB114" s="21"/>
      <c r="BC114" s="21"/>
      <c r="BD114" s="21"/>
      <c r="BE114" s="21"/>
      <c r="BF114" s="21"/>
      <c r="BG114" s="77"/>
      <c r="BH114" s="77"/>
      <c r="BI114" s="21"/>
      <c r="BJ114" s="21"/>
      <c r="BK114" s="21"/>
      <c r="BL114" s="21"/>
      <c r="BM114" s="21"/>
      <c r="BN114" s="21"/>
      <c r="BO114" s="77"/>
      <c r="BP114" s="21"/>
      <c r="BQ114" s="21"/>
      <c r="BR114" s="21"/>
      <c r="BS114" s="21"/>
      <c r="BT114" s="21"/>
      <c r="BU114" s="21"/>
      <c r="BV114" s="77"/>
      <c r="BW114" s="96">
        <f t="shared" si="48"/>
        <v>24</v>
      </c>
      <c r="BX114" s="94">
        <f t="shared" si="49"/>
        <v>-24</v>
      </c>
      <c r="BY114" s="26"/>
      <c r="CA114" s="52" t="s">
        <v>1829</v>
      </c>
      <c r="CB114" s="19" t="b">
        <f t="shared" si="42"/>
        <v>1</v>
      </c>
      <c r="CC114" s="19" t="s">
        <v>1829</v>
      </c>
      <c r="CD114" s="19" t="s">
        <v>1909</v>
      </c>
      <c r="CE114" s="120" t="s">
        <v>1086</v>
      </c>
      <c r="CF114" s="120" t="s">
        <v>1087</v>
      </c>
      <c r="CG114" s="120" t="s">
        <v>1910</v>
      </c>
      <c r="CH114" s="120" t="s">
        <v>1120</v>
      </c>
      <c r="CI114" s="120" t="s">
        <v>1090</v>
      </c>
      <c r="CJ114" s="120" t="s">
        <v>1091</v>
      </c>
      <c r="CK114" s="120" t="s">
        <v>1092</v>
      </c>
      <c r="CL114" s="120" t="s">
        <v>1093</v>
      </c>
      <c r="CM114" s="120" t="s">
        <v>1094</v>
      </c>
      <c r="CN114" s="120" t="s">
        <v>1095</v>
      </c>
      <c r="CO114" s="120" t="s">
        <v>1125</v>
      </c>
      <c r="CP114" s="120" t="s">
        <v>1118</v>
      </c>
      <c r="CQ114" s="120"/>
      <c r="CR114" s="120"/>
      <c r="CS114" s="120" t="s">
        <v>1098</v>
      </c>
      <c r="CT114" s="120" t="s">
        <v>1099</v>
      </c>
      <c r="CU114" s="120" t="s">
        <v>1911</v>
      </c>
      <c r="CV114" s="120" t="s">
        <v>1912</v>
      </c>
      <c r="CW114" s="120"/>
      <c r="CX114" s="120"/>
      <c r="CY114" s="120"/>
      <c r="CZ114" s="120"/>
      <c r="DA114" s="120"/>
      <c r="DB114" s="120"/>
      <c r="DC114" s="120"/>
      <c r="DD114" s="120"/>
      <c r="DE114" s="18"/>
      <c r="DF114" s="18"/>
    </row>
    <row r="115" spans="1:110" s="7" customFormat="1" x14ac:dyDescent="0.25">
      <c r="A115" s="19" t="s">
        <v>81</v>
      </c>
      <c r="B115" s="19" t="s">
        <v>1743</v>
      </c>
      <c r="C115" s="19" t="str">
        <f t="shared" si="43"/>
        <v>80657560SAUDI ARABIA</v>
      </c>
      <c r="D115" s="19">
        <v>80657560</v>
      </c>
      <c r="E115" s="19" t="s">
        <v>2082</v>
      </c>
      <c r="F115" s="19" t="s">
        <v>2067</v>
      </c>
      <c r="G115" s="20" t="s">
        <v>2082</v>
      </c>
      <c r="H115" s="136" t="s">
        <v>2234</v>
      </c>
      <c r="I115" s="19" t="s">
        <v>230</v>
      </c>
      <c r="J115" s="19" t="s">
        <v>357</v>
      </c>
      <c r="K115" s="19" t="s">
        <v>352</v>
      </c>
      <c r="L115" s="19" t="s">
        <v>361</v>
      </c>
      <c r="M115" s="19" t="s">
        <v>353</v>
      </c>
      <c r="N115" s="19" t="s">
        <v>284</v>
      </c>
      <c r="O115" s="19" t="s">
        <v>275</v>
      </c>
      <c r="P115" s="19" t="s">
        <v>285</v>
      </c>
      <c r="Q115" s="19" t="s">
        <v>354</v>
      </c>
      <c r="R115" s="19">
        <v>6300</v>
      </c>
      <c r="S115" s="19" t="s">
        <v>272</v>
      </c>
      <c r="T115" s="19" t="s">
        <v>287</v>
      </c>
      <c r="U115" s="20" t="s">
        <v>287</v>
      </c>
      <c r="V115" s="19" t="s">
        <v>2230</v>
      </c>
      <c r="W115" s="19" t="s">
        <v>219</v>
      </c>
      <c r="X115" s="35">
        <v>10</v>
      </c>
      <c r="Y115" s="35"/>
      <c r="Z115" s="32"/>
      <c r="AA115" s="22"/>
      <c r="AB115" s="22"/>
      <c r="AC115" s="22"/>
      <c r="AD115" s="22"/>
      <c r="AE115" s="60">
        <f t="shared" si="50"/>
        <v>0</v>
      </c>
      <c r="AF115" s="22"/>
      <c r="AG115" s="40">
        <f t="shared" si="51"/>
        <v>0</v>
      </c>
      <c r="AH115" s="24"/>
      <c r="AI115" s="24"/>
      <c r="AJ115" s="121"/>
      <c r="AK115" s="121"/>
      <c r="AL115" s="24"/>
      <c r="AM115" s="24"/>
      <c r="AN115" s="23">
        <f t="shared" si="44"/>
        <v>0</v>
      </c>
      <c r="AO115" s="25"/>
      <c r="AP115" s="25"/>
      <c r="AQ115" s="25"/>
      <c r="AR115" s="25"/>
      <c r="AS115" s="25">
        <f t="shared" si="45"/>
        <v>0</v>
      </c>
      <c r="AT115" s="13"/>
      <c r="AU115" s="21"/>
      <c r="AV115" s="21"/>
      <c r="AW115" s="21"/>
      <c r="AX115" s="21"/>
      <c r="AY115" s="21"/>
      <c r="AZ115" s="21"/>
      <c r="BA115" s="77"/>
      <c r="BB115" s="21"/>
      <c r="BC115" s="21"/>
      <c r="BD115" s="21"/>
      <c r="BE115" s="21"/>
      <c r="BF115" s="21"/>
      <c r="BG115" s="77"/>
      <c r="BH115" s="77"/>
      <c r="BI115" s="21"/>
      <c r="BJ115" s="21"/>
      <c r="BK115" s="21"/>
      <c r="BL115" s="21"/>
      <c r="BM115" s="21"/>
      <c r="BN115" s="21"/>
      <c r="BO115" s="77"/>
      <c r="BP115" s="21"/>
      <c r="BQ115" s="21"/>
      <c r="BR115" s="21"/>
      <c r="BS115" s="21"/>
      <c r="BT115" s="21"/>
      <c r="BU115" s="21"/>
      <c r="BV115" s="77"/>
      <c r="BW115" s="96">
        <f t="shared" si="48"/>
        <v>0</v>
      </c>
      <c r="BX115" s="94">
        <f t="shared" si="49"/>
        <v>0</v>
      </c>
      <c r="BY115" s="26"/>
      <c r="CA115" s="52" t="s">
        <v>2082</v>
      </c>
      <c r="CB115" s="19" t="b">
        <f t="shared" si="42"/>
        <v>1</v>
      </c>
      <c r="CC115" s="19" t="s">
        <v>2082</v>
      </c>
      <c r="CD115" s="19" t="s">
        <v>2145</v>
      </c>
      <c r="CE115" s="120"/>
      <c r="CF115" s="120"/>
      <c r="CG115" s="120" t="s">
        <v>1104</v>
      </c>
      <c r="CH115" s="120" t="s">
        <v>1105</v>
      </c>
      <c r="CI115" s="120" t="s">
        <v>1106</v>
      </c>
      <c r="CJ115" s="120" t="s">
        <v>1107</v>
      </c>
      <c r="CK115" s="120" t="s">
        <v>1108</v>
      </c>
      <c r="CL115" s="120" t="s">
        <v>1109</v>
      </c>
      <c r="CM115" s="120" t="s">
        <v>1915</v>
      </c>
      <c r="CN115" s="120" t="s">
        <v>1916</v>
      </c>
      <c r="CO115" s="120" t="s">
        <v>1112</v>
      </c>
      <c r="CP115" s="120" t="s">
        <v>1113</v>
      </c>
      <c r="CQ115" s="120"/>
      <c r="CR115" s="120"/>
      <c r="CS115" s="120" t="s">
        <v>1114</v>
      </c>
      <c r="CT115" s="120" t="s">
        <v>1115</v>
      </c>
      <c r="CU115" s="120" t="s">
        <v>1116</v>
      </c>
      <c r="CV115" s="120" t="s">
        <v>1117</v>
      </c>
      <c r="CW115" s="120"/>
      <c r="CX115" s="120"/>
      <c r="CY115" s="120"/>
      <c r="CZ115" s="120"/>
      <c r="DA115" s="120"/>
      <c r="DB115" s="120"/>
      <c r="DC115" s="120"/>
      <c r="DD115" s="120"/>
      <c r="DE115" s="18"/>
      <c r="DF115" s="18"/>
    </row>
    <row r="116" spans="1:110" s="7" customFormat="1" x14ac:dyDescent="0.25">
      <c r="A116" s="19" t="s">
        <v>81</v>
      </c>
      <c r="B116" s="19" t="s">
        <v>94</v>
      </c>
      <c r="C116" s="19" t="str">
        <f t="shared" si="43"/>
        <v>80652672Qatar</v>
      </c>
      <c r="D116" s="19">
        <v>80652672</v>
      </c>
      <c r="E116" s="19" t="s">
        <v>356</v>
      </c>
      <c r="F116" s="19" t="s">
        <v>2067</v>
      </c>
      <c r="G116" s="20" t="s">
        <v>356</v>
      </c>
      <c r="H116" s="136">
        <v>144</v>
      </c>
      <c r="I116" s="19" t="s">
        <v>230</v>
      </c>
      <c r="J116" s="19" t="s">
        <v>357</v>
      </c>
      <c r="K116" s="19" t="s">
        <v>352</v>
      </c>
      <c r="L116" s="19" t="s">
        <v>289</v>
      </c>
      <c r="M116" s="19" t="s">
        <v>353</v>
      </c>
      <c r="N116" s="19" t="s">
        <v>284</v>
      </c>
      <c r="O116" s="19" t="s">
        <v>275</v>
      </c>
      <c r="P116" s="19" t="s">
        <v>285</v>
      </c>
      <c r="Q116" s="19" t="s">
        <v>354</v>
      </c>
      <c r="R116" s="19">
        <v>6300</v>
      </c>
      <c r="S116" s="19" t="s">
        <v>272</v>
      </c>
      <c r="T116" s="19" t="s">
        <v>287</v>
      </c>
      <c r="U116" s="20" t="s">
        <v>287</v>
      </c>
      <c r="V116" s="19" t="s">
        <v>1589</v>
      </c>
      <c r="W116" s="19" t="s">
        <v>220</v>
      </c>
      <c r="X116" s="35">
        <v>20</v>
      </c>
      <c r="Y116" s="35"/>
      <c r="Z116" s="32"/>
      <c r="AA116" s="22">
        <v>19</v>
      </c>
      <c r="AB116" s="22"/>
      <c r="AC116" s="22"/>
      <c r="AD116" s="22"/>
      <c r="AE116" s="60">
        <f t="shared" si="50"/>
        <v>19</v>
      </c>
      <c r="AF116" s="22"/>
      <c r="AG116" s="40">
        <f t="shared" si="51"/>
        <v>19</v>
      </c>
      <c r="AH116" s="24">
        <v>19</v>
      </c>
      <c r="AI116" s="24"/>
      <c r="AJ116" s="121">
        <v>19</v>
      </c>
      <c r="AK116" s="121"/>
      <c r="AL116" s="24"/>
      <c r="AM116" s="24"/>
      <c r="AN116" s="23">
        <f t="shared" si="44"/>
        <v>0</v>
      </c>
      <c r="AO116" s="25"/>
      <c r="AP116" s="25"/>
      <c r="AQ116" s="25"/>
      <c r="AR116" s="25"/>
      <c r="AS116" s="25">
        <f t="shared" si="45"/>
        <v>0</v>
      </c>
      <c r="AT116" s="13"/>
      <c r="AU116" s="21"/>
      <c r="AV116" s="21"/>
      <c r="AW116" s="21"/>
      <c r="AX116" s="21"/>
      <c r="AY116" s="21"/>
      <c r="AZ116" s="21"/>
      <c r="BA116" s="77"/>
      <c r="BB116" s="21"/>
      <c r="BC116" s="21"/>
      <c r="BD116" s="21"/>
      <c r="BE116" s="21"/>
      <c r="BF116" s="21"/>
      <c r="BG116" s="77"/>
      <c r="BH116" s="77"/>
      <c r="BI116" s="21"/>
      <c r="BJ116" s="21"/>
      <c r="BK116" s="21"/>
      <c r="BL116" s="21"/>
      <c r="BM116" s="21"/>
      <c r="BN116" s="21"/>
      <c r="BO116" s="77"/>
      <c r="BP116" s="21"/>
      <c r="BQ116" s="21"/>
      <c r="BR116" s="21"/>
      <c r="BS116" s="21"/>
      <c r="BT116" s="21"/>
      <c r="BU116" s="21"/>
      <c r="BV116" s="77"/>
      <c r="BW116" s="96">
        <f t="shared" si="48"/>
        <v>0</v>
      </c>
      <c r="BX116" s="94">
        <f t="shared" si="49"/>
        <v>0</v>
      </c>
      <c r="BY116" s="26"/>
      <c r="CA116" s="52" t="s">
        <v>356</v>
      </c>
      <c r="CB116" s="19" t="b">
        <f t="shared" si="42"/>
        <v>1</v>
      </c>
      <c r="CC116" s="19" t="s">
        <v>356</v>
      </c>
      <c r="CD116" s="19" t="s">
        <v>1102</v>
      </c>
      <c r="CE116" s="120"/>
      <c r="CF116" s="120"/>
      <c r="CG116" s="120" t="s">
        <v>1104</v>
      </c>
      <c r="CH116" s="120" t="s">
        <v>1105</v>
      </c>
      <c r="CI116" s="120" t="s">
        <v>1106</v>
      </c>
      <c r="CJ116" s="120" t="s">
        <v>1107</v>
      </c>
      <c r="CK116" s="120" t="s">
        <v>1108</v>
      </c>
      <c r="CL116" s="120" t="s">
        <v>1109</v>
      </c>
      <c r="CM116" s="120" t="s">
        <v>1110</v>
      </c>
      <c r="CN116" s="120" t="s">
        <v>1111</v>
      </c>
      <c r="CO116" s="120" t="s">
        <v>1112</v>
      </c>
      <c r="CP116" s="120" t="s">
        <v>1113</v>
      </c>
      <c r="CQ116" s="120"/>
      <c r="CR116" s="120"/>
      <c r="CS116" s="120" t="s">
        <v>1114</v>
      </c>
      <c r="CT116" s="120" t="s">
        <v>1115</v>
      </c>
      <c r="CU116" s="120" t="s">
        <v>1116</v>
      </c>
      <c r="CV116" s="120" t="s">
        <v>1117</v>
      </c>
      <c r="CW116" s="120"/>
      <c r="CX116" s="120"/>
      <c r="CY116" s="120"/>
      <c r="CZ116" s="120"/>
      <c r="DA116" s="120"/>
      <c r="DB116" s="120"/>
      <c r="DC116" s="120"/>
      <c r="DD116" s="120"/>
      <c r="DE116" s="18"/>
      <c r="DF116" s="18"/>
    </row>
    <row r="117" spans="1:110" s="7" customFormat="1" x14ac:dyDescent="0.25">
      <c r="A117" s="19" t="s">
        <v>81</v>
      </c>
      <c r="B117" s="19" t="s">
        <v>97</v>
      </c>
      <c r="C117" s="19" t="str">
        <f t="shared" si="43"/>
        <v>80653171GHANA</v>
      </c>
      <c r="D117" s="19">
        <v>80653171</v>
      </c>
      <c r="E117" s="19" t="s">
        <v>350</v>
      </c>
      <c r="F117" s="19" t="s">
        <v>2067</v>
      </c>
      <c r="G117" s="20" t="s">
        <v>350</v>
      </c>
      <c r="H117" s="136">
        <v>23</v>
      </c>
      <c r="I117" s="19" t="s">
        <v>230</v>
      </c>
      <c r="J117" s="19" t="s">
        <v>351</v>
      </c>
      <c r="K117" s="19" t="s">
        <v>352</v>
      </c>
      <c r="L117" s="19" t="s">
        <v>289</v>
      </c>
      <c r="M117" s="19" t="s">
        <v>353</v>
      </c>
      <c r="N117" s="19" t="s">
        <v>284</v>
      </c>
      <c r="O117" s="19" t="s">
        <v>275</v>
      </c>
      <c r="P117" s="19" t="s">
        <v>285</v>
      </c>
      <c r="Q117" s="19" t="s">
        <v>354</v>
      </c>
      <c r="R117" s="19">
        <v>6300</v>
      </c>
      <c r="S117" s="19" t="s">
        <v>272</v>
      </c>
      <c r="T117" s="19" t="s">
        <v>287</v>
      </c>
      <c r="U117" s="20" t="s">
        <v>287</v>
      </c>
      <c r="V117" s="19" t="s">
        <v>135</v>
      </c>
      <c r="W117" s="19" t="s">
        <v>221</v>
      </c>
      <c r="X117" s="35"/>
      <c r="Y117" s="35"/>
      <c r="Z117" s="32"/>
      <c r="AA117" s="22">
        <v>4</v>
      </c>
      <c r="AB117" s="22"/>
      <c r="AC117" s="22"/>
      <c r="AD117" s="22"/>
      <c r="AE117" s="60">
        <f t="shared" si="50"/>
        <v>4</v>
      </c>
      <c r="AF117" s="22"/>
      <c r="AG117" s="40">
        <f t="shared" si="51"/>
        <v>4</v>
      </c>
      <c r="AH117" s="24">
        <v>2</v>
      </c>
      <c r="AI117" s="24">
        <v>2</v>
      </c>
      <c r="AJ117" s="121">
        <v>2</v>
      </c>
      <c r="AK117" s="121">
        <v>2</v>
      </c>
      <c r="AL117" s="24"/>
      <c r="AM117" s="24"/>
      <c r="AN117" s="23">
        <f t="shared" si="44"/>
        <v>0</v>
      </c>
      <c r="AO117" s="25"/>
      <c r="AP117" s="25"/>
      <c r="AQ117" s="25"/>
      <c r="AR117" s="25"/>
      <c r="AS117" s="25">
        <f t="shared" si="45"/>
        <v>0</v>
      </c>
      <c r="AT117" s="13">
        <v>2</v>
      </c>
      <c r="AU117" s="21">
        <v>2</v>
      </c>
      <c r="AV117" s="21"/>
      <c r="AW117" s="21"/>
      <c r="AX117" s="21"/>
      <c r="AY117" s="21"/>
      <c r="AZ117" s="21"/>
      <c r="BA117" s="77"/>
      <c r="BB117" s="21"/>
      <c r="BC117" s="21"/>
      <c r="BD117" s="21"/>
      <c r="BE117" s="21"/>
      <c r="BF117" s="21"/>
      <c r="BG117" s="77"/>
      <c r="BH117" s="77"/>
      <c r="BI117" s="21"/>
      <c r="BJ117" s="21"/>
      <c r="BK117" s="21"/>
      <c r="BL117" s="21"/>
      <c r="BM117" s="21"/>
      <c r="BN117" s="21"/>
      <c r="BO117" s="77"/>
      <c r="BP117" s="21"/>
      <c r="BQ117" s="21"/>
      <c r="BR117" s="21"/>
      <c r="BS117" s="21"/>
      <c r="BT117" s="21"/>
      <c r="BU117" s="21"/>
      <c r="BV117" s="77"/>
      <c r="BW117" s="96">
        <f t="shared" si="48"/>
        <v>0</v>
      </c>
      <c r="BX117" s="94">
        <f t="shared" si="49"/>
        <v>0</v>
      </c>
      <c r="BY117" s="26"/>
      <c r="CA117" s="52" t="s">
        <v>350</v>
      </c>
      <c r="CB117" s="19" t="b">
        <f t="shared" si="42"/>
        <v>1</v>
      </c>
      <c r="CC117" s="19" t="s">
        <v>350</v>
      </c>
      <c r="CD117" s="19" t="s">
        <v>1085</v>
      </c>
      <c r="CE117" s="120" t="s">
        <v>1086</v>
      </c>
      <c r="CF117" s="120" t="s">
        <v>1087</v>
      </c>
      <c r="CG117" s="120" t="s">
        <v>1088</v>
      </c>
      <c r="CH117" s="120" t="s">
        <v>1089</v>
      </c>
      <c r="CI117" s="120" t="s">
        <v>1090</v>
      </c>
      <c r="CJ117" s="120" t="s">
        <v>1091</v>
      </c>
      <c r="CK117" s="120" t="s">
        <v>1092</v>
      </c>
      <c r="CL117" s="120" t="s">
        <v>1093</v>
      </c>
      <c r="CM117" s="120" t="s">
        <v>1094</v>
      </c>
      <c r="CN117" s="120" t="s">
        <v>1095</v>
      </c>
      <c r="CO117" s="120" t="s">
        <v>1096</v>
      </c>
      <c r="CP117" s="120" t="s">
        <v>1097</v>
      </c>
      <c r="CQ117" s="120"/>
      <c r="CR117" s="120"/>
      <c r="CS117" s="120" t="s">
        <v>1098</v>
      </c>
      <c r="CT117" s="120" t="s">
        <v>1099</v>
      </c>
      <c r="CU117" s="120" t="s">
        <v>1100</v>
      </c>
      <c r="CV117" s="120" t="s">
        <v>1101</v>
      </c>
      <c r="CW117" s="120"/>
      <c r="CX117" s="120"/>
      <c r="CY117" s="120"/>
      <c r="CZ117" s="120"/>
      <c r="DA117" s="120"/>
      <c r="DB117" s="120"/>
      <c r="DC117" s="120"/>
      <c r="DD117" s="120"/>
      <c r="DE117" s="18"/>
      <c r="DF117" s="18"/>
    </row>
    <row r="118" spans="1:110" s="7" customFormat="1" x14ac:dyDescent="0.25">
      <c r="A118" s="19" t="s">
        <v>81</v>
      </c>
      <c r="B118" s="19" t="s">
        <v>99</v>
      </c>
      <c r="C118" s="19" t="str">
        <f t="shared" si="43"/>
        <v>80652287OMAN</v>
      </c>
      <c r="D118" s="19">
        <v>80652287</v>
      </c>
      <c r="E118" s="19" t="s">
        <v>379</v>
      </c>
      <c r="F118" s="19" t="s">
        <v>2067</v>
      </c>
      <c r="G118" s="20" t="s">
        <v>379</v>
      </c>
      <c r="H118" s="136">
        <v>8</v>
      </c>
      <c r="I118" s="19" t="s">
        <v>230</v>
      </c>
      <c r="J118" s="19" t="s">
        <v>351</v>
      </c>
      <c r="K118" s="19" t="s">
        <v>352</v>
      </c>
      <c r="L118" s="19" t="s">
        <v>289</v>
      </c>
      <c r="M118" s="19" t="s">
        <v>353</v>
      </c>
      <c r="N118" s="19" t="s">
        <v>284</v>
      </c>
      <c r="O118" s="19" t="s">
        <v>275</v>
      </c>
      <c r="P118" s="19" t="s">
        <v>285</v>
      </c>
      <c r="Q118" s="19" t="s">
        <v>354</v>
      </c>
      <c r="R118" s="19">
        <v>6300</v>
      </c>
      <c r="S118" s="19" t="s">
        <v>272</v>
      </c>
      <c r="T118" s="19" t="s">
        <v>287</v>
      </c>
      <c r="U118" s="20" t="s">
        <v>287</v>
      </c>
      <c r="V118" s="19" t="s">
        <v>1592</v>
      </c>
      <c r="W118" s="19" t="s">
        <v>219</v>
      </c>
      <c r="X118" s="35"/>
      <c r="Y118" s="35"/>
      <c r="Z118" s="32"/>
      <c r="AA118" s="22">
        <v>12</v>
      </c>
      <c r="AB118" s="22"/>
      <c r="AC118" s="22"/>
      <c r="AD118" s="22"/>
      <c r="AE118" s="60">
        <f t="shared" si="50"/>
        <v>12</v>
      </c>
      <c r="AF118" s="22"/>
      <c r="AG118" s="40">
        <f t="shared" si="51"/>
        <v>12</v>
      </c>
      <c r="AH118" s="24"/>
      <c r="AI118" s="24">
        <v>12</v>
      </c>
      <c r="AJ118" s="121"/>
      <c r="AK118" s="121">
        <v>12</v>
      </c>
      <c r="AL118" s="24"/>
      <c r="AM118" s="24"/>
      <c r="AN118" s="23">
        <f t="shared" si="44"/>
        <v>0</v>
      </c>
      <c r="AO118" s="25"/>
      <c r="AP118" s="25"/>
      <c r="AQ118" s="25"/>
      <c r="AR118" s="25"/>
      <c r="AS118" s="25">
        <f t="shared" si="45"/>
        <v>0</v>
      </c>
      <c r="AT118" s="13">
        <v>12</v>
      </c>
      <c r="AU118" s="21">
        <v>3</v>
      </c>
      <c r="AV118" s="21">
        <v>3</v>
      </c>
      <c r="AW118" s="21">
        <v>3</v>
      </c>
      <c r="AX118" s="21">
        <v>3</v>
      </c>
      <c r="AY118" s="21"/>
      <c r="AZ118" s="21"/>
      <c r="BA118" s="77"/>
      <c r="BB118" s="21"/>
      <c r="BC118" s="21"/>
      <c r="BD118" s="21"/>
      <c r="BE118" s="21"/>
      <c r="BF118" s="21"/>
      <c r="BG118" s="77"/>
      <c r="BH118" s="77"/>
      <c r="BI118" s="21"/>
      <c r="BJ118" s="21"/>
      <c r="BK118" s="21"/>
      <c r="BL118" s="21"/>
      <c r="BM118" s="21"/>
      <c r="BN118" s="21"/>
      <c r="BO118" s="77"/>
      <c r="BP118" s="21"/>
      <c r="BQ118" s="21"/>
      <c r="BR118" s="21"/>
      <c r="BS118" s="21"/>
      <c r="BT118" s="21"/>
      <c r="BU118" s="21"/>
      <c r="BV118" s="77"/>
      <c r="BW118" s="96">
        <f t="shared" si="48"/>
        <v>9</v>
      </c>
      <c r="BX118" s="94">
        <f t="shared" si="49"/>
        <v>-9</v>
      </c>
      <c r="BY118" s="26"/>
      <c r="CA118" s="52" t="s">
        <v>379</v>
      </c>
      <c r="CB118" s="19" t="b">
        <f t="shared" si="42"/>
        <v>1</v>
      </c>
      <c r="CC118" s="19" t="s">
        <v>379</v>
      </c>
      <c r="CD118" s="19" t="s">
        <v>1085</v>
      </c>
      <c r="CE118" s="120" t="s">
        <v>1086</v>
      </c>
      <c r="CF118" s="120" t="s">
        <v>1087</v>
      </c>
      <c r="CG118" s="120" t="s">
        <v>1088</v>
      </c>
      <c r="CH118" s="120" t="s">
        <v>1089</v>
      </c>
      <c r="CI118" s="120" t="s">
        <v>1090</v>
      </c>
      <c r="CJ118" s="120" t="s">
        <v>1091</v>
      </c>
      <c r="CK118" s="120" t="s">
        <v>1092</v>
      </c>
      <c r="CL118" s="120" t="s">
        <v>1093</v>
      </c>
      <c r="CM118" s="120" t="s">
        <v>1128</v>
      </c>
      <c r="CN118" s="120" t="s">
        <v>1129</v>
      </c>
      <c r="CO118" s="120" t="s">
        <v>1130</v>
      </c>
      <c r="CP118" s="120" t="s">
        <v>1097</v>
      </c>
      <c r="CQ118" s="120"/>
      <c r="CR118" s="120"/>
      <c r="CS118" s="120" t="s">
        <v>1098</v>
      </c>
      <c r="CT118" s="120" t="s">
        <v>1099</v>
      </c>
      <c r="CU118" s="120" t="s">
        <v>1100</v>
      </c>
      <c r="CV118" s="120" t="s">
        <v>1101</v>
      </c>
      <c r="CW118" s="120"/>
      <c r="CX118" s="120"/>
      <c r="CY118" s="120"/>
      <c r="CZ118" s="120"/>
      <c r="DA118" s="120"/>
      <c r="DB118" s="120"/>
      <c r="DC118" s="120"/>
      <c r="DD118" s="120"/>
      <c r="DE118" s="18"/>
      <c r="DF118" s="18"/>
    </row>
    <row r="119" spans="1:110" s="7" customFormat="1" x14ac:dyDescent="0.25">
      <c r="A119" s="19" t="s">
        <v>81</v>
      </c>
      <c r="B119" s="19" t="s">
        <v>97</v>
      </c>
      <c r="C119" s="19" t="str">
        <f t="shared" si="43"/>
        <v>80654113GHANA</v>
      </c>
      <c r="D119" s="19">
        <v>80654113</v>
      </c>
      <c r="E119" s="19" t="s">
        <v>1831</v>
      </c>
      <c r="F119" s="19" t="s">
        <v>2067</v>
      </c>
      <c r="G119" s="20" t="s">
        <v>1831</v>
      </c>
      <c r="H119" s="136">
        <v>4</v>
      </c>
      <c r="I119" s="19" t="s">
        <v>230</v>
      </c>
      <c r="J119" s="19" t="s">
        <v>351</v>
      </c>
      <c r="K119" s="19" t="s">
        <v>352</v>
      </c>
      <c r="L119" s="19" t="s">
        <v>289</v>
      </c>
      <c r="M119" s="19" t="s">
        <v>353</v>
      </c>
      <c r="N119" s="19" t="s">
        <v>284</v>
      </c>
      <c r="O119" s="19" t="s">
        <v>275</v>
      </c>
      <c r="P119" s="19" t="s">
        <v>285</v>
      </c>
      <c r="Q119" s="19" t="s">
        <v>354</v>
      </c>
      <c r="R119" s="19">
        <v>6300</v>
      </c>
      <c r="S119" s="19" t="s">
        <v>272</v>
      </c>
      <c r="T119" s="19" t="s">
        <v>287</v>
      </c>
      <c r="U119" s="20" t="s">
        <v>287</v>
      </c>
      <c r="V119" s="19" t="s">
        <v>1775</v>
      </c>
      <c r="W119" s="19" t="s">
        <v>222</v>
      </c>
      <c r="X119" s="35"/>
      <c r="Y119" s="35"/>
      <c r="Z119" s="32"/>
      <c r="AA119" s="22">
        <v>5</v>
      </c>
      <c r="AB119" s="22"/>
      <c r="AC119" s="22"/>
      <c r="AD119" s="22"/>
      <c r="AE119" s="60">
        <f t="shared" si="50"/>
        <v>5</v>
      </c>
      <c r="AF119" s="22"/>
      <c r="AG119" s="40">
        <f t="shared" si="51"/>
        <v>5</v>
      </c>
      <c r="AH119" s="24">
        <v>3</v>
      </c>
      <c r="AI119" s="24">
        <v>2</v>
      </c>
      <c r="AJ119" s="121">
        <v>3</v>
      </c>
      <c r="AK119" s="121">
        <v>2</v>
      </c>
      <c r="AL119" s="24"/>
      <c r="AM119" s="24"/>
      <c r="AN119" s="23">
        <f t="shared" si="44"/>
        <v>0</v>
      </c>
      <c r="AO119" s="25"/>
      <c r="AP119" s="25"/>
      <c r="AQ119" s="25"/>
      <c r="AR119" s="25"/>
      <c r="AS119" s="25">
        <f t="shared" si="45"/>
        <v>0</v>
      </c>
      <c r="AT119" s="13">
        <v>2</v>
      </c>
      <c r="AU119" s="21">
        <v>2</v>
      </c>
      <c r="AV119" s="21"/>
      <c r="AW119" s="21"/>
      <c r="AX119" s="21"/>
      <c r="AY119" s="21"/>
      <c r="AZ119" s="21"/>
      <c r="BA119" s="77"/>
      <c r="BB119" s="21"/>
      <c r="BC119" s="21"/>
      <c r="BD119" s="21"/>
      <c r="BE119" s="21"/>
      <c r="BF119" s="21"/>
      <c r="BG119" s="77"/>
      <c r="BH119" s="77"/>
      <c r="BI119" s="21"/>
      <c r="BJ119" s="21"/>
      <c r="BK119" s="21"/>
      <c r="BL119" s="21"/>
      <c r="BM119" s="21"/>
      <c r="BN119" s="21"/>
      <c r="BO119" s="77"/>
      <c r="BP119" s="21"/>
      <c r="BQ119" s="21"/>
      <c r="BR119" s="21"/>
      <c r="BS119" s="21"/>
      <c r="BT119" s="21"/>
      <c r="BU119" s="21"/>
      <c r="BV119" s="77"/>
      <c r="BW119" s="96">
        <f t="shared" si="48"/>
        <v>0</v>
      </c>
      <c r="BX119" s="94">
        <f t="shared" si="49"/>
        <v>0</v>
      </c>
      <c r="BY119" s="26"/>
      <c r="CA119" s="52" t="s">
        <v>1831</v>
      </c>
      <c r="CB119" s="19" t="b">
        <f t="shared" ref="CB119:CB129" si="52">CC119=CA119</f>
        <v>1</v>
      </c>
      <c r="CC119" s="19" t="s">
        <v>1831</v>
      </c>
      <c r="CD119" s="19" t="s">
        <v>1085</v>
      </c>
      <c r="CE119" s="120" t="s">
        <v>1086</v>
      </c>
      <c r="CF119" s="120" t="s">
        <v>1087</v>
      </c>
      <c r="CG119" s="120" t="s">
        <v>1088</v>
      </c>
      <c r="CH119" s="120" t="s">
        <v>1089</v>
      </c>
      <c r="CI119" s="120" t="s">
        <v>1090</v>
      </c>
      <c r="CJ119" s="120" t="s">
        <v>1091</v>
      </c>
      <c r="CK119" s="120" t="s">
        <v>1092</v>
      </c>
      <c r="CL119" s="120" t="s">
        <v>1093</v>
      </c>
      <c r="CM119" s="120" t="s">
        <v>1094</v>
      </c>
      <c r="CN119" s="120" t="s">
        <v>1095</v>
      </c>
      <c r="CO119" s="120" t="s">
        <v>1096</v>
      </c>
      <c r="CP119" s="120" t="s">
        <v>1097</v>
      </c>
      <c r="CQ119" s="120"/>
      <c r="CR119" s="120"/>
      <c r="CS119" s="120" t="s">
        <v>1098</v>
      </c>
      <c r="CT119" s="120" t="s">
        <v>1099</v>
      </c>
      <c r="CU119" s="120" t="s">
        <v>1100</v>
      </c>
      <c r="CV119" s="120" t="s">
        <v>1101</v>
      </c>
      <c r="CW119" s="120"/>
      <c r="CX119" s="120"/>
      <c r="CY119" s="120"/>
      <c r="CZ119" s="120"/>
      <c r="DA119" s="120"/>
      <c r="DB119" s="120"/>
      <c r="DC119" s="120"/>
      <c r="DD119" s="120"/>
      <c r="DE119" s="18"/>
      <c r="DF119" s="18"/>
    </row>
    <row r="120" spans="1:110" s="7" customFormat="1" x14ac:dyDescent="0.25">
      <c r="A120" s="19" t="s">
        <v>81</v>
      </c>
      <c r="B120" s="19" t="s">
        <v>88</v>
      </c>
      <c r="C120" s="19" t="str">
        <f t="shared" ref="C120:C130" si="53">D120&amp;B120</f>
        <v>83200480SRI LANKA</v>
      </c>
      <c r="D120" s="19">
        <v>83200480</v>
      </c>
      <c r="E120" s="19" t="s">
        <v>366</v>
      </c>
      <c r="F120" s="19" t="s">
        <v>2067</v>
      </c>
      <c r="G120" s="20" t="s">
        <v>366</v>
      </c>
      <c r="H120" s="136">
        <v>5</v>
      </c>
      <c r="I120" s="19" t="s">
        <v>230</v>
      </c>
      <c r="J120" s="19" t="s">
        <v>359</v>
      </c>
      <c r="K120" s="19" t="s">
        <v>367</v>
      </c>
      <c r="L120" s="19" t="s">
        <v>252</v>
      </c>
      <c r="M120" s="19" t="s">
        <v>345</v>
      </c>
      <c r="N120" s="19" t="s">
        <v>284</v>
      </c>
      <c r="O120" s="19" t="s">
        <v>368</v>
      </c>
      <c r="P120" s="19" t="s">
        <v>285</v>
      </c>
      <c r="Q120" s="19" t="s">
        <v>369</v>
      </c>
      <c r="R120" s="19">
        <v>7200</v>
      </c>
      <c r="S120" s="19" t="s">
        <v>239</v>
      </c>
      <c r="T120" s="19" t="s">
        <v>287</v>
      </c>
      <c r="U120" s="20" t="s">
        <v>287</v>
      </c>
      <c r="V120" s="19" t="s">
        <v>2033</v>
      </c>
      <c r="W120" s="19" t="s">
        <v>219</v>
      </c>
      <c r="X120" s="35"/>
      <c r="Y120" s="35"/>
      <c r="Z120" s="32"/>
      <c r="AA120" s="22">
        <v>3</v>
      </c>
      <c r="AB120" s="22"/>
      <c r="AC120" s="22"/>
      <c r="AD120" s="22"/>
      <c r="AE120" s="60">
        <f t="shared" si="50"/>
        <v>3</v>
      </c>
      <c r="AF120" s="22"/>
      <c r="AG120" s="40">
        <f t="shared" si="51"/>
        <v>3</v>
      </c>
      <c r="AH120" s="24"/>
      <c r="AI120" s="24">
        <v>3</v>
      </c>
      <c r="AJ120" s="121"/>
      <c r="AK120" s="121">
        <v>3</v>
      </c>
      <c r="AL120" s="24"/>
      <c r="AM120" s="24"/>
      <c r="AN120" s="23">
        <f t="shared" ref="AN120:AN130" si="54">AG120-AJ120-AK120+AL120+AM120</f>
        <v>0</v>
      </c>
      <c r="AO120" s="25"/>
      <c r="AP120" s="25"/>
      <c r="AQ120" s="25"/>
      <c r="AR120" s="25"/>
      <c r="AS120" s="25">
        <f t="shared" ref="AS120:AS130" si="55">SUM(AO120:AR120)</f>
        <v>0</v>
      </c>
      <c r="AT120" s="13">
        <v>3</v>
      </c>
      <c r="AU120" s="21">
        <v>1</v>
      </c>
      <c r="AV120" s="21">
        <v>2</v>
      </c>
      <c r="AW120" s="21"/>
      <c r="AX120" s="21"/>
      <c r="AY120" s="21"/>
      <c r="AZ120" s="21"/>
      <c r="BA120" s="77"/>
      <c r="BB120" s="21"/>
      <c r="BC120" s="21"/>
      <c r="BD120" s="21"/>
      <c r="BE120" s="21"/>
      <c r="BF120" s="21"/>
      <c r="BG120" s="77"/>
      <c r="BH120" s="77"/>
      <c r="BI120" s="21"/>
      <c r="BJ120" s="21"/>
      <c r="BK120" s="21"/>
      <c r="BL120" s="21"/>
      <c r="BM120" s="21"/>
      <c r="BN120" s="21"/>
      <c r="BO120" s="77"/>
      <c r="BP120" s="21"/>
      <c r="BQ120" s="21"/>
      <c r="BR120" s="21"/>
      <c r="BS120" s="21"/>
      <c r="BT120" s="21"/>
      <c r="BU120" s="21"/>
      <c r="BV120" s="77"/>
      <c r="BW120" s="96">
        <f t="shared" si="48"/>
        <v>2</v>
      </c>
      <c r="BX120" s="94">
        <f t="shared" si="49"/>
        <v>-2</v>
      </c>
      <c r="BY120" s="26"/>
      <c r="CA120" s="137" t="s">
        <v>366</v>
      </c>
      <c r="CB120" s="19" t="b">
        <f t="shared" si="52"/>
        <v>1</v>
      </c>
      <c r="CC120" s="19" t="s">
        <v>366</v>
      </c>
      <c r="CD120" s="19" t="s">
        <v>1137</v>
      </c>
      <c r="CE120" s="120" t="s">
        <v>1131</v>
      </c>
      <c r="CF120" s="120" t="s">
        <v>1132</v>
      </c>
      <c r="CG120" s="120" t="s">
        <v>1138</v>
      </c>
      <c r="CH120" s="120" t="s">
        <v>1139</v>
      </c>
      <c r="CI120" s="120" t="s">
        <v>1140</v>
      </c>
      <c r="CJ120" s="120" t="s">
        <v>1141</v>
      </c>
      <c r="CK120" s="120" t="s">
        <v>1142</v>
      </c>
      <c r="CL120" s="120" t="s">
        <v>1143</v>
      </c>
      <c r="CM120" s="120" t="s">
        <v>1144</v>
      </c>
      <c r="CN120" s="120" t="s">
        <v>1145</v>
      </c>
      <c r="CO120" s="120" t="s">
        <v>1146</v>
      </c>
      <c r="CP120" s="120" t="s">
        <v>1147</v>
      </c>
      <c r="CQ120" s="120" t="s">
        <v>1133</v>
      </c>
      <c r="CR120" s="120" t="s">
        <v>1134</v>
      </c>
      <c r="CS120" s="120" t="s">
        <v>1135</v>
      </c>
      <c r="CT120" s="120" t="s">
        <v>1136</v>
      </c>
      <c r="CU120" s="120" t="s">
        <v>1148</v>
      </c>
      <c r="CV120" s="120" t="s">
        <v>1149</v>
      </c>
      <c r="CW120" s="120"/>
      <c r="CX120" s="120"/>
      <c r="CY120" s="120"/>
      <c r="CZ120" s="120"/>
      <c r="DA120" s="120"/>
      <c r="DB120" s="120"/>
      <c r="DC120" s="120"/>
      <c r="DD120" s="120"/>
      <c r="DE120" s="18"/>
      <c r="DF120" s="18"/>
    </row>
    <row r="121" spans="1:110" s="7" customFormat="1" x14ac:dyDescent="0.25">
      <c r="A121" s="19" t="s">
        <v>81</v>
      </c>
      <c r="B121" s="19" t="s">
        <v>91</v>
      </c>
      <c r="C121" s="19" t="str">
        <f t="shared" si="53"/>
        <v>83200362Sri Lanka</v>
      </c>
      <c r="D121" s="19">
        <v>83200362</v>
      </c>
      <c r="E121" s="19" t="s">
        <v>366</v>
      </c>
      <c r="F121" s="19" t="s">
        <v>2067</v>
      </c>
      <c r="G121" s="20" t="s">
        <v>366</v>
      </c>
      <c r="H121" s="136">
        <v>5</v>
      </c>
      <c r="I121" s="19" t="s">
        <v>230</v>
      </c>
      <c r="J121" s="19" t="s">
        <v>359</v>
      </c>
      <c r="K121" s="19" t="s">
        <v>367</v>
      </c>
      <c r="L121" s="19" t="s">
        <v>252</v>
      </c>
      <c r="M121" s="19" t="s">
        <v>345</v>
      </c>
      <c r="N121" s="19" t="s">
        <v>284</v>
      </c>
      <c r="O121" s="19" t="s">
        <v>368</v>
      </c>
      <c r="P121" s="19" t="s">
        <v>285</v>
      </c>
      <c r="Q121" s="19" t="s">
        <v>369</v>
      </c>
      <c r="R121" s="19">
        <v>7200</v>
      </c>
      <c r="S121" s="19" t="s">
        <v>239</v>
      </c>
      <c r="T121" s="19" t="s">
        <v>287</v>
      </c>
      <c r="U121" s="20" t="s">
        <v>287</v>
      </c>
      <c r="V121" s="19" t="s">
        <v>130</v>
      </c>
      <c r="W121" s="19" t="s">
        <v>219</v>
      </c>
      <c r="X121" s="35"/>
      <c r="Y121" s="35"/>
      <c r="Z121" s="32"/>
      <c r="AA121" s="22">
        <v>5</v>
      </c>
      <c r="AB121" s="22"/>
      <c r="AC121" s="22"/>
      <c r="AD121" s="22"/>
      <c r="AE121" s="60">
        <f t="shared" si="50"/>
        <v>5</v>
      </c>
      <c r="AF121" s="22"/>
      <c r="AG121" s="40">
        <f t="shared" si="51"/>
        <v>5</v>
      </c>
      <c r="AH121" s="24"/>
      <c r="AI121" s="24">
        <v>5</v>
      </c>
      <c r="AJ121" s="121"/>
      <c r="AK121" s="121">
        <v>5</v>
      </c>
      <c r="AL121" s="24"/>
      <c r="AM121" s="24"/>
      <c r="AN121" s="23">
        <f t="shared" si="54"/>
        <v>0</v>
      </c>
      <c r="AO121" s="25"/>
      <c r="AP121" s="25"/>
      <c r="AQ121" s="25"/>
      <c r="AR121" s="25"/>
      <c r="AS121" s="25">
        <f t="shared" si="55"/>
        <v>0</v>
      </c>
      <c r="AT121" s="13">
        <v>5</v>
      </c>
      <c r="AU121" s="21">
        <v>2</v>
      </c>
      <c r="AV121" s="21">
        <v>3</v>
      </c>
      <c r="AW121" s="21"/>
      <c r="AX121" s="21"/>
      <c r="AY121" s="21"/>
      <c r="AZ121" s="21"/>
      <c r="BA121" s="77"/>
      <c r="BB121" s="21"/>
      <c r="BC121" s="21"/>
      <c r="BD121" s="21"/>
      <c r="BE121" s="21"/>
      <c r="BF121" s="21"/>
      <c r="BG121" s="77"/>
      <c r="BH121" s="77"/>
      <c r="BI121" s="21"/>
      <c r="BJ121" s="21"/>
      <c r="BK121" s="21"/>
      <c r="BL121" s="21"/>
      <c r="BM121" s="21"/>
      <c r="BN121" s="21"/>
      <c r="BO121" s="77"/>
      <c r="BP121" s="21"/>
      <c r="BQ121" s="21"/>
      <c r="BR121" s="21"/>
      <c r="BS121" s="21"/>
      <c r="BT121" s="21"/>
      <c r="BU121" s="21"/>
      <c r="BV121" s="77"/>
      <c r="BW121" s="96">
        <f t="shared" si="48"/>
        <v>3</v>
      </c>
      <c r="BX121" s="94">
        <f t="shared" si="49"/>
        <v>-3</v>
      </c>
      <c r="BY121" s="26"/>
      <c r="CA121" s="137" t="s">
        <v>366</v>
      </c>
      <c r="CB121" s="19" t="b">
        <f t="shared" si="52"/>
        <v>1</v>
      </c>
      <c r="CC121" s="19" t="s">
        <v>366</v>
      </c>
      <c r="CD121" s="19" t="s">
        <v>1137</v>
      </c>
      <c r="CE121" s="120" t="s">
        <v>1131</v>
      </c>
      <c r="CF121" s="120" t="s">
        <v>1132</v>
      </c>
      <c r="CG121" s="120" t="s">
        <v>1138</v>
      </c>
      <c r="CH121" s="120" t="s">
        <v>1139</v>
      </c>
      <c r="CI121" s="120" t="s">
        <v>1140</v>
      </c>
      <c r="CJ121" s="120" t="s">
        <v>1141</v>
      </c>
      <c r="CK121" s="120" t="s">
        <v>1142</v>
      </c>
      <c r="CL121" s="120" t="s">
        <v>1143</v>
      </c>
      <c r="CM121" s="120" t="s">
        <v>1144</v>
      </c>
      <c r="CN121" s="120" t="s">
        <v>1145</v>
      </c>
      <c r="CO121" s="120" t="s">
        <v>1146</v>
      </c>
      <c r="CP121" s="120" t="s">
        <v>1147</v>
      </c>
      <c r="CQ121" s="120" t="s">
        <v>1133</v>
      </c>
      <c r="CR121" s="120" t="s">
        <v>1134</v>
      </c>
      <c r="CS121" s="120" t="s">
        <v>1135</v>
      </c>
      <c r="CT121" s="120" t="s">
        <v>1136</v>
      </c>
      <c r="CU121" s="120" t="s">
        <v>1148</v>
      </c>
      <c r="CV121" s="120" t="s">
        <v>1149</v>
      </c>
      <c r="CW121" s="120"/>
      <c r="CX121" s="120"/>
      <c r="CY121" s="120"/>
      <c r="CZ121" s="120"/>
      <c r="DA121" s="120"/>
      <c r="DB121" s="120"/>
      <c r="DC121" s="120"/>
      <c r="DD121" s="120"/>
      <c r="DE121" s="18"/>
      <c r="DF121" s="18"/>
    </row>
    <row r="122" spans="1:110" s="7" customFormat="1" x14ac:dyDescent="0.25">
      <c r="A122" s="19" t="s">
        <v>81</v>
      </c>
      <c r="B122" s="19" t="s">
        <v>86</v>
      </c>
      <c r="C122" s="19" t="str">
        <f t="shared" si="53"/>
        <v>82006959MOZAMBIQUE</v>
      </c>
      <c r="D122" s="19">
        <v>82006959</v>
      </c>
      <c r="E122" s="19" t="s">
        <v>380</v>
      </c>
      <c r="F122" s="19" t="s">
        <v>2067</v>
      </c>
      <c r="G122" s="20" t="s">
        <v>380</v>
      </c>
      <c r="H122" s="136">
        <v>39</v>
      </c>
      <c r="I122" s="19" t="s">
        <v>230</v>
      </c>
      <c r="J122" s="19" t="s">
        <v>355</v>
      </c>
      <c r="K122" s="19" t="s">
        <v>381</v>
      </c>
      <c r="L122" s="19" t="s">
        <v>282</v>
      </c>
      <c r="M122" s="19" t="s">
        <v>234</v>
      </c>
      <c r="N122" s="19" t="s">
        <v>284</v>
      </c>
      <c r="O122" s="19" t="s">
        <v>293</v>
      </c>
      <c r="P122" s="19" t="s">
        <v>285</v>
      </c>
      <c r="Q122" s="19" t="s">
        <v>383</v>
      </c>
      <c r="R122" s="19">
        <v>7200</v>
      </c>
      <c r="S122" s="19" t="s">
        <v>239</v>
      </c>
      <c r="T122" s="19" t="s">
        <v>287</v>
      </c>
      <c r="U122" s="20" t="s">
        <v>287</v>
      </c>
      <c r="V122" s="19" t="s">
        <v>2193</v>
      </c>
      <c r="W122" s="19" t="s">
        <v>219</v>
      </c>
      <c r="X122" s="35"/>
      <c r="Y122" s="35"/>
      <c r="Z122" s="32"/>
      <c r="AA122" s="22">
        <v>2</v>
      </c>
      <c r="AB122" s="22"/>
      <c r="AC122" s="22"/>
      <c r="AD122" s="22"/>
      <c r="AE122" s="60">
        <f t="shared" ref="AE122:AE123" si="56">SUM(AA122:AD122)</f>
        <v>2</v>
      </c>
      <c r="AF122" s="22"/>
      <c r="AG122" s="40">
        <f t="shared" ref="AG122:AG123" si="57">AE122+AF122</f>
        <v>2</v>
      </c>
      <c r="AH122" s="24"/>
      <c r="AI122" s="24"/>
      <c r="AJ122" s="121"/>
      <c r="AK122" s="121"/>
      <c r="AL122" s="24"/>
      <c r="AM122" s="24"/>
      <c r="AN122" s="23">
        <f t="shared" si="54"/>
        <v>2</v>
      </c>
      <c r="AO122" s="25"/>
      <c r="AP122" s="25"/>
      <c r="AQ122" s="25"/>
      <c r="AR122" s="25">
        <v>2</v>
      </c>
      <c r="AS122" s="25">
        <f t="shared" si="55"/>
        <v>2</v>
      </c>
      <c r="AT122" s="13"/>
      <c r="AU122" s="21"/>
      <c r="AV122" s="21"/>
      <c r="AW122" s="21"/>
      <c r="AX122" s="21"/>
      <c r="AY122" s="21"/>
      <c r="AZ122" s="21"/>
      <c r="BA122" s="77"/>
      <c r="BB122" s="21"/>
      <c r="BC122" s="21"/>
      <c r="BD122" s="21"/>
      <c r="BE122" s="21"/>
      <c r="BF122" s="21"/>
      <c r="BG122" s="77"/>
      <c r="BH122" s="77"/>
      <c r="BI122" s="21"/>
      <c r="BJ122" s="21"/>
      <c r="BK122" s="21"/>
      <c r="BL122" s="21"/>
      <c r="BM122" s="21"/>
      <c r="BN122" s="21"/>
      <c r="BO122" s="77"/>
      <c r="BP122" s="21"/>
      <c r="BQ122" s="21"/>
      <c r="BR122" s="21"/>
      <c r="BS122" s="21"/>
      <c r="BT122" s="21"/>
      <c r="BU122" s="21"/>
      <c r="BV122" s="77"/>
      <c r="BW122" s="96">
        <f t="shared" si="48"/>
        <v>0</v>
      </c>
      <c r="BX122" s="94">
        <f t="shared" si="49"/>
        <v>2</v>
      </c>
      <c r="BY122" s="26" t="s">
        <v>2292</v>
      </c>
      <c r="CA122" s="137" t="s">
        <v>380</v>
      </c>
      <c r="CB122" s="19" t="b">
        <f t="shared" si="52"/>
        <v>1</v>
      </c>
      <c r="CC122" s="19" t="s">
        <v>380</v>
      </c>
      <c r="CD122" s="19" t="s">
        <v>1159</v>
      </c>
      <c r="CE122" s="120" t="s">
        <v>1150</v>
      </c>
      <c r="CF122" s="120" t="s">
        <v>1151</v>
      </c>
      <c r="CG122" s="120" t="s">
        <v>1152</v>
      </c>
      <c r="CH122" s="120" t="s">
        <v>1153</v>
      </c>
      <c r="CI122" s="120" t="s">
        <v>1160</v>
      </c>
      <c r="CJ122" s="120" t="s">
        <v>1161</v>
      </c>
      <c r="CK122" s="120" t="s">
        <v>1162</v>
      </c>
      <c r="CL122" s="120" t="s">
        <v>1163</v>
      </c>
      <c r="CM122" s="120" t="s">
        <v>1164</v>
      </c>
      <c r="CN122" s="120" t="s">
        <v>1165</v>
      </c>
      <c r="CO122" s="120" t="s">
        <v>1166</v>
      </c>
      <c r="CP122" s="120" t="s">
        <v>1167</v>
      </c>
      <c r="CQ122" s="120" t="s">
        <v>1154</v>
      </c>
      <c r="CR122" s="120" t="s">
        <v>1155</v>
      </c>
      <c r="CS122" s="120" t="s">
        <v>1156</v>
      </c>
      <c r="CT122" s="120" t="s">
        <v>1157</v>
      </c>
      <c r="CU122" s="120" t="s">
        <v>1168</v>
      </c>
      <c r="CV122" s="120" t="s">
        <v>1169</v>
      </c>
      <c r="CW122" s="120" t="s">
        <v>1170</v>
      </c>
      <c r="CX122" s="120" t="s">
        <v>1171</v>
      </c>
      <c r="CY122" s="120"/>
      <c r="CZ122" s="120"/>
      <c r="DA122" s="120"/>
      <c r="DB122" s="120"/>
      <c r="DC122" s="120"/>
      <c r="DD122" s="120"/>
      <c r="DE122" s="18"/>
      <c r="DF122" s="18"/>
    </row>
    <row r="123" spans="1:110" s="7" customFormat="1" x14ac:dyDescent="0.25">
      <c r="A123" s="19" t="s">
        <v>81</v>
      </c>
      <c r="B123" s="19" t="s">
        <v>93</v>
      </c>
      <c r="C123" s="19" t="str">
        <f t="shared" si="53"/>
        <v>82006958Bangladesh</v>
      </c>
      <c r="D123" s="19">
        <v>82006958</v>
      </c>
      <c r="E123" s="19" t="s">
        <v>380</v>
      </c>
      <c r="F123" s="19" t="s">
        <v>2067</v>
      </c>
      <c r="G123" s="20" t="s">
        <v>380</v>
      </c>
      <c r="H123" s="136">
        <v>39</v>
      </c>
      <c r="I123" s="19" t="s">
        <v>230</v>
      </c>
      <c r="J123" s="19" t="s">
        <v>355</v>
      </c>
      <c r="K123" s="19" t="s">
        <v>381</v>
      </c>
      <c r="L123" s="19" t="s">
        <v>282</v>
      </c>
      <c r="M123" s="19" t="s">
        <v>382</v>
      </c>
      <c r="N123" s="19" t="s">
        <v>284</v>
      </c>
      <c r="O123" s="19" t="s">
        <v>293</v>
      </c>
      <c r="P123" s="19" t="s">
        <v>285</v>
      </c>
      <c r="Q123" s="19" t="s">
        <v>383</v>
      </c>
      <c r="R123" s="19">
        <v>7200</v>
      </c>
      <c r="S123" s="19" t="s">
        <v>239</v>
      </c>
      <c r="T123" s="19" t="s">
        <v>287</v>
      </c>
      <c r="U123" s="20" t="s">
        <v>287</v>
      </c>
      <c r="V123" s="19" t="s">
        <v>136</v>
      </c>
      <c r="W123" s="19" t="s">
        <v>219</v>
      </c>
      <c r="X123" s="35">
        <v>5</v>
      </c>
      <c r="Y123" s="35">
        <v>5</v>
      </c>
      <c r="Z123" s="32"/>
      <c r="AA123" s="22">
        <v>7</v>
      </c>
      <c r="AB123" s="22"/>
      <c r="AC123" s="22"/>
      <c r="AD123" s="22"/>
      <c r="AE123" s="60">
        <f t="shared" si="56"/>
        <v>7</v>
      </c>
      <c r="AF123" s="22"/>
      <c r="AG123" s="40">
        <f t="shared" si="57"/>
        <v>7</v>
      </c>
      <c r="AH123" s="24"/>
      <c r="AI123" s="24">
        <v>7</v>
      </c>
      <c r="AJ123" s="121"/>
      <c r="AK123" s="121">
        <v>7</v>
      </c>
      <c r="AL123" s="24"/>
      <c r="AM123" s="24"/>
      <c r="AN123" s="23">
        <f t="shared" si="54"/>
        <v>0</v>
      </c>
      <c r="AO123" s="25"/>
      <c r="AP123" s="25"/>
      <c r="AQ123" s="25"/>
      <c r="AR123" s="25"/>
      <c r="AS123" s="25">
        <f t="shared" si="55"/>
        <v>0</v>
      </c>
      <c r="AT123" s="13">
        <v>7</v>
      </c>
      <c r="AU123" s="21">
        <v>2</v>
      </c>
      <c r="AV123" s="21">
        <v>2</v>
      </c>
      <c r="AW123" s="21">
        <v>3</v>
      </c>
      <c r="AX123" s="21"/>
      <c r="AY123" s="21"/>
      <c r="AZ123" s="21"/>
      <c r="BA123" s="77"/>
      <c r="BB123" s="21"/>
      <c r="BC123" s="21"/>
      <c r="BD123" s="21"/>
      <c r="BE123" s="21"/>
      <c r="BF123" s="21"/>
      <c r="BG123" s="77"/>
      <c r="BH123" s="77"/>
      <c r="BI123" s="21"/>
      <c r="BJ123" s="21"/>
      <c r="BK123" s="21"/>
      <c r="BL123" s="21"/>
      <c r="BM123" s="21"/>
      <c r="BN123" s="21"/>
      <c r="BO123" s="77"/>
      <c r="BP123" s="21"/>
      <c r="BQ123" s="21"/>
      <c r="BR123" s="21"/>
      <c r="BS123" s="21"/>
      <c r="BT123" s="21"/>
      <c r="BU123" s="21"/>
      <c r="BV123" s="77"/>
      <c r="BW123" s="96">
        <f t="shared" si="48"/>
        <v>5</v>
      </c>
      <c r="BX123" s="94">
        <f t="shared" si="49"/>
        <v>-5</v>
      </c>
      <c r="BY123" s="26"/>
      <c r="CA123" s="137" t="s">
        <v>380</v>
      </c>
      <c r="CB123" s="19" t="b">
        <f t="shared" si="52"/>
        <v>1</v>
      </c>
      <c r="CC123" s="19" t="s">
        <v>380</v>
      </c>
      <c r="CD123" s="19" t="s">
        <v>1159</v>
      </c>
      <c r="CE123" s="120" t="s">
        <v>1150</v>
      </c>
      <c r="CF123" s="120" t="s">
        <v>1151</v>
      </c>
      <c r="CG123" s="120" t="s">
        <v>1152</v>
      </c>
      <c r="CH123" s="120" t="s">
        <v>1153</v>
      </c>
      <c r="CI123" s="120" t="s">
        <v>1160</v>
      </c>
      <c r="CJ123" s="120" t="s">
        <v>1161</v>
      </c>
      <c r="CK123" s="120" t="s">
        <v>1162</v>
      </c>
      <c r="CL123" s="120" t="s">
        <v>1163</v>
      </c>
      <c r="CM123" s="120" t="s">
        <v>1164</v>
      </c>
      <c r="CN123" s="120" t="s">
        <v>1165</v>
      </c>
      <c r="CO123" s="120" t="s">
        <v>1166</v>
      </c>
      <c r="CP123" s="120" t="s">
        <v>1167</v>
      </c>
      <c r="CQ123" s="120" t="s">
        <v>1154</v>
      </c>
      <c r="CR123" s="120" t="s">
        <v>1155</v>
      </c>
      <c r="CS123" s="120" t="s">
        <v>1156</v>
      </c>
      <c r="CT123" s="120" t="s">
        <v>1157</v>
      </c>
      <c r="CU123" s="120" t="s">
        <v>1168</v>
      </c>
      <c r="CV123" s="120" t="s">
        <v>1169</v>
      </c>
      <c r="CW123" s="120" t="s">
        <v>1170</v>
      </c>
      <c r="CX123" s="120" t="s">
        <v>1171</v>
      </c>
      <c r="CY123" s="120"/>
      <c r="CZ123" s="120"/>
      <c r="DA123" s="120"/>
      <c r="DB123" s="120"/>
      <c r="DC123" s="120"/>
      <c r="DD123" s="120"/>
      <c r="DE123" s="18"/>
      <c r="DF123" s="18"/>
    </row>
    <row r="124" spans="1:110" s="7" customFormat="1" x14ac:dyDescent="0.25">
      <c r="A124" s="19" t="s">
        <v>228</v>
      </c>
      <c r="B124" s="19" t="s">
        <v>80</v>
      </c>
      <c r="C124" s="19" t="str">
        <f t="shared" si="53"/>
        <v>11152905India</v>
      </c>
      <c r="D124" s="19">
        <v>11152905</v>
      </c>
      <c r="E124" s="19" t="s">
        <v>229</v>
      </c>
      <c r="F124" s="19" t="s">
        <v>2067</v>
      </c>
      <c r="G124" s="20" t="s">
        <v>229</v>
      </c>
      <c r="H124" s="136" t="s">
        <v>2234</v>
      </c>
      <c r="I124" s="19" t="s">
        <v>491</v>
      </c>
      <c r="J124" s="19" t="s">
        <v>487</v>
      </c>
      <c r="K124" s="19" t="s">
        <v>492</v>
      </c>
      <c r="L124" s="19" t="s">
        <v>361</v>
      </c>
      <c r="M124" s="19" t="s">
        <v>362</v>
      </c>
      <c r="N124" s="19" t="s">
        <v>284</v>
      </c>
      <c r="O124" s="19" t="s">
        <v>270</v>
      </c>
      <c r="P124" s="19" t="s">
        <v>285</v>
      </c>
      <c r="Q124" s="19" t="s">
        <v>223</v>
      </c>
      <c r="R124" s="19">
        <v>7750</v>
      </c>
      <c r="S124" s="19" t="s">
        <v>272</v>
      </c>
      <c r="T124" s="19" t="s">
        <v>488</v>
      </c>
      <c r="U124" s="20" t="s">
        <v>488</v>
      </c>
      <c r="V124" s="19" t="s">
        <v>1615</v>
      </c>
      <c r="W124" s="19" t="s">
        <v>219</v>
      </c>
      <c r="X124" s="35"/>
      <c r="Y124" s="35"/>
      <c r="Z124" s="32"/>
      <c r="AA124" s="22">
        <v>11</v>
      </c>
      <c r="AB124" s="22"/>
      <c r="AC124" s="22"/>
      <c r="AD124" s="22"/>
      <c r="AE124" s="60">
        <v>11</v>
      </c>
      <c r="AF124" s="22"/>
      <c r="AG124" s="40">
        <v>11</v>
      </c>
      <c r="AH124" s="24"/>
      <c r="AI124" s="24"/>
      <c r="AJ124" s="121"/>
      <c r="AK124" s="121"/>
      <c r="AL124" s="24"/>
      <c r="AM124" s="24"/>
      <c r="AN124" s="23">
        <f t="shared" si="54"/>
        <v>11</v>
      </c>
      <c r="AO124" s="25"/>
      <c r="AP124" s="25">
        <v>6</v>
      </c>
      <c r="AQ124" s="25">
        <v>5</v>
      </c>
      <c r="AR124" s="25"/>
      <c r="AS124" s="25">
        <f t="shared" si="55"/>
        <v>11</v>
      </c>
      <c r="AT124" s="13"/>
      <c r="AU124" s="21"/>
      <c r="AV124" s="21"/>
      <c r="AW124" s="21"/>
      <c r="AX124" s="21"/>
      <c r="AY124" s="21"/>
      <c r="AZ124" s="21"/>
      <c r="BA124" s="77"/>
      <c r="BB124" s="21"/>
      <c r="BC124" s="21"/>
      <c r="BD124" s="21"/>
      <c r="BE124" s="21"/>
      <c r="BF124" s="21">
        <v>2</v>
      </c>
      <c r="BG124" s="77"/>
      <c r="BH124" s="77"/>
      <c r="BI124" s="21">
        <v>2</v>
      </c>
      <c r="BJ124" s="21">
        <v>2</v>
      </c>
      <c r="BK124" s="21">
        <v>2</v>
      </c>
      <c r="BL124" s="21">
        <v>3</v>
      </c>
      <c r="BM124" s="21"/>
      <c r="BN124" s="21"/>
      <c r="BO124" s="77"/>
      <c r="BP124" s="21"/>
      <c r="BQ124" s="21"/>
      <c r="BR124" s="21"/>
      <c r="BS124" s="21"/>
      <c r="BT124" s="21"/>
      <c r="BU124" s="21"/>
      <c r="BV124" s="77"/>
      <c r="BW124" s="96">
        <f t="shared" si="48"/>
        <v>11</v>
      </c>
      <c r="BX124" s="94">
        <f t="shared" si="49"/>
        <v>0</v>
      </c>
      <c r="BY124" s="26"/>
      <c r="CA124" s="19" t="s">
        <v>229</v>
      </c>
      <c r="CB124" s="19" t="b">
        <f t="shared" si="52"/>
        <v>0</v>
      </c>
      <c r="CC124" s="19"/>
      <c r="CD124" s="19"/>
      <c r="CE124" s="120"/>
      <c r="CF124" s="120"/>
      <c r="CG124" s="120"/>
      <c r="CH124" s="120"/>
      <c r="CI124" s="120"/>
      <c r="CJ124" s="120"/>
      <c r="CK124" s="120"/>
      <c r="CL124" s="120"/>
      <c r="CM124" s="120"/>
      <c r="CN124" s="120"/>
      <c r="CO124" s="120"/>
      <c r="CP124" s="120"/>
      <c r="CQ124" s="120"/>
      <c r="CR124" s="120"/>
      <c r="CS124" s="120"/>
      <c r="CT124" s="120"/>
      <c r="CU124" s="120"/>
      <c r="CV124" s="120"/>
      <c r="CW124" s="120"/>
      <c r="CX124" s="120"/>
      <c r="CY124" s="120"/>
      <c r="CZ124" s="120"/>
      <c r="DA124" s="120"/>
      <c r="DB124" s="120"/>
      <c r="DC124" s="120"/>
      <c r="DD124" s="120"/>
      <c r="DE124" s="18"/>
      <c r="DF124" s="18"/>
    </row>
    <row r="125" spans="1:110" s="7" customFormat="1" x14ac:dyDescent="0.25">
      <c r="A125" s="19" t="s">
        <v>224</v>
      </c>
      <c r="B125" s="19" t="s">
        <v>224</v>
      </c>
      <c r="C125" s="19" t="str">
        <f t="shared" si="53"/>
        <v>11152967NPI Proj</v>
      </c>
      <c r="D125" s="19">
        <v>11152967</v>
      </c>
      <c r="E125" s="19" t="s">
        <v>229</v>
      </c>
      <c r="F125" s="19" t="s">
        <v>2067</v>
      </c>
      <c r="G125" s="20" t="s">
        <v>229</v>
      </c>
      <c r="H125" s="136" t="s">
        <v>2234</v>
      </c>
      <c r="I125" s="19" t="s">
        <v>491</v>
      </c>
      <c r="J125" s="19" t="s">
        <v>487</v>
      </c>
      <c r="K125" s="19" t="s">
        <v>492</v>
      </c>
      <c r="L125" s="19" t="s">
        <v>361</v>
      </c>
      <c r="M125" s="19" t="s">
        <v>362</v>
      </c>
      <c r="N125" s="19" t="s">
        <v>284</v>
      </c>
      <c r="O125" s="19" t="s">
        <v>270</v>
      </c>
      <c r="P125" s="19" t="s">
        <v>285</v>
      </c>
      <c r="Q125" s="19" t="s">
        <v>223</v>
      </c>
      <c r="R125" s="19">
        <v>7750</v>
      </c>
      <c r="S125" s="19" t="s">
        <v>1856</v>
      </c>
      <c r="T125" s="19" t="s">
        <v>488</v>
      </c>
      <c r="U125" s="20" t="s">
        <v>488</v>
      </c>
      <c r="V125" s="19" t="s">
        <v>1616</v>
      </c>
      <c r="W125" s="19"/>
      <c r="X125" s="35">
        <v>2</v>
      </c>
      <c r="Y125" s="35">
        <v>2</v>
      </c>
      <c r="Z125" s="32"/>
      <c r="AA125" s="22">
        <v>1</v>
      </c>
      <c r="AB125" s="22">
        <v>1</v>
      </c>
      <c r="AC125" s="22">
        <v>1</v>
      </c>
      <c r="AD125" s="22"/>
      <c r="AE125" s="60">
        <v>3</v>
      </c>
      <c r="AF125" s="22"/>
      <c r="AG125" s="40">
        <v>3</v>
      </c>
      <c r="AH125" s="24"/>
      <c r="AI125" s="24"/>
      <c r="AJ125" s="121"/>
      <c r="AK125" s="121"/>
      <c r="AL125" s="24"/>
      <c r="AM125" s="24"/>
      <c r="AN125" s="23">
        <f t="shared" si="54"/>
        <v>3</v>
      </c>
      <c r="AO125" s="25"/>
      <c r="AP125" s="25"/>
      <c r="AQ125" s="25"/>
      <c r="AR125" s="25"/>
      <c r="AS125" s="25">
        <f t="shared" si="55"/>
        <v>0</v>
      </c>
      <c r="AT125" s="13"/>
      <c r="AU125" s="21"/>
      <c r="AV125" s="21"/>
      <c r="AW125" s="21"/>
      <c r="AX125" s="21"/>
      <c r="AY125" s="21"/>
      <c r="AZ125" s="21"/>
      <c r="BA125" s="77"/>
      <c r="BB125" s="21"/>
      <c r="BC125" s="21"/>
      <c r="BD125" s="21"/>
      <c r="BE125" s="21"/>
      <c r="BF125" s="21"/>
      <c r="BG125" s="77"/>
      <c r="BH125" s="77"/>
      <c r="BI125" s="21"/>
      <c r="BJ125" s="21"/>
      <c r="BK125" s="21"/>
      <c r="BL125" s="21"/>
      <c r="BM125" s="21"/>
      <c r="BN125" s="21"/>
      <c r="BO125" s="77"/>
      <c r="BP125" s="21"/>
      <c r="BQ125" s="21"/>
      <c r="BR125" s="21"/>
      <c r="BS125" s="21"/>
      <c r="BT125" s="21"/>
      <c r="BU125" s="21"/>
      <c r="BV125" s="77"/>
      <c r="BW125" s="96">
        <f t="shared" si="48"/>
        <v>0</v>
      </c>
      <c r="BX125" s="94">
        <f t="shared" si="49"/>
        <v>0</v>
      </c>
      <c r="BY125" s="26" t="s">
        <v>2291</v>
      </c>
      <c r="CA125" s="19" t="s">
        <v>229</v>
      </c>
      <c r="CB125" s="19" t="b">
        <f t="shared" si="52"/>
        <v>0</v>
      </c>
      <c r="CC125" s="19"/>
      <c r="CD125" s="19"/>
      <c r="CE125" s="120"/>
      <c r="CF125" s="120"/>
      <c r="CG125" s="120"/>
      <c r="CH125" s="120"/>
      <c r="CI125" s="120"/>
      <c r="CJ125" s="120"/>
      <c r="CK125" s="120"/>
      <c r="CL125" s="120"/>
      <c r="CM125" s="120"/>
      <c r="CN125" s="120"/>
      <c r="CO125" s="120"/>
      <c r="CP125" s="120"/>
      <c r="CQ125" s="120"/>
      <c r="CR125" s="120"/>
      <c r="CS125" s="120"/>
      <c r="CT125" s="120"/>
      <c r="CU125" s="120"/>
      <c r="CV125" s="120"/>
      <c r="CW125" s="120"/>
      <c r="CX125" s="120"/>
      <c r="CY125" s="120"/>
      <c r="CZ125" s="120"/>
      <c r="DA125" s="120"/>
      <c r="DB125" s="120"/>
      <c r="DC125" s="120"/>
      <c r="DD125" s="120"/>
      <c r="DE125" s="18"/>
      <c r="DF125" s="18"/>
    </row>
    <row r="126" spans="1:110" s="7" customFormat="1" x14ac:dyDescent="0.25">
      <c r="A126" s="19" t="s">
        <v>224</v>
      </c>
      <c r="B126" s="19" t="s">
        <v>224</v>
      </c>
      <c r="C126" s="19" t="str">
        <f t="shared" si="53"/>
        <v>BPCH2002NPI Proj</v>
      </c>
      <c r="D126" s="19" t="s">
        <v>2065</v>
      </c>
      <c r="E126" s="19" t="s">
        <v>229</v>
      </c>
      <c r="F126" s="19" t="s">
        <v>2067</v>
      </c>
      <c r="G126" s="20" t="s">
        <v>229</v>
      </c>
      <c r="H126" s="136" t="s">
        <v>2234</v>
      </c>
      <c r="I126" s="19" t="s">
        <v>491</v>
      </c>
      <c r="J126" s="19" t="s">
        <v>487</v>
      </c>
      <c r="K126" s="19" t="s">
        <v>492</v>
      </c>
      <c r="L126" s="19" t="s">
        <v>361</v>
      </c>
      <c r="M126" s="19" t="s">
        <v>362</v>
      </c>
      <c r="N126" s="19" t="s">
        <v>284</v>
      </c>
      <c r="O126" s="19" t="s">
        <v>270</v>
      </c>
      <c r="P126" s="19" t="s">
        <v>285</v>
      </c>
      <c r="Q126" s="19" t="s">
        <v>223</v>
      </c>
      <c r="R126" s="19">
        <v>7750</v>
      </c>
      <c r="S126" s="19" t="s">
        <v>272</v>
      </c>
      <c r="T126" s="19" t="s">
        <v>488</v>
      </c>
      <c r="U126" s="20" t="s">
        <v>488</v>
      </c>
      <c r="V126" s="19" t="s">
        <v>2061</v>
      </c>
      <c r="W126" s="19"/>
      <c r="X126" s="35"/>
      <c r="Y126" s="35"/>
      <c r="Z126" s="32"/>
      <c r="AA126" s="22">
        <v>2</v>
      </c>
      <c r="AB126" s="22">
        <v>1</v>
      </c>
      <c r="AC126" s="22"/>
      <c r="AD126" s="22"/>
      <c r="AE126" s="60">
        <v>3</v>
      </c>
      <c r="AF126" s="22"/>
      <c r="AG126" s="40">
        <v>3</v>
      </c>
      <c r="AH126" s="24"/>
      <c r="AI126" s="24"/>
      <c r="AJ126" s="121"/>
      <c r="AK126" s="121"/>
      <c r="AL126" s="24"/>
      <c r="AM126" s="24"/>
      <c r="AN126" s="23">
        <f t="shared" si="54"/>
        <v>3</v>
      </c>
      <c r="AO126" s="25"/>
      <c r="AP126" s="25"/>
      <c r="AQ126" s="25"/>
      <c r="AR126" s="25"/>
      <c r="AS126" s="25">
        <f t="shared" si="55"/>
        <v>0</v>
      </c>
      <c r="AT126" s="13"/>
      <c r="AU126" s="21"/>
      <c r="AV126" s="21"/>
      <c r="AW126" s="21"/>
      <c r="AX126" s="21"/>
      <c r="AY126" s="21"/>
      <c r="AZ126" s="21"/>
      <c r="BA126" s="77"/>
      <c r="BB126" s="21"/>
      <c r="BC126" s="21"/>
      <c r="BD126" s="21"/>
      <c r="BE126" s="21"/>
      <c r="BF126" s="21"/>
      <c r="BG126" s="77"/>
      <c r="BH126" s="77"/>
      <c r="BI126" s="21"/>
      <c r="BJ126" s="21"/>
      <c r="BK126" s="21"/>
      <c r="BL126" s="21"/>
      <c r="BM126" s="21"/>
      <c r="BN126" s="21"/>
      <c r="BO126" s="77"/>
      <c r="BP126" s="21"/>
      <c r="BQ126" s="21"/>
      <c r="BR126" s="21"/>
      <c r="BS126" s="21"/>
      <c r="BT126" s="21"/>
      <c r="BU126" s="21"/>
      <c r="BV126" s="77"/>
      <c r="BW126" s="96">
        <f t="shared" si="48"/>
        <v>0</v>
      </c>
      <c r="BX126" s="94">
        <f t="shared" si="49"/>
        <v>0</v>
      </c>
      <c r="BY126" s="26" t="s">
        <v>2291</v>
      </c>
      <c r="CA126" s="19" t="s">
        <v>229</v>
      </c>
      <c r="CB126" s="19" t="b">
        <f t="shared" si="52"/>
        <v>0</v>
      </c>
      <c r="CC126" s="19"/>
      <c r="CD126" s="19"/>
      <c r="CE126" s="120"/>
      <c r="CF126" s="120"/>
      <c r="CG126" s="120"/>
      <c r="CH126" s="120"/>
      <c r="CI126" s="120"/>
      <c r="CJ126" s="120"/>
      <c r="CK126" s="120"/>
      <c r="CL126" s="120"/>
      <c r="CM126" s="120"/>
      <c r="CN126" s="120"/>
      <c r="CO126" s="120"/>
      <c r="CP126" s="120"/>
      <c r="CQ126" s="120"/>
      <c r="CR126" s="120"/>
      <c r="CS126" s="120"/>
      <c r="CT126" s="120"/>
      <c r="CU126" s="120"/>
      <c r="CV126" s="120"/>
      <c r="CW126" s="120"/>
      <c r="CX126" s="120"/>
      <c r="CY126" s="120"/>
      <c r="CZ126" s="120"/>
      <c r="DA126" s="120"/>
      <c r="DB126" s="120"/>
      <c r="DC126" s="120"/>
      <c r="DD126" s="120"/>
      <c r="DE126" s="18"/>
      <c r="DF126" s="18"/>
    </row>
    <row r="127" spans="1:110" s="7" customFormat="1" x14ac:dyDescent="0.25">
      <c r="A127" s="19" t="s">
        <v>224</v>
      </c>
      <c r="B127" s="19" t="s">
        <v>224</v>
      </c>
      <c r="C127" s="19" t="str">
        <f t="shared" si="53"/>
        <v>10153270PNPI Proj</v>
      </c>
      <c r="D127" s="19" t="s">
        <v>1567</v>
      </c>
      <c r="E127" s="19" t="s">
        <v>229</v>
      </c>
      <c r="F127" s="19" t="s">
        <v>2067</v>
      </c>
      <c r="G127" s="20" t="s">
        <v>229</v>
      </c>
      <c r="H127" s="136" t="s">
        <v>2234</v>
      </c>
      <c r="I127" s="19" t="s">
        <v>491</v>
      </c>
      <c r="J127" s="19" t="s">
        <v>487</v>
      </c>
      <c r="K127" s="19" t="s">
        <v>492</v>
      </c>
      <c r="L127" s="19" t="s">
        <v>361</v>
      </c>
      <c r="M127" s="19" t="s">
        <v>362</v>
      </c>
      <c r="N127" s="19" t="s">
        <v>284</v>
      </c>
      <c r="O127" s="19" t="s">
        <v>270</v>
      </c>
      <c r="P127" s="19" t="s">
        <v>285</v>
      </c>
      <c r="Q127" s="19" t="s">
        <v>223</v>
      </c>
      <c r="R127" s="19">
        <v>7750</v>
      </c>
      <c r="S127" s="19" t="s">
        <v>272</v>
      </c>
      <c r="T127" s="19" t="s">
        <v>488</v>
      </c>
      <c r="U127" s="20" t="s">
        <v>488</v>
      </c>
      <c r="V127" s="19" t="s">
        <v>2203</v>
      </c>
      <c r="W127" s="19"/>
      <c r="X127" s="35"/>
      <c r="Y127" s="35"/>
      <c r="Z127" s="32"/>
      <c r="AA127" s="22"/>
      <c r="AB127" s="22">
        <v>2</v>
      </c>
      <c r="AC127" s="22"/>
      <c r="AD127" s="22"/>
      <c r="AE127" s="60">
        <v>2</v>
      </c>
      <c r="AF127" s="22"/>
      <c r="AG127" s="40">
        <v>2</v>
      </c>
      <c r="AH127" s="24"/>
      <c r="AI127" s="24"/>
      <c r="AJ127" s="121"/>
      <c r="AK127" s="121"/>
      <c r="AL127" s="24"/>
      <c r="AM127" s="24"/>
      <c r="AN127" s="23">
        <f t="shared" si="54"/>
        <v>2</v>
      </c>
      <c r="AO127" s="25"/>
      <c r="AP127" s="25"/>
      <c r="AQ127" s="25"/>
      <c r="AR127" s="25"/>
      <c r="AS127" s="25">
        <f t="shared" si="55"/>
        <v>0</v>
      </c>
      <c r="AT127" s="13"/>
      <c r="AU127" s="21"/>
      <c r="AV127" s="21"/>
      <c r="AW127" s="21"/>
      <c r="AX127" s="21"/>
      <c r="AY127" s="21"/>
      <c r="AZ127" s="21"/>
      <c r="BA127" s="77"/>
      <c r="BB127" s="21"/>
      <c r="BC127" s="21"/>
      <c r="BD127" s="21"/>
      <c r="BE127" s="21"/>
      <c r="BF127" s="21"/>
      <c r="BG127" s="77"/>
      <c r="BH127" s="77"/>
      <c r="BI127" s="21"/>
      <c r="BJ127" s="21"/>
      <c r="BK127" s="21"/>
      <c r="BL127" s="21"/>
      <c r="BM127" s="21"/>
      <c r="BN127" s="21"/>
      <c r="BO127" s="77"/>
      <c r="BP127" s="21"/>
      <c r="BQ127" s="21"/>
      <c r="BR127" s="21"/>
      <c r="BS127" s="21"/>
      <c r="BT127" s="21"/>
      <c r="BU127" s="21"/>
      <c r="BV127" s="77"/>
      <c r="BW127" s="96">
        <f t="shared" si="48"/>
        <v>0</v>
      </c>
      <c r="BX127" s="94">
        <f t="shared" si="49"/>
        <v>0</v>
      </c>
      <c r="BY127" s="26" t="s">
        <v>2291</v>
      </c>
      <c r="CA127" s="19" t="s">
        <v>229</v>
      </c>
      <c r="CB127" s="19" t="b">
        <f t="shared" si="52"/>
        <v>0</v>
      </c>
      <c r="CC127" s="19"/>
      <c r="CD127" s="19"/>
      <c r="CE127" s="120"/>
      <c r="CF127" s="120"/>
      <c r="CG127" s="120"/>
      <c r="CH127" s="120"/>
      <c r="CI127" s="120"/>
      <c r="CJ127" s="120"/>
      <c r="CK127" s="120"/>
      <c r="CL127" s="120"/>
      <c r="CM127" s="120"/>
      <c r="CN127" s="120"/>
      <c r="CO127" s="120"/>
      <c r="CP127" s="120"/>
      <c r="CQ127" s="120"/>
      <c r="CR127" s="120"/>
      <c r="CS127" s="120"/>
      <c r="CT127" s="120"/>
      <c r="CU127" s="120"/>
      <c r="CV127" s="120"/>
      <c r="CW127" s="120"/>
      <c r="CX127" s="120"/>
      <c r="CY127" s="120"/>
      <c r="CZ127" s="120"/>
      <c r="DA127" s="120"/>
      <c r="DB127" s="120"/>
      <c r="DC127" s="120"/>
      <c r="DD127" s="120"/>
      <c r="DE127" s="18"/>
      <c r="DF127" s="18"/>
    </row>
    <row r="128" spans="1:110" s="7" customFormat="1" x14ac:dyDescent="0.25">
      <c r="A128" s="19" t="s">
        <v>224</v>
      </c>
      <c r="B128" s="19" t="s">
        <v>224</v>
      </c>
      <c r="C128" s="19" t="str">
        <f t="shared" si="53"/>
        <v>10153271PNPI Proj</v>
      </c>
      <c r="D128" s="19" t="s">
        <v>1566</v>
      </c>
      <c r="E128" s="19" t="s">
        <v>229</v>
      </c>
      <c r="F128" s="19" t="s">
        <v>2067</v>
      </c>
      <c r="G128" s="20" t="s">
        <v>229</v>
      </c>
      <c r="H128" s="136" t="s">
        <v>2234</v>
      </c>
      <c r="I128" s="19" t="s">
        <v>491</v>
      </c>
      <c r="J128" s="19" t="s">
        <v>487</v>
      </c>
      <c r="K128" s="19" t="s">
        <v>492</v>
      </c>
      <c r="L128" s="19" t="s">
        <v>361</v>
      </c>
      <c r="M128" s="19" t="s">
        <v>362</v>
      </c>
      <c r="N128" s="19" t="s">
        <v>284</v>
      </c>
      <c r="O128" s="19" t="s">
        <v>270</v>
      </c>
      <c r="P128" s="19" t="s">
        <v>285</v>
      </c>
      <c r="Q128" s="19" t="s">
        <v>223</v>
      </c>
      <c r="R128" s="19">
        <v>7750</v>
      </c>
      <c r="S128" s="19" t="s">
        <v>272</v>
      </c>
      <c r="T128" s="19" t="s">
        <v>488</v>
      </c>
      <c r="U128" s="20" t="s">
        <v>488</v>
      </c>
      <c r="V128" s="19" t="s">
        <v>2231</v>
      </c>
      <c r="W128" s="19"/>
      <c r="X128" s="35"/>
      <c r="Y128" s="35"/>
      <c r="Z128" s="32"/>
      <c r="AA128" s="22">
        <v>1</v>
      </c>
      <c r="AB128" s="22"/>
      <c r="AC128" s="22"/>
      <c r="AD128" s="22"/>
      <c r="AE128" s="60">
        <v>1</v>
      </c>
      <c r="AF128" s="22"/>
      <c r="AG128" s="40">
        <v>1</v>
      </c>
      <c r="AH128" s="24"/>
      <c r="AI128" s="24"/>
      <c r="AJ128" s="121"/>
      <c r="AK128" s="121"/>
      <c r="AL128" s="24"/>
      <c r="AM128" s="24"/>
      <c r="AN128" s="23">
        <f t="shared" si="54"/>
        <v>1</v>
      </c>
      <c r="AO128" s="25"/>
      <c r="AP128" s="25"/>
      <c r="AQ128" s="25"/>
      <c r="AR128" s="25"/>
      <c r="AS128" s="25">
        <f t="shared" si="55"/>
        <v>0</v>
      </c>
      <c r="AT128" s="13"/>
      <c r="AU128" s="21"/>
      <c r="AV128" s="21"/>
      <c r="AW128" s="21"/>
      <c r="AX128" s="21"/>
      <c r="AY128" s="21"/>
      <c r="AZ128" s="21"/>
      <c r="BA128" s="77"/>
      <c r="BB128" s="21"/>
      <c r="BC128" s="21"/>
      <c r="BD128" s="21"/>
      <c r="BE128" s="21"/>
      <c r="BF128" s="21"/>
      <c r="BG128" s="77"/>
      <c r="BH128" s="77"/>
      <c r="BI128" s="21"/>
      <c r="BJ128" s="21"/>
      <c r="BK128" s="21"/>
      <c r="BL128" s="21"/>
      <c r="BM128" s="21"/>
      <c r="BN128" s="21"/>
      <c r="BO128" s="77"/>
      <c r="BP128" s="21"/>
      <c r="BQ128" s="21"/>
      <c r="BR128" s="21"/>
      <c r="BS128" s="21"/>
      <c r="BT128" s="21"/>
      <c r="BU128" s="21"/>
      <c r="BV128" s="77"/>
      <c r="BW128" s="96">
        <f t="shared" si="48"/>
        <v>0</v>
      </c>
      <c r="BX128" s="94">
        <f t="shared" si="49"/>
        <v>0</v>
      </c>
      <c r="BY128" s="26" t="s">
        <v>2293</v>
      </c>
      <c r="CA128" s="19" t="s">
        <v>229</v>
      </c>
      <c r="CB128" s="19" t="b">
        <f t="shared" si="52"/>
        <v>0</v>
      </c>
      <c r="CC128" s="19"/>
      <c r="CD128" s="19"/>
      <c r="CE128" s="120"/>
      <c r="CF128" s="120"/>
      <c r="CG128" s="120"/>
      <c r="CH128" s="120"/>
      <c r="CI128" s="120"/>
      <c r="CJ128" s="120"/>
      <c r="CK128" s="120"/>
      <c r="CL128" s="120"/>
      <c r="CM128" s="120"/>
      <c r="CN128" s="120"/>
      <c r="CO128" s="120"/>
      <c r="CP128" s="120"/>
      <c r="CQ128" s="120"/>
      <c r="CR128" s="120"/>
      <c r="CS128" s="120"/>
      <c r="CT128" s="120"/>
      <c r="CU128" s="120"/>
      <c r="CV128" s="120"/>
      <c r="CW128" s="120"/>
      <c r="CX128" s="120"/>
      <c r="CY128" s="120"/>
      <c r="CZ128" s="120"/>
      <c r="DA128" s="120"/>
      <c r="DB128" s="120"/>
      <c r="DC128" s="120"/>
      <c r="DD128" s="120"/>
      <c r="DE128" s="18"/>
      <c r="DF128" s="18"/>
    </row>
    <row r="129" spans="1:110" s="7" customFormat="1" x14ac:dyDescent="0.25">
      <c r="A129" s="19" t="s">
        <v>74</v>
      </c>
      <c r="B129" s="19" t="s">
        <v>2178</v>
      </c>
      <c r="C129" s="19" t="str">
        <f t="shared" si="53"/>
        <v>91906425Office of Dy. Chief Material UP</v>
      </c>
      <c r="D129" s="19">
        <v>91906425</v>
      </c>
      <c r="E129" s="19" t="s">
        <v>292</v>
      </c>
      <c r="F129" s="19" t="s">
        <v>2067</v>
      </c>
      <c r="G129" s="20" t="s">
        <v>292</v>
      </c>
      <c r="H129" s="136">
        <v>186</v>
      </c>
      <c r="I129" s="19" t="s">
        <v>230</v>
      </c>
      <c r="J129" s="19" t="s">
        <v>288</v>
      </c>
      <c r="K129" s="19" t="s">
        <v>290</v>
      </c>
      <c r="L129" s="19" t="s">
        <v>245</v>
      </c>
      <c r="M129" s="19" t="s">
        <v>234</v>
      </c>
      <c r="N129" s="19" t="s">
        <v>284</v>
      </c>
      <c r="O129" s="19" t="s">
        <v>293</v>
      </c>
      <c r="P129" s="19" t="s">
        <v>285</v>
      </c>
      <c r="Q129" s="19" t="s">
        <v>291</v>
      </c>
      <c r="R129" s="19">
        <v>7800</v>
      </c>
      <c r="S129" s="19" t="s">
        <v>239</v>
      </c>
      <c r="T129" s="19" t="s">
        <v>287</v>
      </c>
      <c r="U129" s="20" t="s">
        <v>287</v>
      </c>
      <c r="V129" s="19" t="s">
        <v>2029</v>
      </c>
      <c r="W129" s="19" t="s">
        <v>219</v>
      </c>
      <c r="X129" s="35"/>
      <c r="Y129" s="35"/>
      <c r="Z129" s="32"/>
      <c r="AA129" s="22"/>
      <c r="AB129" s="22">
        <v>1</v>
      </c>
      <c r="AC129" s="22"/>
      <c r="AD129" s="22"/>
      <c r="AE129" s="60">
        <f t="shared" ref="AE129:AE154" si="58">SUM(AA129:AD129)</f>
        <v>1</v>
      </c>
      <c r="AF129" s="22"/>
      <c r="AG129" s="40">
        <f t="shared" ref="AG129:AG154" si="59">AE129+AF129</f>
        <v>1</v>
      </c>
      <c r="AH129" s="24"/>
      <c r="AI129" s="24"/>
      <c r="AJ129" s="121"/>
      <c r="AK129" s="121"/>
      <c r="AL129" s="24"/>
      <c r="AM129" s="24"/>
      <c r="AN129" s="23">
        <f t="shared" si="54"/>
        <v>1</v>
      </c>
      <c r="AO129" s="25"/>
      <c r="AP129" s="25">
        <v>1</v>
      </c>
      <c r="AQ129" s="25"/>
      <c r="AR129" s="25"/>
      <c r="AS129" s="25">
        <f t="shared" si="55"/>
        <v>1</v>
      </c>
      <c r="AT129" s="13"/>
      <c r="AU129" s="21"/>
      <c r="AV129" s="21"/>
      <c r="AW129" s="21"/>
      <c r="AX129" s="21"/>
      <c r="AY129" s="21"/>
      <c r="AZ129" s="21"/>
      <c r="BA129" s="77"/>
      <c r="BB129" s="21"/>
      <c r="BC129" s="21"/>
      <c r="BD129" s="21"/>
      <c r="BE129" s="21">
        <v>1</v>
      </c>
      <c r="BF129" s="21"/>
      <c r="BG129" s="77"/>
      <c r="BH129" s="77"/>
      <c r="BI129" s="21"/>
      <c r="BJ129" s="21"/>
      <c r="BK129" s="21"/>
      <c r="BL129" s="21"/>
      <c r="BM129" s="21"/>
      <c r="BN129" s="21"/>
      <c r="BO129" s="77"/>
      <c r="BP129" s="21"/>
      <c r="BQ129" s="21"/>
      <c r="BR129" s="21"/>
      <c r="BS129" s="21"/>
      <c r="BT129" s="21"/>
      <c r="BU129" s="21"/>
      <c r="BV129" s="77"/>
      <c r="BW129" s="96">
        <f t="shared" si="48"/>
        <v>1</v>
      </c>
      <c r="BX129" s="94">
        <f t="shared" si="49"/>
        <v>0</v>
      </c>
      <c r="BY129" s="26"/>
      <c r="CA129" s="137" t="s">
        <v>292</v>
      </c>
      <c r="CB129" s="19" t="b">
        <f t="shared" si="52"/>
        <v>1</v>
      </c>
      <c r="CC129" s="19" t="s">
        <v>292</v>
      </c>
      <c r="CD129" s="19" t="s">
        <v>1205</v>
      </c>
      <c r="CE129" s="120" t="s">
        <v>1189</v>
      </c>
      <c r="CF129" s="120" t="s">
        <v>1190</v>
      </c>
      <c r="CG129" s="120" t="s">
        <v>1191</v>
      </c>
      <c r="CH129" s="120" t="s">
        <v>1673</v>
      </c>
      <c r="CI129" s="120" t="s">
        <v>1192</v>
      </c>
      <c r="CJ129" s="120" t="s">
        <v>1193</v>
      </c>
      <c r="CK129" s="120" t="s">
        <v>1194</v>
      </c>
      <c r="CL129" s="120" t="s">
        <v>1195</v>
      </c>
      <c r="CM129" s="120" t="s">
        <v>1196</v>
      </c>
      <c r="CN129" s="120" t="s">
        <v>1674</v>
      </c>
      <c r="CO129" s="120" t="s">
        <v>2251</v>
      </c>
      <c r="CP129" s="120" t="s">
        <v>1198</v>
      </c>
      <c r="CQ129" s="120" t="s">
        <v>1199</v>
      </c>
      <c r="CR129" s="120" t="s">
        <v>1200</v>
      </c>
      <c r="CS129" s="120" t="s">
        <v>1201</v>
      </c>
      <c r="CT129" s="120" t="s">
        <v>1202</v>
      </c>
      <c r="CU129" s="120" t="s">
        <v>1203</v>
      </c>
      <c r="CV129" s="120" t="s">
        <v>1204</v>
      </c>
      <c r="CW129" s="120"/>
      <c r="CX129" s="120"/>
      <c r="CY129" s="120"/>
      <c r="CZ129" s="120"/>
      <c r="DA129" s="120"/>
      <c r="DB129" s="120"/>
      <c r="DC129" s="120"/>
      <c r="DD129" s="120"/>
      <c r="DE129" s="18"/>
      <c r="DF129" s="18"/>
    </row>
    <row r="130" spans="1:110" s="7" customFormat="1" x14ac:dyDescent="0.25">
      <c r="A130" s="19" t="s">
        <v>228</v>
      </c>
      <c r="B130" s="19" t="s">
        <v>80</v>
      </c>
      <c r="C130" s="19" t="str">
        <f t="shared" si="53"/>
        <v>91906425India</v>
      </c>
      <c r="D130" s="19">
        <v>91906425</v>
      </c>
      <c r="E130" s="19" t="s">
        <v>292</v>
      </c>
      <c r="F130" s="19" t="s">
        <v>2067</v>
      </c>
      <c r="G130" s="20" t="s">
        <v>292</v>
      </c>
      <c r="H130" s="136">
        <v>186</v>
      </c>
      <c r="I130" s="19" t="s">
        <v>230</v>
      </c>
      <c r="J130" s="19" t="s">
        <v>288</v>
      </c>
      <c r="K130" s="19" t="s">
        <v>290</v>
      </c>
      <c r="L130" s="19" t="s">
        <v>245</v>
      </c>
      <c r="M130" s="19" t="s">
        <v>234</v>
      </c>
      <c r="N130" s="19" t="s">
        <v>284</v>
      </c>
      <c r="O130" s="19" t="s">
        <v>293</v>
      </c>
      <c r="P130" s="19" t="s">
        <v>285</v>
      </c>
      <c r="Q130" s="19" t="s">
        <v>291</v>
      </c>
      <c r="R130" s="19">
        <v>7800</v>
      </c>
      <c r="S130" s="19" t="s">
        <v>239</v>
      </c>
      <c r="T130" s="19" t="s">
        <v>287</v>
      </c>
      <c r="U130" s="20" t="s">
        <v>287</v>
      </c>
      <c r="V130" s="19" t="s">
        <v>110</v>
      </c>
      <c r="W130" s="19" t="s">
        <v>2199</v>
      </c>
      <c r="X130" s="35">
        <v>10</v>
      </c>
      <c r="Y130" s="35">
        <v>15</v>
      </c>
      <c r="Z130" s="32"/>
      <c r="AA130" s="22">
        <v>3</v>
      </c>
      <c r="AB130" s="22">
        <v>2</v>
      </c>
      <c r="AC130" s="22">
        <v>2</v>
      </c>
      <c r="AD130" s="22">
        <v>1</v>
      </c>
      <c r="AE130" s="60">
        <f t="shared" si="58"/>
        <v>8</v>
      </c>
      <c r="AF130" s="22"/>
      <c r="AG130" s="40">
        <f t="shared" si="59"/>
        <v>8</v>
      </c>
      <c r="AH130" s="24"/>
      <c r="AI130" s="24"/>
      <c r="AJ130" s="121"/>
      <c r="AK130" s="121"/>
      <c r="AL130" s="24">
        <v>10</v>
      </c>
      <c r="AM130" s="24"/>
      <c r="AN130" s="23">
        <f t="shared" si="54"/>
        <v>18</v>
      </c>
      <c r="AO130" s="25"/>
      <c r="AP130" s="25"/>
      <c r="AQ130" s="25">
        <v>9</v>
      </c>
      <c r="AR130" s="25">
        <v>9</v>
      </c>
      <c r="AS130" s="25">
        <f t="shared" si="55"/>
        <v>18</v>
      </c>
      <c r="AT130" s="13"/>
      <c r="AU130" s="21"/>
      <c r="AV130" s="21"/>
      <c r="AW130" s="21"/>
      <c r="AX130" s="21"/>
      <c r="AY130" s="21"/>
      <c r="AZ130" s="21"/>
      <c r="BA130" s="77"/>
      <c r="BB130" s="21"/>
      <c r="BC130" s="21"/>
      <c r="BD130" s="21"/>
      <c r="BE130" s="21"/>
      <c r="BF130" s="21"/>
      <c r="BG130" s="77"/>
      <c r="BH130" s="77"/>
      <c r="BI130" s="21"/>
      <c r="BJ130" s="21"/>
      <c r="BK130" s="21">
        <v>4</v>
      </c>
      <c r="BL130" s="21">
        <v>4</v>
      </c>
      <c r="BM130" s="21"/>
      <c r="BN130" s="21"/>
      <c r="BO130" s="77"/>
      <c r="BP130" s="21"/>
      <c r="BQ130" s="21"/>
      <c r="BR130" s="21"/>
      <c r="BS130" s="21"/>
      <c r="BT130" s="21"/>
      <c r="BU130" s="21">
        <v>3</v>
      </c>
      <c r="BV130" s="77"/>
      <c r="BW130" s="96">
        <f t="shared" si="48"/>
        <v>11</v>
      </c>
      <c r="BX130" s="94">
        <f t="shared" si="49"/>
        <v>7</v>
      </c>
      <c r="BY130" s="26"/>
      <c r="CA130" s="137" t="s">
        <v>292</v>
      </c>
      <c r="CB130" s="19" t="b">
        <f t="shared" ref="CB130:CB154" si="60">CC130=CA130</f>
        <v>1</v>
      </c>
      <c r="CC130" s="19" t="s">
        <v>292</v>
      </c>
      <c r="CD130" s="19" t="s">
        <v>1205</v>
      </c>
      <c r="CE130" s="120" t="s">
        <v>1189</v>
      </c>
      <c r="CF130" s="120" t="s">
        <v>1190</v>
      </c>
      <c r="CG130" s="120" t="s">
        <v>1191</v>
      </c>
      <c r="CH130" s="120" t="s">
        <v>1673</v>
      </c>
      <c r="CI130" s="120" t="s">
        <v>1192</v>
      </c>
      <c r="CJ130" s="120" t="s">
        <v>1193</v>
      </c>
      <c r="CK130" s="120" t="s">
        <v>1194</v>
      </c>
      <c r="CL130" s="120" t="s">
        <v>1195</v>
      </c>
      <c r="CM130" s="120" t="s">
        <v>1196</v>
      </c>
      <c r="CN130" s="120" t="s">
        <v>1674</v>
      </c>
      <c r="CO130" s="120" t="s">
        <v>2251</v>
      </c>
      <c r="CP130" s="120" t="s">
        <v>1198</v>
      </c>
      <c r="CQ130" s="120" t="s">
        <v>1199</v>
      </c>
      <c r="CR130" s="120" t="s">
        <v>1200</v>
      </c>
      <c r="CS130" s="120" t="s">
        <v>1201</v>
      </c>
      <c r="CT130" s="120" t="s">
        <v>1202</v>
      </c>
      <c r="CU130" s="120" t="s">
        <v>1203</v>
      </c>
      <c r="CV130" s="120" t="s">
        <v>1204</v>
      </c>
      <c r="CW130" s="120"/>
      <c r="CX130" s="120"/>
      <c r="CY130" s="120"/>
      <c r="CZ130" s="120"/>
      <c r="DA130" s="120"/>
      <c r="DB130" s="120"/>
      <c r="DC130" s="120"/>
      <c r="DD130" s="120"/>
      <c r="DE130" s="18"/>
      <c r="DF130" s="18"/>
    </row>
    <row r="131" spans="1:110" s="7" customFormat="1" x14ac:dyDescent="0.25">
      <c r="A131" s="19" t="s">
        <v>224</v>
      </c>
      <c r="B131" s="19" t="s">
        <v>224</v>
      </c>
      <c r="C131" s="19" t="str">
        <f t="shared" ref="C131:C155" si="61">D131&amp;B131</f>
        <v>91906425NPI Proj</v>
      </c>
      <c r="D131" s="19">
        <v>91906425</v>
      </c>
      <c r="E131" s="19" t="s">
        <v>292</v>
      </c>
      <c r="F131" s="19" t="s">
        <v>2067</v>
      </c>
      <c r="G131" s="20" t="s">
        <v>292</v>
      </c>
      <c r="H131" s="136">
        <v>186</v>
      </c>
      <c r="I131" s="19" t="s">
        <v>230</v>
      </c>
      <c r="J131" s="19" t="s">
        <v>288</v>
      </c>
      <c r="K131" s="19" t="s">
        <v>290</v>
      </c>
      <c r="L131" s="19" t="s">
        <v>245</v>
      </c>
      <c r="M131" s="19" t="s">
        <v>234</v>
      </c>
      <c r="N131" s="19" t="s">
        <v>284</v>
      </c>
      <c r="O131" s="19" t="s">
        <v>293</v>
      </c>
      <c r="P131" s="19" t="s">
        <v>285</v>
      </c>
      <c r="Q131" s="19" t="s">
        <v>291</v>
      </c>
      <c r="R131" s="19">
        <v>7800</v>
      </c>
      <c r="S131" s="19" t="s">
        <v>239</v>
      </c>
      <c r="T131" s="19" t="s">
        <v>287</v>
      </c>
      <c r="U131" s="20" t="s">
        <v>287</v>
      </c>
      <c r="V131" s="19" t="s">
        <v>2029</v>
      </c>
      <c r="W131" s="19"/>
      <c r="X131" s="35"/>
      <c r="Y131" s="35"/>
      <c r="Z131" s="32"/>
      <c r="AA131" s="22">
        <v>1</v>
      </c>
      <c r="AB131" s="22"/>
      <c r="AC131" s="22"/>
      <c r="AD131" s="22"/>
      <c r="AE131" s="60">
        <f t="shared" si="58"/>
        <v>1</v>
      </c>
      <c r="AF131" s="22"/>
      <c r="AG131" s="40">
        <f t="shared" si="59"/>
        <v>1</v>
      </c>
      <c r="AH131" s="24"/>
      <c r="AI131" s="24"/>
      <c r="AJ131" s="121"/>
      <c r="AK131" s="121"/>
      <c r="AL131" s="24"/>
      <c r="AM131" s="24"/>
      <c r="AN131" s="23">
        <f t="shared" ref="AN131:AN155" si="62">AG131-AJ131-AK131+AL131+AM131</f>
        <v>1</v>
      </c>
      <c r="AO131" s="25"/>
      <c r="AP131" s="25"/>
      <c r="AQ131" s="25">
        <v>1</v>
      </c>
      <c r="AR131" s="25"/>
      <c r="AS131" s="25">
        <f t="shared" ref="AS131:AS155" si="63">SUM(AO131:AR131)</f>
        <v>1</v>
      </c>
      <c r="AT131" s="13"/>
      <c r="AU131" s="21"/>
      <c r="AV131" s="21"/>
      <c r="AW131" s="21"/>
      <c r="AX131" s="21"/>
      <c r="AY131" s="21"/>
      <c r="AZ131" s="21"/>
      <c r="BA131" s="77"/>
      <c r="BB131" s="21"/>
      <c r="BC131" s="21"/>
      <c r="BD131" s="21"/>
      <c r="BE131" s="21"/>
      <c r="BF131" s="21"/>
      <c r="BG131" s="77"/>
      <c r="BH131" s="77"/>
      <c r="BI131" s="21"/>
      <c r="BJ131" s="21"/>
      <c r="BK131" s="21"/>
      <c r="BL131" s="21"/>
      <c r="BM131" s="21">
        <v>1</v>
      </c>
      <c r="BN131" s="21"/>
      <c r="BO131" s="77"/>
      <c r="BP131" s="21"/>
      <c r="BQ131" s="21"/>
      <c r="BR131" s="21"/>
      <c r="BS131" s="21"/>
      <c r="BT131" s="21"/>
      <c r="BU131" s="21"/>
      <c r="BV131" s="77"/>
      <c r="BW131" s="96">
        <f t="shared" si="48"/>
        <v>1</v>
      </c>
      <c r="BX131" s="94">
        <f t="shared" si="49"/>
        <v>0</v>
      </c>
      <c r="BY131" s="26"/>
      <c r="CA131" s="137" t="s">
        <v>292</v>
      </c>
      <c r="CB131" s="19" t="b">
        <f t="shared" si="60"/>
        <v>1</v>
      </c>
      <c r="CC131" s="19" t="s">
        <v>292</v>
      </c>
      <c r="CD131" s="19" t="s">
        <v>1205</v>
      </c>
      <c r="CE131" s="120" t="s">
        <v>1189</v>
      </c>
      <c r="CF131" s="120" t="s">
        <v>1190</v>
      </c>
      <c r="CG131" s="120" t="s">
        <v>1191</v>
      </c>
      <c r="CH131" s="120" t="s">
        <v>1673</v>
      </c>
      <c r="CI131" s="120" t="s">
        <v>1192</v>
      </c>
      <c r="CJ131" s="120" t="s">
        <v>1193</v>
      </c>
      <c r="CK131" s="120" t="s">
        <v>1194</v>
      </c>
      <c r="CL131" s="120" t="s">
        <v>1195</v>
      </c>
      <c r="CM131" s="120" t="s">
        <v>1196</v>
      </c>
      <c r="CN131" s="120" t="s">
        <v>1674</v>
      </c>
      <c r="CO131" s="120" t="s">
        <v>2251</v>
      </c>
      <c r="CP131" s="120" t="s">
        <v>1198</v>
      </c>
      <c r="CQ131" s="120" t="s">
        <v>1199</v>
      </c>
      <c r="CR131" s="120" t="s">
        <v>1200</v>
      </c>
      <c r="CS131" s="120" t="s">
        <v>1201</v>
      </c>
      <c r="CT131" s="120" t="s">
        <v>1202</v>
      </c>
      <c r="CU131" s="120" t="s">
        <v>1203</v>
      </c>
      <c r="CV131" s="120" t="s">
        <v>1204</v>
      </c>
      <c r="CW131" s="120"/>
      <c r="CX131" s="120"/>
      <c r="CY131" s="120"/>
      <c r="CZ131" s="120"/>
      <c r="DA131" s="120"/>
      <c r="DB131" s="120"/>
      <c r="DC131" s="120"/>
      <c r="DD131" s="120"/>
      <c r="DE131" s="18"/>
      <c r="DF131" s="18"/>
    </row>
    <row r="132" spans="1:110" s="7" customFormat="1" x14ac:dyDescent="0.25">
      <c r="A132" s="19" t="s">
        <v>81</v>
      </c>
      <c r="B132" s="19" t="s">
        <v>1740</v>
      </c>
      <c r="C132" s="19" t="str">
        <f t="shared" si="61"/>
        <v>83453876UGANDA</v>
      </c>
      <c r="D132" s="19">
        <v>83453876</v>
      </c>
      <c r="E132" s="19" t="s">
        <v>2219</v>
      </c>
      <c r="F132" s="19" t="s">
        <v>2067</v>
      </c>
      <c r="G132" s="20" t="s">
        <v>2219</v>
      </c>
      <c r="H132" s="136" t="s">
        <v>2234</v>
      </c>
      <c r="I132" s="19" t="s">
        <v>230</v>
      </c>
      <c r="J132" s="19" t="s">
        <v>322</v>
      </c>
      <c r="K132" s="19" t="s">
        <v>372</v>
      </c>
      <c r="L132" s="19" t="s">
        <v>282</v>
      </c>
      <c r="M132" s="19" t="s">
        <v>234</v>
      </c>
      <c r="N132" s="19" t="s">
        <v>284</v>
      </c>
      <c r="O132" s="19" t="s">
        <v>335</v>
      </c>
      <c r="P132" s="19" t="s">
        <v>285</v>
      </c>
      <c r="Q132" s="19" t="s">
        <v>373</v>
      </c>
      <c r="R132" s="19">
        <v>7900</v>
      </c>
      <c r="S132" s="19" t="s">
        <v>239</v>
      </c>
      <c r="T132" s="19" t="s">
        <v>287</v>
      </c>
      <c r="U132" s="20" t="s">
        <v>287</v>
      </c>
      <c r="V132" s="19" t="s">
        <v>2192</v>
      </c>
      <c r="W132" s="19" t="s">
        <v>219</v>
      </c>
      <c r="X132" s="35"/>
      <c r="Y132" s="35"/>
      <c r="Z132" s="32"/>
      <c r="AA132" s="22">
        <v>2</v>
      </c>
      <c r="AB132" s="22"/>
      <c r="AC132" s="22"/>
      <c r="AD132" s="22"/>
      <c r="AE132" s="60">
        <f t="shared" si="58"/>
        <v>2</v>
      </c>
      <c r="AF132" s="22"/>
      <c r="AG132" s="40">
        <f t="shared" si="59"/>
        <v>2</v>
      </c>
      <c r="AH132" s="24"/>
      <c r="AI132" s="24"/>
      <c r="AJ132" s="121"/>
      <c r="AK132" s="121"/>
      <c r="AL132" s="24"/>
      <c r="AM132" s="24"/>
      <c r="AN132" s="23">
        <f t="shared" si="62"/>
        <v>2</v>
      </c>
      <c r="AO132" s="25"/>
      <c r="AP132" s="25"/>
      <c r="AQ132" s="25">
        <v>2</v>
      </c>
      <c r="AR132" s="25"/>
      <c r="AS132" s="25">
        <f t="shared" si="63"/>
        <v>2</v>
      </c>
      <c r="AT132" s="13"/>
      <c r="AU132" s="21"/>
      <c r="AV132" s="21"/>
      <c r="AW132" s="21"/>
      <c r="AX132" s="21"/>
      <c r="AY132" s="21"/>
      <c r="AZ132" s="21"/>
      <c r="BA132" s="77"/>
      <c r="BB132" s="21"/>
      <c r="BC132" s="21"/>
      <c r="BD132" s="21"/>
      <c r="BE132" s="21"/>
      <c r="BF132" s="21"/>
      <c r="BG132" s="77"/>
      <c r="BH132" s="77"/>
      <c r="BI132" s="21"/>
      <c r="BJ132" s="21"/>
      <c r="BK132" s="21"/>
      <c r="BL132" s="21"/>
      <c r="BM132" s="21"/>
      <c r="BN132" s="21">
        <v>2</v>
      </c>
      <c r="BO132" s="77"/>
      <c r="BP132" s="21"/>
      <c r="BQ132" s="21"/>
      <c r="BR132" s="21"/>
      <c r="BS132" s="21"/>
      <c r="BT132" s="21"/>
      <c r="BU132" s="21"/>
      <c r="BV132" s="77"/>
      <c r="BW132" s="96">
        <f t="shared" ref="BW132:BW163" si="64">SUM(AV132:BV132)</f>
        <v>2</v>
      </c>
      <c r="BX132" s="94">
        <f t="shared" ref="BX132:BX163" si="65">AS132-BW132</f>
        <v>0</v>
      </c>
      <c r="BY132" s="26"/>
      <c r="CA132" s="137" t="s">
        <v>2219</v>
      </c>
      <c r="CB132" s="19" t="b">
        <f t="shared" si="60"/>
        <v>1</v>
      </c>
      <c r="CC132" s="19" t="s">
        <v>2219</v>
      </c>
      <c r="CD132" s="19" t="s">
        <v>2252</v>
      </c>
      <c r="CE132" s="120" t="s">
        <v>1189</v>
      </c>
      <c r="CF132" s="120" t="s">
        <v>1190</v>
      </c>
      <c r="CG132" s="120" t="s">
        <v>1216</v>
      </c>
      <c r="CH132" s="120" t="s">
        <v>1217</v>
      </c>
      <c r="CI132" s="120" t="s">
        <v>1218</v>
      </c>
      <c r="CJ132" s="120" t="s">
        <v>1219</v>
      </c>
      <c r="CK132" s="120" t="s">
        <v>1281</v>
      </c>
      <c r="CL132" s="120" t="s">
        <v>1282</v>
      </c>
      <c r="CM132" s="120" t="s">
        <v>2253</v>
      </c>
      <c r="CN132" s="120" t="s">
        <v>2254</v>
      </c>
      <c r="CO132" s="120" t="s">
        <v>2255</v>
      </c>
      <c r="CP132" s="120" t="s">
        <v>2256</v>
      </c>
      <c r="CQ132" s="120" t="s">
        <v>1199</v>
      </c>
      <c r="CR132" s="120" t="s">
        <v>1200</v>
      </c>
      <c r="CS132" s="120" t="s">
        <v>2257</v>
      </c>
      <c r="CT132" s="120" t="s">
        <v>1213</v>
      </c>
      <c r="CU132" s="120" t="s">
        <v>1222</v>
      </c>
      <c r="CV132" s="120" t="s">
        <v>1223</v>
      </c>
      <c r="CW132" s="120" t="s">
        <v>1289</v>
      </c>
      <c r="CX132" s="120" t="s">
        <v>1290</v>
      </c>
      <c r="CY132" s="120"/>
      <c r="CZ132" s="120"/>
      <c r="DA132" s="120"/>
      <c r="DB132" s="120"/>
      <c r="DC132" s="120"/>
      <c r="DD132" s="120"/>
      <c r="DE132" s="18"/>
      <c r="DF132" s="18"/>
    </row>
    <row r="133" spans="1:110" s="7" customFormat="1" x14ac:dyDescent="0.25">
      <c r="A133" s="19" t="s">
        <v>81</v>
      </c>
      <c r="B133" s="19" t="s">
        <v>90</v>
      </c>
      <c r="C133" s="19" t="str">
        <f t="shared" si="61"/>
        <v>83459512SOUTH AFRICA</v>
      </c>
      <c r="D133" s="19">
        <v>83459512</v>
      </c>
      <c r="E133" s="19" t="s">
        <v>371</v>
      </c>
      <c r="F133" s="19" t="s">
        <v>2067</v>
      </c>
      <c r="G133" s="20" t="s">
        <v>371</v>
      </c>
      <c r="H133" s="136">
        <v>54</v>
      </c>
      <c r="I133" s="19" t="s">
        <v>230</v>
      </c>
      <c r="J133" s="19" t="s">
        <v>322</v>
      </c>
      <c r="K133" s="19" t="s">
        <v>372</v>
      </c>
      <c r="L133" s="19" t="s">
        <v>282</v>
      </c>
      <c r="M133" s="19" t="s">
        <v>234</v>
      </c>
      <c r="N133" s="19" t="s">
        <v>284</v>
      </c>
      <c r="O133" s="19" t="s">
        <v>335</v>
      </c>
      <c r="P133" s="19" t="s">
        <v>285</v>
      </c>
      <c r="Q133" s="19" t="s">
        <v>373</v>
      </c>
      <c r="R133" s="19">
        <v>7900</v>
      </c>
      <c r="S133" s="19" t="s">
        <v>239</v>
      </c>
      <c r="T133" s="19" t="s">
        <v>287</v>
      </c>
      <c r="U133" s="20" t="s">
        <v>287</v>
      </c>
      <c r="V133" s="19" t="s">
        <v>1590</v>
      </c>
      <c r="W133" s="19" t="s">
        <v>219</v>
      </c>
      <c r="X133" s="35"/>
      <c r="Y133" s="35"/>
      <c r="Z133" s="32"/>
      <c r="AA133" s="22">
        <v>21</v>
      </c>
      <c r="AB133" s="22"/>
      <c r="AC133" s="22"/>
      <c r="AD133" s="22"/>
      <c r="AE133" s="60">
        <f t="shared" si="58"/>
        <v>21</v>
      </c>
      <c r="AF133" s="22"/>
      <c r="AG133" s="40">
        <f t="shared" si="59"/>
        <v>21</v>
      </c>
      <c r="AH133" s="24"/>
      <c r="AI133" s="24">
        <v>21</v>
      </c>
      <c r="AJ133" s="121"/>
      <c r="AK133" s="121">
        <v>21</v>
      </c>
      <c r="AL133" s="24"/>
      <c r="AM133" s="24"/>
      <c r="AN133" s="23">
        <f t="shared" si="62"/>
        <v>0</v>
      </c>
      <c r="AO133" s="25"/>
      <c r="AP133" s="25"/>
      <c r="AQ133" s="25"/>
      <c r="AR133" s="25"/>
      <c r="AS133" s="25">
        <f t="shared" si="63"/>
        <v>0</v>
      </c>
      <c r="AT133" s="13">
        <v>21</v>
      </c>
      <c r="AU133" s="21">
        <v>7</v>
      </c>
      <c r="AV133" s="21">
        <v>7</v>
      </c>
      <c r="AW133" s="21">
        <v>7</v>
      </c>
      <c r="AX133" s="21"/>
      <c r="AY133" s="21"/>
      <c r="AZ133" s="21"/>
      <c r="BA133" s="77"/>
      <c r="BB133" s="21"/>
      <c r="BC133" s="21"/>
      <c r="BD133" s="21"/>
      <c r="BE133" s="21"/>
      <c r="BF133" s="21"/>
      <c r="BG133" s="77"/>
      <c r="BH133" s="77"/>
      <c r="BI133" s="21"/>
      <c r="BJ133" s="21"/>
      <c r="BK133" s="21"/>
      <c r="BL133" s="21"/>
      <c r="BM133" s="21"/>
      <c r="BN133" s="21"/>
      <c r="BO133" s="77"/>
      <c r="BP133" s="21"/>
      <c r="BQ133" s="21"/>
      <c r="BR133" s="21"/>
      <c r="BS133" s="21"/>
      <c r="BT133" s="21"/>
      <c r="BU133" s="21"/>
      <c r="BV133" s="77"/>
      <c r="BW133" s="96">
        <f t="shared" si="64"/>
        <v>14</v>
      </c>
      <c r="BX133" s="94">
        <f t="shared" si="65"/>
        <v>-14</v>
      </c>
      <c r="BY133" s="26"/>
      <c r="CA133" s="137" t="s">
        <v>371</v>
      </c>
      <c r="CB133" s="19" t="b">
        <f t="shared" si="60"/>
        <v>1</v>
      </c>
      <c r="CC133" s="19" t="s">
        <v>371</v>
      </c>
      <c r="CD133" s="19" t="s">
        <v>1224</v>
      </c>
      <c r="CE133" s="120" t="s">
        <v>1189</v>
      </c>
      <c r="CF133" s="120" t="s">
        <v>1190</v>
      </c>
      <c r="CG133" s="120" t="s">
        <v>1216</v>
      </c>
      <c r="CH133" s="120" t="s">
        <v>1217</v>
      </c>
      <c r="CI133" s="120" t="s">
        <v>1218</v>
      </c>
      <c r="CJ133" s="120" t="s">
        <v>1219</v>
      </c>
      <c r="CK133" s="120" t="s">
        <v>1211</v>
      </c>
      <c r="CL133" s="120" t="s">
        <v>1158</v>
      </c>
      <c r="CM133" s="120" t="s">
        <v>1220</v>
      </c>
      <c r="CN133" s="120" t="s">
        <v>1221</v>
      </c>
      <c r="CO133" s="120" t="s">
        <v>1225</v>
      </c>
      <c r="CP133" s="120" t="s">
        <v>1226</v>
      </c>
      <c r="CQ133" s="120" t="s">
        <v>1199</v>
      </c>
      <c r="CR133" s="120" t="s">
        <v>1200</v>
      </c>
      <c r="CS133" s="120" t="s">
        <v>1212</v>
      </c>
      <c r="CT133" s="120" t="s">
        <v>1213</v>
      </c>
      <c r="CU133" s="120" t="s">
        <v>1222</v>
      </c>
      <c r="CV133" s="120" t="s">
        <v>1223</v>
      </c>
      <c r="CW133" s="120" t="s">
        <v>1214</v>
      </c>
      <c r="CX133" s="120" t="s">
        <v>1215</v>
      </c>
      <c r="CY133" s="120"/>
      <c r="CZ133" s="120"/>
      <c r="DA133" s="120"/>
      <c r="DB133" s="120"/>
      <c r="DC133" s="120"/>
      <c r="DD133" s="120"/>
      <c r="DE133" s="18"/>
      <c r="DF133" s="18"/>
    </row>
    <row r="134" spans="1:110" s="7" customFormat="1" x14ac:dyDescent="0.25">
      <c r="A134" s="19" t="s">
        <v>228</v>
      </c>
      <c r="B134" s="19" t="s">
        <v>80</v>
      </c>
      <c r="C134" s="19" t="str">
        <f t="shared" si="61"/>
        <v>91407547India</v>
      </c>
      <c r="D134" s="19">
        <v>91407547</v>
      </c>
      <c r="E134" s="19" t="s">
        <v>2206</v>
      </c>
      <c r="F134" s="19" t="s">
        <v>2067</v>
      </c>
      <c r="G134" s="20" t="s">
        <v>2206</v>
      </c>
      <c r="H134" s="136" t="s">
        <v>2234</v>
      </c>
      <c r="I134" s="19" t="s">
        <v>230</v>
      </c>
      <c r="J134" s="19" t="s">
        <v>296</v>
      </c>
      <c r="K134" s="19" t="s">
        <v>297</v>
      </c>
      <c r="L134" s="19" t="s">
        <v>282</v>
      </c>
      <c r="M134" s="19" t="s">
        <v>298</v>
      </c>
      <c r="N134" s="19" t="s">
        <v>284</v>
      </c>
      <c r="O134" s="19" t="s">
        <v>293</v>
      </c>
      <c r="P134" s="19" t="s">
        <v>285</v>
      </c>
      <c r="Q134" s="19" t="s">
        <v>299</v>
      </c>
      <c r="R134" s="19">
        <v>8000</v>
      </c>
      <c r="S134" s="19" t="s">
        <v>239</v>
      </c>
      <c r="T134" s="19" t="s">
        <v>287</v>
      </c>
      <c r="U134" s="20" t="s">
        <v>287</v>
      </c>
      <c r="V134" s="19" t="s">
        <v>112</v>
      </c>
      <c r="W134" s="19" t="s">
        <v>2199</v>
      </c>
      <c r="X134" s="35">
        <v>5</v>
      </c>
      <c r="Y134" s="35">
        <v>10</v>
      </c>
      <c r="Z134" s="32"/>
      <c r="AA134" s="22">
        <v>3</v>
      </c>
      <c r="AB134" s="22">
        <v>2</v>
      </c>
      <c r="AC134" s="22">
        <v>1</v>
      </c>
      <c r="AD134" s="22">
        <v>1</v>
      </c>
      <c r="AE134" s="60">
        <f t="shared" si="58"/>
        <v>7</v>
      </c>
      <c r="AF134" s="22"/>
      <c r="AG134" s="40">
        <f t="shared" si="59"/>
        <v>7</v>
      </c>
      <c r="AH134" s="24"/>
      <c r="AI134" s="24"/>
      <c r="AJ134" s="121"/>
      <c r="AK134" s="121"/>
      <c r="AL134" s="24"/>
      <c r="AM134" s="24"/>
      <c r="AN134" s="23">
        <f t="shared" si="62"/>
        <v>7</v>
      </c>
      <c r="AO134" s="25"/>
      <c r="AP134" s="25">
        <v>7</v>
      </c>
      <c r="AQ134" s="25"/>
      <c r="AR134" s="25"/>
      <c r="AS134" s="25">
        <f t="shared" si="63"/>
        <v>7</v>
      </c>
      <c r="AT134" s="13"/>
      <c r="AU134" s="21"/>
      <c r="AV134" s="21"/>
      <c r="AW134" s="21"/>
      <c r="AX134" s="21"/>
      <c r="AY134" s="21"/>
      <c r="AZ134" s="21"/>
      <c r="BA134" s="77"/>
      <c r="BB134" s="21"/>
      <c r="BC134" s="21"/>
      <c r="BD134" s="21">
        <v>3</v>
      </c>
      <c r="BE134" s="21">
        <v>4</v>
      </c>
      <c r="BF134" s="21"/>
      <c r="BG134" s="77"/>
      <c r="BH134" s="77"/>
      <c r="BI134" s="21"/>
      <c r="BJ134" s="21"/>
      <c r="BK134" s="21"/>
      <c r="BL134" s="21"/>
      <c r="BM134" s="21"/>
      <c r="BN134" s="21"/>
      <c r="BO134" s="77"/>
      <c r="BP134" s="21"/>
      <c r="BQ134" s="21"/>
      <c r="BR134" s="21"/>
      <c r="BS134" s="21"/>
      <c r="BT134" s="21"/>
      <c r="BU134" s="21"/>
      <c r="BV134" s="77"/>
      <c r="BW134" s="96">
        <f t="shared" si="64"/>
        <v>7</v>
      </c>
      <c r="BX134" s="94">
        <f t="shared" si="65"/>
        <v>0</v>
      </c>
      <c r="BY134" s="26"/>
      <c r="CA134" s="137" t="s">
        <v>2206</v>
      </c>
      <c r="CB134" s="19" t="b">
        <f t="shared" si="60"/>
        <v>1</v>
      </c>
      <c r="CC134" s="19" t="s">
        <v>2206</v>
      </c>
      <c r="CD134" s="19" t="s">
        <v>1242</v>
      </c>
      <c r="CE134" s="120" t="s">
        <v>1189</v>
      </c>
      <c r="CF134" s="120" t="s">
        <v>1190</v>
      </c>
      <c r="CG134" s="120" t="s">
        <v>1228</v>
      </c>
      <c r="CH134" s="120" t="s">
        <v>1229</v>
      </c>
      <c r="CI134" s="120" t="s">
        <v>1209</v>
      </c>
      <c r="CJ134" s="120" t="s">
        <v>1210</v>
      </c>
      <c r="CK134" s="120" t="s">
        <v>2103</v>
      </c>
      <c r="CL134" s="120" t="s">
        <v>2104</v>
      </c>
      <c r="CM134" s="120" t="s">
        <v>1232</v>
      </c>
      <c r="CN134" s="120" t="s">
        <v>1233</v>
      </c>
      <c r="CO134" s="120" t="s">
        <v>2258</v>
      </c>
      <c r="CP134" s="120" t="s">
        <v>1235</v>
      </c>
      <c r="CQ134" s="120" t="s">
        <v>1199</v>
      </c>
      <c r="CR134" s="120" t="s">
        <v>1200</v>
      </c>
      <c r="CS134" s="120" t="s">
        <v>1236</v>
      </c>
      <c r="CT134" s="120" t="s">
        <v>1237</v>
      </c>
      <c r="CU134" s="120" t="s">
        <v>1238</v>
      </c>
      <c r="CV134" s="120" t="s">
        <v>1239</v>
      </c>
      <c r="CW134" s="120" t="s">
        <v>2105</v>
      </c>
      <c r="CX134" s="120" t="s">
        <v>2106</v>
      </c>
      <c r="CY134" s="120"/>
      <c r="CZ134" s="120"/>
      <c r="DA134" s="120"/>
      <c r="DB134" s="120"/>
      <c r="DC134" s="120"/>
      <c r="DD134" s="120"/>
      <c r="DE134" s="18"/>
      <c r="DF134" s="18"/>
    </row>
    <row r="135" spans="1:110" s="7" customFormat="1" x14ac:dyDescent="0.25">
      <c r="A135" s="19" t="s">
        <v>228</v>
      </c>
      <c r="B135" s="19" t="s">
        <v>80</v>
      </c>
      <c r="C135" s="19" t="str">
        <f t="shared" si="61"/>
        <v>91407538India</v>
      </c>
      <c r="D135" s="19">
        <v>91407538</v>
      </c>
      <c r="E135" s="19" t="s">
        <v>2207</v>
      </c>
      <c r="F135" s="19" t="s">
        <v>2067</v>
      </c>
      <c r="G135" s="20" t="s">
        <v>2207</v>
      </c>
      <c r="H135" s="136" t="s">
        <v>2234</v>
      </c>
      <c r="I135" s="19" t="s">
        <v>230</v>
      </c>
      <c r="J135" s="19" t="s">
        <v>296</v>
      </c>
      <c r="K135" s="19" t="s">
        <v>297</v>
      </c>
      <c r="L135" s="19" t="s">
        <v>282</v>
      </c>
      <c r="M135" s="19" t="s">
        <v>298</v>
      </c>
      <c r="N135" s="19" t="s">
        <v>284</v>
      </c>
      <c r="O135" s="19" t="s">
        <v>293</v>
      </c>
      <c r="P135" s="19" t="s">
        <v>285</v>
      </c>
      <c r="Q135" s="19" t="s">
        <v>299</v>
      </c>
      <c r="R135" s="19">
        <v>8000</v>
      </c>
      <c r="S135" s="19" t="s">
        <v>239</v>
      </c>
      <c r="T135" s="19" t="s">
        <v>287</v>
      </c>
      <c r="U135" s="20" t="s">
        <v>287</v>
      </c>
      <c r="V135" s="19" t="s">
        <v>111</v>
      </c>
      <c r="W135" s="19" t="s">
        <v>2199</v>
      </c>
      <c r="X135" s="35">
        <v>10</v>
      </c>
      <c r="Y135" s="35">
        <v>10</v>
      </c>
      <c r="Z135" s="32"/>
      <c r="AA135" s="22"/>
      <c r="AB135" s="22"/>
      <c r="AC135" s="22"/>
      <c r="AD135" s="22"/>
      <c r="AE135" s="60">
        <f t="shared" si="58"/>
        <v>0</v>
      </c>
      <c r="AF135" s="22"/>
      <c r="AG135" s="40">
        <f t="shared" si="59"/>
        <v>0</v>
      </c>
      <c r="AH135" s="24"/>
      <c r="AI135" s="24"/>
      <c r="AJ135" s="121"/>
      <c r="AK135" s="121"/>
      <c r="AL135" s="24">
        <v>10</v>
      </c>
      <c r="AM135" s="24"/>
      <c r="AN135" s="23">
        <f t="shared" si="62"/>
        <v>10</v>
      </c>
      <c r="AO135" s="25"/>
      <c r="AP135" s="25">
        <v>5</v>
      </c>
      <c r="AQ135" s="25">
        <v>5</v>
      </c>
      <c r="AR135" s="25"/>
      <c r="AS135" s="25">
        <f t="shared" si="63"/>
        <v>10</v>
      </c>
      <c r="AT135" s="13"/>
      <c r="AU135" s="21"/>
      <c r="AV135" s="21"/>
      <c r="AW135" s="21"/>
      <c r="AX135" s="21"/>
      <c r="AY135" s="21"/>
      <c r="AZ135" s="21"/>
      <c r="BA135" s="77"/>
      <c r="BB135" s="21"/>
      <c r="BC135" s="21"/>
      <c r="BD135" s="21"/>
      <c r="BE135" s="21"/>
      <c r="BF135" s="21"/>
      <c r="BG135" s="77"/>
      <c r="BH135" s="77"/>
      <c r="BI135" s="21"/>
      <c r="BJ135" s="21"/>
      <c r="BK135" s="21"/>
      <c r="BL135" s="21"/>
      <c r="BM135" s="21"/>
      <c r="BN135" s="21"/>
      <c r="BO135" s="77"/>
      <c r="BP135" s="21"/>
      <c r="BQ135" s="21"/>
      <c r="BR135" s="21"/>
      <c r="BS135" s="21"/>
      <c r="BT135" s="21"/>
      <c r="BU135" s="21">
        <v>3</v>
      </c>
      <c r="BV135" s="77"/>
      <c r="BW135" s="96">
        <f t="shared" si="64"/>
        <v>3</v>
      </c>
      <c r="BX135" s="94">
        <f t="shared" si="65"/>
        <v>7</v>
      </c>
      <c r="BY135" s="26"/>
      <c r="CA135" s="137" t="s">
        <v>2207</v>
      </c>
      <c r="CB135" s="19" t="b">
        <f t="shared" si="60"/>
        <v>1</v>
      </c>
      <c r="CC135" s="19" t="s">
        <v>2207</v>
      </c>
      <c r="CD135" s="19" t="s">
        <v>2259</v>
      </c>
      <c r="CE135" s="120" t="s">
        <v>1189</v>
      </c>
      <c r="CF135" s="120" t="s">
        <v>1190</v>
      </c>
      <c r="CG135" s="120" t="s">
        <v>1228</v>
      </c>
      <c r="CH135" s="120" t="s">
        <v>1229</v>
      </c>
      <c r="CI135" s="120" t="s">
        <v>1209</v>
      </c>
      <c r="CJ135" s="120" t="s">
        <v>1210</v>
      </c>
      <c r="CK135" s="120" t="s">
        <v>2103</v>
      </c>
      <c r="CL135" s="120" t="s">
        <v>2104</v>
      </c>
      <c r="CM135" s="120" t="s">
        <v>1232</v>
      </c>
      <c r="CN135" s="120" t="s">
        <v>1233</v>
      </c>
      <c r="CO135" s="120" t="s">
        <v>2258</v>
      </c>
      <c r="CP135" s="120" t="s">
        <v>1235</v>
      </c>
      <c r="CQ135" s="120" t="s">
        <v>1199</v>
      </c>
      <c r="CR135" s="120" t="s">
        <v>1200</v>
      </c>
      <c r="CS135" s="120" t="s">
        <v>1236</v>
      </c>
      <c r="CT135" s="120" t="s">
        <v>1237</v>
      </c>
      <c r="CU135" s="120" t="s">
        <v>1238</v>
      </c>
      <c r="CV135" s="120" t="s">
        <v>1239</v>
      </c>
      <c r="CW135" s="120" t="s">
        <v>2105</v>
      </c>
      <c r="CX135" s="120" t="s">
        <v>2106</v>
      </c>
      <c r="CY135" s="120"/>
      <c r="CZ135" s="120"/>
      <c r="DA135" s="120"/>
      <c r="DB135" s="120"/>
      <c r="DC135" s="120"/>
      <c r="DD135" s="120"/>
      <c r="DE135" s="18"/>
      <c r="DF135" s="18"/>
    </row>
    <row r="136" spans="1:110" s="7" customFormat="1" x14ac:dyDescent="0.25">
      <c r="A136" s="19" t="s">
        <v>228</v>
      </c>
      <c r="B136" s="19" t="s">
        <v>80</v>
      </c>
      <c r="C136" s="19" t="str">
        <f t="shared" si="61"/>
        <v>91407546India</v>
      </c>
      <c r="D136" s="19">
        <v>91407546</v>
      </c>
      <c r="E136" s="19" t="s">
        <v>2210</v>
      </c>
      <c r="F136" s="19" t="s">
        <v>2067</v>
      </c>
      <c r="G136" s="20" t="s">
        <v>2210</v>
      </c>
      <c r="H136" s="136" t="s">
        <v>2234</v>
      </c>
      <c r="I136" s="19" t="s">
        <v>230</v>
      </c>
      <c r="J136" s="19" t="s">
        <v>296</v>
      </c>
      <c r="K136" s="19" t="s">
        <v>297</v>
      </c>
      <c r="L136" s="19" t="s">
        <v>282</v>
      </c>
      <c r="M136" s="19" t="s">
        <v>298</v>
      </c>
      <c r="N136" s="19" t="s">
        <v>284</v>
      </c>
      <c r="O136" s="19" t="s">
        <v>293</v>
      </c>
      <c r="P136" s="19" t="s">
        <v>285</v>
      </c>
      <c r="Q136" s="19" t="s">
        <v>299</v>
      </c>
      <c r="R136" s="19">
        <v>8000</v>
      </c>
      <c r="S136" s="19" t="s">
        <v>239</v>
      </c>
      <c r="T136" s="19" t="s">
        <v>287</v>
      </c>
      <c r="U136" s="20" t="s">
        <v>287</v>
      </c>
      <c r="V136" s="19" t="s">
        <v>125</v>
      </c>
      <c r="W136" s="19" t="s">
        <v>222</v>
      </c>
      <c r="X136" s="35">
        <v>10</v>
      </c>
      <c r="Y136" s="35">
        <v>10</v>
      </c>
      <c r="Z136" s="32"/>
      <c r="AA136" s="22">
        <v>2</v>
      </c>
      <c r="AB136" s="22">
        <v>2</v>
      </c>
      <c r="AC136" s="22">
        <v>1</v>
      </c>
      <c r="AD136" s="22"/>
      <c r="AE136" s="60">
        <f t="shared" si="58"/>
        <v>5</v>
      </c>
      <c r="AF136" s="22"/>
      <c r="AG136" s="40">
        <f t="shared" si="59"/>
        <v>5</v>
      </c>
      <c r="AH136" s="24"/>
      <c r="AI136" s="24"/>
      <c r="AJ136" s="121"/>
      <c r="AK136" s="121"/>
      <c r="AL136" s="24">
        <v>10</v>
      </c>
      <c r="AM136" s="24"/>
      <c r="AN136" s="23">
        <f t="shared" si="62"/>
        <v>15</v>
      </c>
      <c r="AO136" s="25"/>
      <c r="AP136" s="25">
        <v>5</v>
      </c>
      <c r="AQ136" s="25">
        <v>5</v>
      </c>
      <c r="AR136" s="25">
        <v>5</v>
      </c>
      <c r="AS136" s="25">
        <f t="shared" si="63"/>
        <v>15</v>
      </c>
      <c r="AT136" s="13"/>
      <c r="AU136" s="21"/>
      <c r="AV136" s="21"/>
      <c r="AW136" s="21"/>
      <c r="AX136" s="21"/>
      <c r="AY136" s="21"/>
      <c r="AZ136" s="21"/>
      <c r="BA136" s="77"/>
      <c r="BB136" s="21"/>
      <c r="BC136" s="21"/>
      <c r="BD136" s="21">
        <v>2</v>
      </c>
      <c r="BE136" s="21">
        <v>3</v>
      </c>
      <c r="BF136" s="21"/>
      <c r="BG136" s="77"/>
      <c r="BH136" s="77"/>
      <c r="BI136" s="21"/>
      <c r="BJ136" s="21"/>
      <c r="BK136" s="21"/>
      <c r="BL136" s="21"/>
      <c r="BM136" s="21"/>
      <c r="BN136" s="21"/>
      <c r="BO136" s="77"/>
      <c r="BP136" s="21"/>
      <c r="BQ136" s="21"/>
      <c r="BR136" s="21"/>
      <c r="BS136" s="21"/>
      <c r="BT136" s="21"/>
      <c r="BU136" s="21">
        <v>3</v>
      </c>
      <c r="BV136" s="77"/>
      <c r="BW136" s="96">
        <f t="shared" si="64"/>
        <v>8</v>
      </c>
      <c r="BX136" s="94">
        <f t="shared" si="65"/>
        <v>7</v>
      </c>
      <c r="BY136" s="26"/>
      <c r="CA136" s="137" t="s">
        <v>2210</v>
      </c>
      <c r="CB136" s="19" t="b">
        <f t="shared" si="60"/>
        <v>1</v>
      </c>
      <c r="CC136" s="19" t="s">
        <v>2210</v>
      </c>
      <c r="CD136" s="19" t="s">
        <v>2260</v>
      </c>
      <c r="CE136" s="120" t="s">
        <v>1189</v>
      </c>
      <c r="CF136" s="120" t="s">
        <v>1190</v>
      </c>
      <c r="CG136" s="120" t="s">
        <v>1228</v>
      </c>
      <c r="CH136" s="120" t="s">
        <v>1229</v>
      </c>
      <c r="CI136" s="120" t="s">
        <v>1209</v>
      </c>
      <c r="CJ136" s="120" t="s">
        <v>1210</v>
      </c>
      <c r="CK136" s="120" t="s">
        <v>2103</v>
      </c>
      <c r="CL136" s="120" t="s">
        <v>2104</v>
      </c>
      <c r="CM136" s="120" t="s">
        <v>1232</v>
      </c>
      <c r="CN136" s="120" t="s">
        <v>1233</v>
      </c>
      <c r="CO136" s="120" t="s">
        <v>2258</v>
      </c>
      <c r="CP136" s="120" t="s">
        <v>1235</v>
      </c>
      <c r="CQ136" s="120" t="s">
        <v>1199</v>
      </c>
      <c r="CR136" s="120" t="s">
        <v>1200</v>
      </c>
      <c r="CS136" s="120" t="s">
        <v>1236</v>
      </c>
      <c r="CT136" s="120" t="s">
        <v>1237</v>
      </c>
      <c r="CU136" s="120" t="s">
        <v>1238</v>
      </c>
      <c r="CV136" s="120" t="s">
        <v>1239</v>
      </c>
      <c r="CW136" s="120" t="s">
        <v>2105</v>
      </c>
      <c r="CX136" s="120" t="s">
        <v>2106</v>
      </c>
      <c r="CY136" s="120"/>
      <c r="CZ136" s="120"/>
      <c r="DA136" s="120"/>
      <c r="DB136" s="120"/>
      <c r="DC136" s="120"/>
      <c r="DD136" s="120"/>
      <c r="DE136" s="18"/>
      <c r="DF136" s="18"/>
    </row>
    <row r="137" spans="1:110" s="7" customFormat="1" x14ac:dyDescent="0.25">
      <c r="A137" s="19" t="s">
        <v>228</v>
      </c>
      <c r="B137" s="19" t="s">
        <v>80</v>
      </c>
      <c r="C137" s="19" t="str">
        <f t="shared" si="61"/>
        <v>91407417India</v>
      </c>
      <c r="D137" s="19">
        <v>91407417</v>
      </c>
      <c r="E137" s="19" t="s">
        <v>1575</v>
      </c>
      <c r="F137" s="19" t="s">
        <v>2067</v>
      </c>
      <c r="G137" s="20" t="s">
        <v>1575</v>
      </c>
      <c r="H137" s="136">
        <v>13</v>
      </c>
      <c r="I137" s="19" t="s">
        <v>230</v>
      </c>
      <c r="J137" s="19" t="s">
        <v>296</v>
      </c>
      <c r="K137" s="19" t="s">
        <v>297</v>
      </c>
      <c r="L137" s="19" t="s">
        <v>282</v>
      </c>
      <c r="M137" s="19" t="s">
        <v>298</v>
      </c>
      <c r="N137" s="19" t="s">
        <v>284</v>
      </c>
      <c r="O137" s="19" t="s">
        <v>293</v>
      </c>
      <c r="P137" s="19" t="s">
        <v>285</v>
      </c>
      <c r="Q137" s="19" t="s">
        <v>299</v>
      </c>
      <c r="R137" s="19">
        <v>8000</v>
      </c>
      <c r="S137" s="19" t="s">
        <v>239</v>
      </c>
      <c r="T137" s="19" t="s">
        <v>287</v>
      </c>
      <c r="U137" s="20" t="s">
        <v>287</v>
      </c>
      <c r="V137" s="19" t="s">
        <v>2186</v>
      </c>
      <c r="W137" s="19" t="s">
        <v>219</v>
      </c>
      <c r="X137" s="35">
        <v>5</v>
      </c>
      <c r="Y137" s="35">
        <v>5</v>
      </c>
      <c r="Z137" s="32"/>
      <c r="AA137" s="22"/>
      <c r="AB137" s="22"/>
      <c r="AC137" s="22"/>
      <c r="AD137" s="22"/>
      <c r="AE137" s="60">
        <f t="shared" si="58"/>
        <v>0</v>
      </c>
      <c r="AF137" s="22"/>
      <c r="AG137" s="40">
        <f t="shared" si="59"/>
        <v>0</v>
      </c>
      <c r="AH137" s="24"/>
      <c r="AI137" s="24"/>
      <c r="AJ137" s="121"/>
      <c r="AK137" s="121"/>
      <c r="AL137" s="24"/>
      <c r="AM137" s="24"/>
      <c r="AN137" s="23">
        <f t="shared" si="62"/>
        <v>0</v>
      </c>
      <c r="AO137" s="25"/>
      <c r="AP137" s="25"/>
      <c r="AQ137" s="25"/>
      <c r="AR137" s="25"/>
      <c r="AS137" s="25">
        <f t="shared" si="63"/>
        <v>0</v>
      </c>
      <c r="AT137" s="13"/>
      <c r="AU137" s="21"/>
      <c r="AV137" s="21"/>
      <c r="AW137" s="21"/>
      <c r="AX137" s="21"/>
      <c r="AY137" s="21"/>
      <c r="AZ137" s="21"/>
      <c r="BA137" s="77"/>
      <c r="BB137" s="21"/>
      <c r="BC137" s="21"/>
      <c r="BD137" s="21"/>
      <c r="BE137" s="21"/>
      <c r="BF137" s="21"/>
      <c r="BG137" s="77"/>
      <c r="BH137" s="77"/>
      <c r="BI137" s="21"/>
      <c r="BJ137" s="21"/>
      <c r="BK137" s="21"/>
      <c r="BL137" s="21"/>
      <c r="BM137" s="21"/>
      <c r="BN137" s="21"/>
      <c r="BO137" s="77"/>
      <c r="BP137" s="21"/>
      <c r="BQ137" s="21"/>
      <c r="BR137" s="21"/>
      <c r="BS137" s="21"/>
      <c r="BT137" s="21"/>
      <c r="BU137" s="21"/>
      <c r="BV137" s="77"/>
      <c r="BW137" s="96">
        <f t="shared" si="64"/>
        <v>0</v>
      </c>
      <c r="BX137" s="94">
        <f t="shared" si="65"/>
        <v>0</v>
      </c>
      <c r="BY137" s="26"/>
      <c r="CA137" s="137" t="s">
        <v>1575</v>
      </c>
      <c r="CB137" s="19" t="b">
        <f t="shared" si="60"/>
        <v>1</v>
      </c>
      <c r="CC137" s="19" t="s">
        <v>1575</v>
      </c>
      <c r="CD137" s="19" t="s">
        <v>1677</v>
      </c>
      <c r="CE137" s="120" t="s">
        <v>1189</v>
      </c>
      <c r="CF137" s="120" t="s">
        <v>1190</v>
      </c>
      <c r="CG137" s="120" t="s">
        <v>1228</v>
      </c>
      <c r="CH137" s="120" t="s">
        <v>1229</v>
      </c>
      <c r="CI137" s="120" t="s">
        <v>1209</v>
      </c>
      <c r="CJ137" s="120" t="s">
        <v>1210</v>
      </c>
      <c r="CK137" s="120" t="s">
        <v>2103</v>
      </c>
      <c r="CL137" s="120" t="s">
        <v>2104</v>
      </c>
      <c r="CM137" s="120" t="s">
        <v>1678</v>
      </c>
      <c r="CN137" s="120" t="s">
        <v>1679</v>
      </c>
      <c r="CO137" s="120" t="s">
        <v>2261</v>
      </c>
      <c r="CP137" s="120" t="s">
        <v>1681</v>
      </c>
      <c r="CQ137" s="120" t="s">
        <v>1199</v>
      </c>
      <c r="CR137" s="120" t="s">
        <v>1200</v>
      </c>
      <c r="CS137" s="120" t="s">
        <v>1236</v>
      </c>
      <c r="CT137" s="120" t="s">
        <v>1237</v>
      </c>
      <c r="CU137" s="120" t="s">
        <v>1238</v>
      </c>
      <c r="CV137" s="120" t="s">
        <v>1239</v>
      </c>
      <c r="CW137" s="120" t="s">
        <v>2105</v>
      </c>
      <c r="CX137" s="120" t="s">
        <v>2106</v>
      </c>
      <c r="CY137" s="120"/>
      <c r="CZ137" s="120"/>
      <c r="DA137" s="120"/>
      <c r="DB137" s="120"/>
      <c r="DC137" s="120"/>
      <c r="DD137" s="120"/>
      <c r="DE137" s="18"/>
      <c r="DF137" s="18"/>
    </row>
    <row r="138" spans="1:110" s="7" customFormat="1" x14ac:dyDescent="0.25">
      <c r="A138" s="19" t="s">
        <v>228</v>
      </c>
      <c r="B138" s="19" t="s">
        <v>80</v>
      </c>
      <c r="C138" s="19" t="str">
        <f t="shared" si="61"/>
        <v>91408024India</v>
      </c>
      <c r="D138" s="19">
        <v>91408024</v>
      </c>
      <c r="E138" s="19" t="s">
        <v>2211</v>
      </c>
      <c r="F138" s="19" t="s">
        <v>2067</v>
      </c>
      <c r="G138" s="20" t="s">
        <v>2211</v>
      </c>
      <c r="H138" s="136" t="s">
        <v>2234</v>
      </c>
      <c r="I138" s="19" t="s">
        <v>230</v>
      </c>
      <c r="J138" s="19" t="s">
        <v>296</v>
      </c>
      <c r="K138" s="19" t="s">
        <v>315</v>
      </c>
      <c r="L138" s="19" t="s">
        <v>282</v>
      </c>
      <c r="M138" s="19" t="s">
        <v>234</v>
      </c>
      <c r="N138" s="19" t="s">
        <v>284</v>
      </c>
      <c r="O138" s="19" t="s">
        <v>293</v>
      </c>
      <c r="P138" s="19" t="s">
        <v>285</v>
      </c>
      <c r="Q138" s="19" t="s">
        <v>316</v>
      </c>
      <c r="R138" s="19">
        <v>8000</v>
      </c>
      <c r="S138" s="19" t="s">
        <v>239</v>
      </c>
      <c r="T138" s="19" t="s">
        <v>287</v>
      </c>
      <c r="U138" s="20" t="s">
        <v>287</v>
      </c>
      <c r="V138" s="19" t="s">
        <v>1543</v>
      </c>
      <c r="W138" s="19" t="s">
        <v>2199</v>
      </c>
      <c r="X138" s="35">
        <v>5</v>
      </c>
      <c r="Y138" s="35">
        <v>5</v>
      </c>
      <c r="Z138" s="32"/>
      <c r="AA138" s="22">
        <v>2</v>
      </c>
      <c r="AB138" s="22">
        <v>2</v>
      </c>
      <c r="AC138" s="22">
        <v>1</v>
      </c>
      <c r="AD138" s="22"/>
      <c r="AE138" s="60">
        <f t="shared" si="58"/>
        <v>5</v>
      </c>
      <c r="AF138" s="22"/>
      <c r="AG138" s="40">
        <f t="shared" si="59"/>
        <v>5</v>
      </c>
      <c r="AH138" s="24"/>
      <c r="AI138" s="24"/>
      <c r="AJ138" s="121"/>
      <c r="AK138" s="121"/>
      <c r="AL138" s="24"/>
      <c r="AM138" s="24"/>
      <c r="AN138" s="23">
        <f t="shared" si="62"/>
        <v>5</v>
      </c>
      <c r="AO138" s="25"/>
      <c r="AP138" s="25"/>
      <c r="AQ138" s="25"/>
      <c r="AR138" s="25">
        <v>5</v>
      </c>
      <c r="AS138" s="25">
        <f t="shared" si="63"/>
        <v>5</v>
      </c>
      <c r="AT138" s="13"/>
      <c r="AU138" s="21"/>
      <c r="AV138" s="21"/>
      <c r="AW138" s="21"/>
      <c r="AX138" s="21"/>
      <c r="AY138" s="21"/>
      <c r="AZ138" s="21"/>
      <c r="BA138" s="77"/>
      <c r="BB138" s="21"/>
      <c r="BC138" s="21"/>
      <c r="BD138" s="21"/>
      <c r="BE138" s="21"/>
      <c r="BF138" s="21"/>
      <c r="BG138" s="77"/>
      <c r="BH138" s="77"/>
      <c r="BI138" s="21"/>
      <c r="BJ138" s="21"/>
      <c r="BK138" s="21"/>
      <c r="BL138" s="21"/>
      <c r="BM138" s="21"/>
      <c r="BN138" s="21"/>
      <c r="BO138" s="77"/>
      <c r="BP138" s="21"/>
      <c r="BQ138" s="21"/>
      <c r="BR138" s="21">
        <v>5</v>
      </c>
      <c r="BS138" s="21"/>
      <c r="BT138" s="21"/>
      <c r="BU138" s="21"/>
      <c r="BV138" s="77"/>
      <c r="BW138" s="96">
        <f t="shared" si="64"/>
        <v>5</v>
      </c>
      <c r="BX138" s="94">
        <f t="shared" si="65"/>
        <v>0</v>
      </c>
      <c r="BY138" s="26"/>
      <c r="CA138" s="137" t="s">
        <v>2211</v>
      </c>
      <c r="CB138" s="19" t="b">
        <f t="shared" si="60"/>
        <v>1</v>
      </c>
      <c r="CC138" s="19" t="s">
        <v>2211</v>
      </c>
      <c r="CD138" s="19" t="s">
        <v>124</v>
      </c>
      <c r="CE138" s="120" t="s">
        <v>1172</v>
      </c>
      <c r="CF138" s="120" t="s">
        <v>1173</v>
      </c>
      <c r="CG138" s="120" t="s">
        <v>1228</v>
      </c>
      <c r="CH138" s="120" t="s">
        <v>1229</v>
      </c>
      <c r="CI138" s="120" t="s">
        <v>1209</v>
      </c>
      <c r="CJ138" s="120" t="s">
        <v>1210</v>
      </c>
      <c r="CK138" s="120" t="s">
        <v>1244</v>
      </c>
      <c r="CL138" s="120" t="s">
        <v>1245</v>
      </c>
      <c r="CM138" s="120" t="s">
        <v>1246</v>
      </c>
      <c r="CN138" s="120" t="s">
        <v>1247</v>
      </c>
      <c r="CO138" s="120" t="s">
        <v>2262</v>
      </c>
      <c r="CP138" s="120" t="s">
        <v>1249</v>
      </c>
      <c r="CQ138" s="120" t="s">
        <v>1174</v>
      </c>
      <c r="CR138" s="120" t="s">
        <v>1175</v>
      </c>
      <c r="CS138" s="120" t="s">
        <v>1236</v>
      </c>
      <c r="CT138" s="120" t="s">
        <v>1237</v>
      </c>
      <c r="CU138" s="120" t="s">
        <v>1238</v>
      </c>
      <c r="CV138" s="120" t="s">
        <v>1239</v>
      </c>
      <c r="CW138" s="120" t="s">
        <v>1250</v>
      </c>
      <c r="CX138" s="120" t="s">
        <v>1251</v>
      </c>
      <c r="CY138" s="120"/>
      <c r="CZ138" s="120"/>
      <c r="DA138" s="120"/>
      <c r="DB138" s="120"/>
      <c r="DC138" s="120"/>
      <c r="DD138" s="120"/>
      <c r="DE138" s="18"/>
      <c r="DF138" s="18"/>
    </row>
    <row r="139" spans="1:110" s="7" customFormat="1" x14ac:dyDescent="0.25">
      <c r="A139" s="19" t="s">
        <v>228</v>
      </c>
      <c r="B139" s="19" t="s">
        <v>80</v>
      </c>
      <c r="C139" s="19" t="str">
        <f t="shared" si="61"/>
        <v>91402005India</v>
      </c>
      <c r="D139" s="19">
        <v>91402005</v>
      </c>
      <c r="E139" s="19" t="s">
        <v>100</v>
      </c>
      <c r="F139" s="19" t="s">
        <v>2067</v>
      </c>
      <c r="G139" s="20" t="s">
        <v>100</v>
      </c>
      <c r="H139" s="136">
        <v>209</v>
      </c>
      <c r="I139" s="19" t="s">
        <v>230</v>
      </c>
      <c r="J139" s="19" t="s">
        <v>296</v>
      </c>
      <c r="K139" s="19" t="s">
        <v>315</v>
      </c>
      <c r="L139" s="19" t="s">
        <v>282</v>
      </c>
      <c r="M139" s="19" t="s">
        <v>234</v>
      </c>
      <c r="N139" s="19" t="s">
        <v>284</v>
      </c>
      <c r="O139" s="19" t="s">
        <v>293</v>
      </c>
      <c r="P139" s="19" t="s">
        <v>285</v>
      </c>
      <c r="Q139" s="19" t="s">
        <v>316</v>
      </c>
      <c r="R139" s="19">
        <v>8000</v>
      </c>
      <c r="S139" s="19" t="s">
        <v>239</v>
      </c>
      <c r="T139" s="19" t="s">
        <v>287</v>
      </c>
      <c r="U139" s="20" t="s">
        <v>287</v>
      </c>
      <c r="V139" s="19" t="s">
        <v>1544</v>
      </c>
      <c r="W139" s="19" t="s">
        <v>222</v>
      </c>
      <c r="X139" s="35">
        <v>10</v>
      </c>
      <c r="Y139" s="35">
        <v>10</v>
      </c>
      <c r="Z139" s="32"/>
      <c r="AA139" s="22"/>
      <c r="AB139" s="22"/>
      <c r="AC139" s="22"/>
      <c r="AD139" s="22"/>
      <c r="AE139" s="60">
        <f t="shared" si="58"/>
        <v>0</v>
      </c>
      <c r="AF139" s="22"/>
      <c r="AG139" s="40">
        <f t="shared" si="59"/>
        <v>0</v>
      </c>
      <c r="AH139" s="24"/>
      <c r="AI139" s="24"/>
      <c r="AJ139" s="121"/>
      <c r="AK139" s="121"/>
      <c r="AL139" s="24">
        <v>10</v>
      </c>
      <c r="AM139" s="24"/>
      <c r="AN139" s="23">
        <f t="shared" si="62"/>
        <v>10</v>
      </c>
      <c r="AO139" s="25"/>
      <c r="AP139" s="25"/>
      <c r="AQ139" s="25">
        <v>5</v>
      </c>
      <c r="AR139" s="25">
        <v>5</v>
      </c>
      <c r="AS139" s="25">
        <f t="shared" si="63"/>
        <v>10</v>
      </c>
      <c r="AT139" s="13"/>
      <c r="AU139" s="21"/>
      <c r="AV139" s="21"/>
      <c r="AW139" s="21"/>
      <c r="AX139" s="21"/>
      <c r="AY139" s="21"/>
      <c r="AZ139" s="21"/>
      <c r="BA139" s="77"/>
      <c r="BB139" s="21"/>
      <c r="BC139" s="21"/>
      <c r="BD139" s="21"/>
      <c r="BE139" s="21"/>
      <c r="BF139" s="21"/>
      <c r="BG139" s="77"/>
      <c r="BH139" s="77"/>
      <c r="BI139" s="21"/>
      <c r="BJ139" s="21"/>
      <c r="BK139" s="21"/>
      <c r="BL139" s="21"/>
      <c r="BM139" s="21"/>
      <c r="BN139" s="21"/>
      <c r="BO139" s="77"/>
      <c r="BP139" s="21"/>
      <c r="BQ139" s="21"/>
      <c r="BR139" s="21"/>
      <c r="BS139" s="21"/>
      <c r="BT139" s="21"/>
      <c r="BU139" s="21">
        <v>3</v>
      </c>
      <c r="BV139" s="77"/>
      <c r="BW139" s="96">
        <f t="shared" si="64"/>
        <v>3</v>
      </c>
      <c r="BX139" s="94">
        <f t="shared" si="65"/>
        <v>7</v>
      </c>
      <c r="BY139" s="26"/>
      <c r="CA139" s="137" t="s">
        <v>100</v>
      </c>
      <c r="CB139" s="19" t="b">
        <f t="shared" si="60"/>
        <v>1</v>
      </c>
      <c r="CC139" s="19" t="s">
        <v>100</v>
      </c>
      <c r="CD139" s="19" t="s">
        <v>121</v>
      </c>
      <c r="CE139" s="120" t="s">
        <v>1172</v>
      </c>
      <c r="CF139" s="120" t="s">
        <v>1173</v>
      </c>
      <c r="CG139" s="120" t="s">
        <v>1228</v>
      </c>
      <c r="CH139" s="120" t="s">
        <v>1229</v>
      </c>
      <c r="CI139" s="120" t="s">
        <v>1209</v>
      </c>
      <c r="CJ139" s="120" t="s">
        <v>1210</v>
      </c>
      <c r="CK139" s="120" t="s">
        <v>1244</v>
      </c>
      <c r="CL139" s="120" t="s">
        <v>1245</v>
      </c>
      <c r="CM139" s="120" t="s">
        <v>1246</v>
      </c>
      <c r="CN139" s="120" t="s">
        <v>1247</v>
      </c>
      <c r="CO139" s="120" t="s">
        <v>2262</v>
      </c>
      <c r="CP139" s="120" t="s">
        <v>1249</v>
      </c>
      <c r="CQ139" s="120" t="s">
        <v>1174</v>
      </c>
      <c r="CR139" s="120" t="s">
        <v>1175</v>
      </c>
      <c r="CS139" s="120" t="s">
        <v>1236</v>
      </c>
      <c r="CT139" s="120" t="s">
        <v>1237</v>
      </c>
      <c r="CU139" s="120" t="s">
        <v>1238</v>
      </c>
      <c r="CV139" s="120" t="s">
        <v>1239</v>
      </c>
      <c r="CW139" s="120" t="s">
        <v>1250</v>
      </c>
      <c r="CX139" s="120" t="s">
        <v>1251</v>
      </c>
      <c r="CY139" s="120"/>
      <c r="CZ139" s="120"/>
      <c r="DA139" s="120"/>
      <c r="DB139" s="120"/>
      <c r="DC139" s="120"/>
      <c r="DD139" s="120"/>
      <c r="DE139" s="18"/>
      <c r="DF139" s="18"/>
    </row>
    <row r="140" spans="1:110" s="7" customFormat="1" x14ac:dyDescent="0.25">
      <c r="A140" s="19" t="s">
        <v>228</v>
      </c>
      <c r="B140" s="19" t="s">
        <v>80</v>
      </c>
      <c r="C140" s="19" t="str">
        <f t="shared" si="61"/>
        <v>91402007India</v>
      </c>
      <c r="D140" s="19">
        <v>91402007</v>
      </c>
      <c r="E140" s="19" t="s">
        <v>103</v>
      </c>
      <c r="F140" s="19" t="s">
        <v>2067</v>
      </c>
      <c r="G140" s="20" t="s">
        <v>103</v>
      </c>
      <c r="H140" s="136">
        <v>246</v>
      </c>
      <c r="I140" s="19" t="s">
        <v>230</v>
      </c>
      <c r="J140" s="19" t="s">
        <v>296</v>
      </c>
      <c r="K140" s="19" t="s">
        <v>315</v>
      </c>
      <c r="L140" s="19" t="s">
        <v>282</v>
      </c>
      <c r="M140" s="19" t="s">
        <v>234</v>
      </c>
      <c r="N140" s="19" t="s">
        <v>284</v>
      </c>
      <c r="O140" s="19" t="s">
        <v>293</v>
      </c>
      <c r="P140" s="19" t="s">
        <v>285</v>
      </c>
      <c r="Q140" s="19" t="s">
        <v>316</v>
      </c>
      <c r="R140" s="19">
        <v>8000</v>
      </c>
      <c r="S140" s="19" t="s">
        <v>239</v>
      </c>
      <c r="T140" s="19" t="s">
        <v>287</v>
      </c>
      <c r="U140" s="20" t="s">
        <v>287</v>
      </c>
      <c r="V140" s="19" t="s">
        <v>1758</v>
      </c>
      <c r="W140" s="19" t="s">
        <v>2199</v>
      </c>
      <c r="X140" s="35">
        <v>15</v>
      </c>
      <c r="Y140" s="35">
        <v>15</v>
      </c>
      <c r="Z140" s="32"/>
      <c r="AA140" s="22">
        <v>2</v>
      </c>
      <c r="AB140" s="22">
        <v>2</v>
      </c>
      <c r="AC140" s="22">
        <v>1</v>
      </c>
      <c r="AD140" s="22"/>
      <c r="AE140" s="60">
        <f t="shared" si="58"/>
        <v>5</v>
      </c>
      <c r="AF140" s="22"/>
      <c r="AG140" s="40">
        <f t="shared" si="59"/>
        <v>5</v>
      </c>
      <c r="AH140" s="24"/>
      <c r="AI140" s="24"/>
      <c r="AJ140" s="121"/>
      <c r="AK140" s="121"/>
      <c r="AL140" s="24">
        <v>10</v>
      </c>
      <c r="AM140" s="24"/>
      <c r="AN140" s="23">
        <f t="shared" si="62"/>
        <v>15</v>
      </c>
      <c r="AO140" s="25"/>
      <c r="AP140" s="25">
        <v>5</v>
      </c>
      <c r="AQ140" s="25">
        <v>5</v>
      </c>
      <c r="AR140" s="25">
        <v>5</v>
      </c>
      <c r="AS140" s="25">
        <f t="shared" si="63"/>
        <v>15</v>
      </c>
      <c r="AT140" s="13"/>
      <c r="AU140" s="21"/>
      <c r="AV140" s="21"/>
      <c r="AW140" s="21"/>
      <c r="AX140" s="21"/>
      <c r="AY140" s="21"/>
      <c r="AZ140" s="21"/>
      <c r="BA140" s="77"/>
      <c r="BB140" s="21"/>
      <c r="BC140" s="21"/>
      <c r="BD140" s="21">
        <v>2</v>
      </c>
      <c r="BE140" s="21">
        <v>3</v>
      </c>
      <c r="BF140" s="21"/>
      <c r="BG140" s="77"/>
      <c r="BH140" s="77"/>
      <c r="BI140" s="21"/>
      <c r="BJ140" s="21"/>
      <c r="BK140" s="21"/>
      <c r="BL140" s="21"/>
      <c r="BM140" s="21"/>
      <c r="BN140" s="21"/>
      <c r="BO140" s="77"/>
      <c r="BP140" s="21"/>
      <c r="BQ140" s="21"/>
      <c r="BR140" s="21"/>
      <c r="BS140" s="21"/>
      <c r="BT140" s="21"/>
      <c r="BU140" s="21">
        <v>3</v>
      </c>
      <c r="BV140" s="77"/>
      <c r="BW140" s="96">
        <f t="shared" si="64"/>
        <v>8</v>
      </c>
      <c r="BX140" s="94">
        <f t="shared" si="65"/>
        <v>7</v>
      </c>
      <c r="BY140" s="26"/>
      <c r="CA140" s="137" t="s">
        <v>103</v>
      </c>
      <c r="CB140" s="19" t="b">
        <f t="shared" si="60"/>
        <v>1</v>
      </c>
      <c r="CC140" s="19" t="s">
        <v>103</v>
      </c>
      <c r="CD140" s="19" t="s">
        <v>124</v>
      </c>
      <c r="CE140" s="120" t="s">
        <v>1172</v>
      </c>
      <c r="CF140" s="120" t="s">
        <v>1173</v>
      </c>
      <c r="CG140" s="120" t="s">
        <v>1228</v>
      </c>
      <c r="CH140" s="120" t="s">
        <v>1229</v>
      </c>
      <c r="CI140" s="120" t="s">
        <v>1209</v>
      </c>
      <c r="CJ140" s="120" t="s">
        <v>1210</v>
      </c>
      <c r="CK140" s="120" t="s">
        <v>1244</v>
      </c>
      <c r="CL140" s="120" t="s">
        <v>1245</v>
      </c>
      <c r="CM140" s="120" t="s">
        <v>1246</v>
      </c>
      <c r="CN140" s="120" t="s">
        <v>1247</v>
      </c>
      <c r="CO140" s="120" t="s">
        <v>2262</v>
      </c>
      <c r="CP140" s="120" t="s">
        <v>1249</v>
      </c>
      <c r="CQ140" s="120" t="s">
        <v>1174</v>
      </c>
      <c r="CR140" s="120" t="s">
        <v>1175</v>
      </c>
      <c r="CS140" s="120" t="s">
        <v>1236</v>
      </c>
      <c r="CT140" s="120" t="s">
        <v>1237</v>
      </c>
      <c r="CU140" s="120" t="s">
        <v>1238</v>
      </c>
      <c r="CV140" s="120" t="s">
        <v>1239</v>
      </c>
      <c r="CW140" s="120" t="s">
        <v>1250</v>
      </c>
      <c r="CX140" s="120" t="s">
        <v>1251</v>
      </c>
      <c r="CY140" s="120"/>
      <c r="CZ140" s="120"/>
      <c r="DA140" s="120"/>
      <c r="DB140" s="120"/>
      <c r="DC140" s="120"/>
      <c r="DD140" s="120"/>
      <c r="DE140" s="18"/>
      <c r="DF140" s="18"/>
    </row>
    <row r="141" spans="1:110" s="7" customFormat="1" x14ac:dyDescent="0.25">
      <c r="A141" s="19" t="s">
        <v>228</v>
      </c>
      <c r="B141" s="19" t="s">
        <v>80</v>
      </c>
      <c r="C141" s="19" t="str">
        <f t="shared" si="61"/>
        <v>91402006India</v>
      </c>
      <c r="D141" s="19">
        <v>91402006</v>
      </c>
      <c r="E141" s="19" t="s">
        <v>1746</v>
      </c>
      <c r="F141" s="19" t="s">
        <v>2067</v>
      </c>
      <c r="G141" s="20" t="s">
        <v>1746</v>
      </c>
      <c r="H141" s="136">
        <v>160</v>
      </c>
      <c r="I141" s="19" t="s">
        <v>230</v>
      </c>
      <c r="J141" s="19" t="s">
        <v>296</v>
      </c>
      <c r="K141" s="19" t="s">
        <v>315</v>
      </c>
      <c r="L141" s="19" t="s">
        <v>282</v>
      </c>
      <c r="M141" s="19" t="s">
        <v>234</v>
      </c>
      <c r="N141" s="19" t="s">
        <v>284</v>
      </c>
      <c r="O141" s="19" t="s">
        <v>293</v>
      </c>
      <c r="P141" s="19" t="s">
        <v>285</v>
      </c>
      <c r="Q141" s="19" t="s">
        <v>316</v>
      </c>
      <c r="R141" s="19">
        <v>8000</v>
      </c>
      <c r="S141" s="19" t="s">
        <v>239</v>
      </c>
      <c r="T141" s="19" t="s">
        <v>287</v>
      </c>
      <c r="U141" s="20" t="s">
        <v>287</v>
      </c>
      <c r="V141" s="19" t="s">
        <v>2184</v>
      </c>
      <c r="W141" s="19" t="s">
        <v>2199</v>
      </c>
      <c r="X141" s="35">
        <v>10</v>
      </c>
      <c r="Y141" s="35">
        <v>10</v>
      </c>
      <c r="Z141" s="32"/>
      <c r="AA141" s="22">
        <v>2</v>
      </c>
      <c r="AB141" s="22">
        <v>2</v>
      </c>
      <c r="AC141" s="22">
        <v>1</v>
      </c>
      <c r="AD141" s="22"/>
      <c r="AE141" s="60">
        <f t="shared" si="58"/>
        <v>5</v>
      </c>
      <c r="AF141" s="22"/>
      <c r="AG141" s="40">
        <f t="shared" si="59"/>
        <v>5</v>
      </c>
      <c r="AH141" s="24"/>
      <c r="AI141" s="24"/>
      <c r="AJ141" s="121"/>
      <c r="AK141" s="121"/>
      <c r="AL141" s="24">
        <v>10</v>
      </c>
      <c r="AM141" s="24"/>
      <c r="AN141" s="23">
        <f t="shared" si="62"/>
        <v>15</v>
      </c>
      <c r="AO141" s="25"/>
      <c r="AP141" s="25">
        <v>5</v>
      </c>
      <c r="AQ141" s="25">
        <v>5</v>
      </c>
      <c r="AR141" s="25">
        <v>5</v>
      </c>
      <c r="AS141" s="25">
        <f t="shared" si="63"/>
        <v>15</v>
      </c>
      <c r="AT141" s="13"/>
      <c r="AU141" s="21"/>
      <c r="AV141" s="21"/>
      <c r="AW141" s="21"/>
      <c r="AX141" s="21"/>
      <c r="AY141" s="21"/>
      <c r="AZ141" s="21"/>
      <c r="BA141" s="77"/>
      <c r="BB141" s="21"/>
      <c r="BC141" s="21"/>
      <c r="BD141" s="21">
        <v>2</v>
      </c>
      <c r="BE141" s="21">
        <v>3</v>
      </c>
      <c r="BF141" s="21"/>
      <c r="BG141" s="77"/>
      <c r="BH141" s="77"/>
      <c r="BI141" s="21"/>
      <c r="BJ141" s="21"/>
      <c r="BK141" s="21"/>
      <c r="BL141" s="21"/>
      <c r="BM141" s="21"/>
      <c r="BN141" s="21"/>
      <c r="BO141" s="77"/>
      <c r="BP141" s="21"/>
      <c r="BQ141" s="21"/>
      <c r="BR141" s="21"/>
      <c r="BS141" s="21"/>
      <c r="BT141" s="21"/>
      <c r="BU141" s="21">
        <v>3</v>
      </c>
      <c r="BV141" s="77"/>
      <c r="BW141" s="96">
        <f t="shared" si="64"/>
        <v>8</v>
      </c>
      <c r="BX141" s="94">
        <f t="shared" si="65"/>
        <v>7</v>
      </c>
      <c r="BY141" s="26"/>
      <c r="CA141" s="137" t="s">
        <v>1746</v>
      </c>
      <c r="CB141" s="19" t="b">
        <f t="shared" si="60"/>
        <v>1</v>
      </c>
      <c r="CC141" s="19" t="s">
        <v>1746</v>
      </c>
      <c r="CD141" s="19" t="s">
        <v>1940</v>
      </c>
      <c r="CE141" s="120" t="s">
        <v>1172</v>
      </c>
      <c r="CF141" s="120" t="s">
        <v>1173</v>
      </c>
      <c r="CG141" s="120" t="s">
        <v>1228</v>
      </c>
      <c r="CH141" s="120" t="s">
        <v>1229</v>
      </c>
      <c r="CI141" s="120" t="s">
        <v>1209</v>
      </c>
      <c r="CJ141" s="120" t="s">
        <v>1210</v>
      </c>
      <c r="CK141" s="120" t="s">
        <v>1244</v>
      </c>
      <c r="CL141" s="120" t="s">
        <v>1245</v>
      </c>
      <c r="CM141" s="120" t="s">
        <v>1246</v>
      </c>
      <c r="CN141" s="120" t="s">
        <v>1247</v>
      </c>
      <c r="CO141" s="120" t="s">
        <v>2262</v>
      </c>
      <c r="CP141" s="120" t="s">
        <v>1249</v>
      </c>
      <c r="CQ141" s="120" t="s">
        <v>1174</v>
      </c>
      <c r="CR141" s="120" t="s">
        <v>1175</v>
      </c>
      <c r="CS141" s="120" t="s">
        <v>1236</v>
      </c>
      <c r="CT141" s="120" t="s">
        <v>1237</v>
      </c>
      <c r="CU141" s="120" t="s">
        <v>1238</v>
      </c>
      <c r="CV141" s="120" t="s">
        <v>1239</v>
      </c>
      <c r="CW141" s="120" t="s">
        <v>1250</v>
      </c>
      <c r="CX141" s="120" t="s">
        <v>1251</v>
      </c>
      <c r="CY141" s="120"/>
      <c r="CZ141" s="120"/>
      <c r="DA141" s="120"/>
      <c r="DB141" s="120"/>
      <c r="DC141" s="120"/>
      <c r="DD141" s="120"/>
      <c r="DE141" s="18"/>
      <c r="DF141" s="18"/>
    </row>
    <row r="142" spans="1:110" s="7" customFormat="1" x14ac:dyDescent="0.25">
      <c r="A142" s="19" t="s">
        <v>228</v>
      </c>
      <c r="B142" s="19" t="s">
        <v>80</v>
      </c>
      <c r="C142" s="19" t="str">
        <f t="shared" si="61"/>
        <v>91409787India</v>
      </c>
      <c r="D142" s="19">
        <v>91409787</v>
      </c>
      <c r="E142" s="19" t="s">
        <v>1824</v>
      </c>
      <c r="F142" s="19" t="s">
        <v>2067</v>
      </c>
      <c r="G142" s="20" t="s">
        <v>1824</v>
      </c>
      <c r="H142" s="136">
        <v>35</v>
      </c>
      <c r="I142" s="19" t="s">
        <v>230</v>
      </c>
      <c r="J142" s="19" t="s">
        <v>296</v>
      </c>
      <c r="K142" s="19" t="s">
        <v>315</v>
      </c>
      <c r="L142" s="19" t="s">
        <v>282</v>
      </c>
      <c r="M142" s="19" t="s">
        <v>234</v>
      </c>
      <c r="N142" s="19" t="s">
        <v>284</v>
      </c>
      <c r="O142" s="19" t="s">
        <v>311</v>
      </c>
      <c r="P142" s="19" t="s">
        <v>285</v>
      </c>
      <c r="Q142" s="19" t="s">
        <v>316</v>
      </c>
      <c r="R142" s="19">
        <v>8000</v>
      </c>
      <c r="S142" s="19" t="s">
        <v>239</v>
      </c>
      <c r="T142" s="19" t="s">
        <v>287</v>
      </c>
      <c r="U142" s="20" t="s">
        <v>287</v>
      </c>
      <c r="V142" s="19" t="s">
        <v>1767</v>
      </c>
      <c r="W142" s="19" t="s">
        <v>222</v>
      </c>
      <c r="X142" s="35">
        <v>5</v>
      </c>
      <c r="Y142" s="35">
        <v>5</v>
      </c>
      <c r="Z142" s="32"/>
      <c r="AA142" s="22"/>
      <c r="AB142" s="22"/>
      <c r="AC142" s="22"/>
      <c r="AD142" s="22"/>
      <c r="AE142" s="60">
        <f t="shared" si="58"/>
        <v>0</v>
      </c>
      <c r="AF142" s="22"/>
      <c r="AG142" s="40">
        <f t="shared" si="59"/>
        <v>0</v>
      </c>
      <c r="AH142" s="24"/>
      <c r="AI142" s="24"/>
      <c r="AJ142" s="121"/>
      <c r="AK142" s="121"/>
      <c r="AL142" s="24">
        <v>10</v>
      </c>
      <c r="AM142" s="24"/>
      <c r="AN142" s="23">
        <f t="shared" si="62"/>
        <v>10</v>
      </c>
      <c r="AO142" s="25"/>
      <c r="AP142" s="25"/>
      <c r="AQ142" s="25">
        <v>5</v>
      </c>
      <c r="AR142" s="25">
        <v>5</v>
      </c>
      <c r="AS142" s="25">
        <f t="shared" si="63"/>
        <v>10</v>
      </c>
      <c r="AT142" s="13"/>
      <c r="AU142" s="21"/>
      <c r="AV142" s="21"/>
      <c r="AW142" s="21"/>
      <c r="AX142" s="21"/>
      <c r="AY142" s="21"/>
      <c r="AZ142" s="21"/>
      <c r="BA142" s="77"/>
      <c r="BB142" s="21"/>
      <c r="BC142" s="21"/>
      <c r="BD142" s="21"/>
      <c r="BE142" s="21"/>
      <c r="BF142" s="21"/>
      <c r="BG142" s="77"/>
      <c r="BH142" s="77"/>
      <c r="BI142" s="21"/>
      <c r="BJ142" s="21"/>
      <c r="BK142" s="21"/>
      <c r="BL142" s="21"/>
      <c r="BM142" s="21"/>
      <c r="BN142" s="21"/>
      <c r="BO142" s="77"/>
      <c r="BP142" s="21"/>
      <c r="BQ142" s="21"/>
      <c r="BR142" s="21"/>
      <c r="BS142" s="21"/>
      <c r="BT142" s="21"/>
      <c r="BU142" s="21">
        <v>3</v>
      </c>
      <c r="BV142" s="77"/>
      <c r="BW142" s="96">
        <f t="shared" si="64"/>
        <v>3</v>
      </c>
      <c r="BX142" s="94">
        <f t="shared" si="65"/>
        <v>7</v>
      </c>
      <c r="BY142" s="26"/>
      <c r="CA142" s="137" t="s">
        <v>1824</v>
      </c>
      <c r="CB142" s="19" t="b">
        <f t="shared" si="60"/>
        <v>1</v>
      </c>
      <c r="CC142" s="19" t="s">
        <v>1824</v>
      </c>
      <c r="CD142" s="19" t="s">
        <v>1941</v>
      </c>
      <c r="CE142" s="120" t="s">
        <v>1172</v>
      </c>
      <c r="CF142" s="120" t="s">
        <v>1173</v>
      </c>
      <c r="CG142" s="120" t="s">
        <v>1228</v>
      </c>
      <c r="CH142" s="120" t="s">
        <v>1229</v>
      </c>
      <c r="CI142" s="120" t="s">
        <v>1209</v>
      </c>
      <c r="CJ142" s="120" t="s">
        <v>1210</v>
      </c>
      <c r="CK142" s="120" t="s">
        <v>1244</v>
      </c>
      <c r="CL142" s="120" t="s">
        <v>1245</v>
      </c>
      <c r="CM142" s="120" t="s">
        <v>1246</v>
      </c>
      <c r="CN142" s="120" t="s">
        <v>1247</v>
      </c>
      <c r="CO142" s="120" t="s">
        <v>2262</v>
      </c>
      <c r="CP142" s="120" t="s">
        <v>1249</v>
      </c>
      <c r="CQ142" s="120" t="s">
        <v>1174</v>
      </c>
      <c r="CR142" s="120" t="s">
        <v>1175</v>
      </c>
      <c r="CS142" s="120" t="s">
        <v>1236</v>
      </c>
      <c r="CT142" s="120" t="s">
        <v>1237</v>
      </c>
      <c r="CU142" s="120" t="s">
        <v>1238</v>
      </c>
      <c r="CV142" s="120" t="s">
        <v>1239</v>
      </c>
      <c r="CW142" s="120" t="s">
        <v>1250</v>
      </c>
      <c r="CX142" s="120" t="s">
        <v>1251</v>
      </c>
      <c r="CY142" s="120"/>
      <c r="CZ142" s="120"/>
      <c r="DA142" s="120"/>
      <c r="DB142" s="120"/>
      <c r="DC142" s="120"/>
      <c r="DD142" s="120"/>
      <c r="DE142" s="18"/>
      <c r="DF142" s="18"/>
    </row>
    <row r="143" spans="1:110" s="7" customFormat="1" x14ac:dyDescent="0.25">
      <c r="A143" s="19" t="s">
        <v>228</v>
      </c>
      <c r="B143" s="19" t="s">
        <v>80</v>
      </c>
      <c r="C143" s="19" t="str">
        <f t="shared" si="61"/>
        <v>91408019India</v>
      </c>
      <c r="D143" s="19">
        <v>91408019</v>
      </c>
      <c r="E143" s="19" t="s">
        <v>1825</v>
      </c>
      <c r="F143" s="19" t="s">
        <v>2067</v>
      </c>
      <c r="G143" s="20" t="s">
        <v>1825</v>
      </c>
      <c r="H143" s="136">
        <v>24</v>
      </c>
      <c r="I143" s="19" t="s">
        <v>230</v>
      </c>
      <c r="J143" s="19" t="s">
        <v>296</v>
      </c>
      <c r="K143" s="19" t="s">
        <v>315</v>
      </c>
      <c r="L143" s="19" t="s">
        <v>262</v>
      </c>
      <c r="M143" s="19" t="s">
        <v>234</v>
      </c>
      <c r="N143" s="19" t="s">
        <v>284</v>
      </c>
      <c r="O143" s="19" t="s">
        <v>293</v>
      </c>
      <c r="P143" s="19" t="s">
        <v>285</v>
      </c>
      <c r="Q143" s="19" t="s">
        <v>316</v>
      </c>
      <c r="R143" s="19">
        <v>8000</v>
      </c>
      <c r="S143" s="19" t="s">
        <v>239</v>
      </c>
      <c r="T143" s="19" t="s">
        <v>287</v>
      </c>
      <c r="U143" s="20" t="s">
        <v>287</v>
      </c>
      <c r="V143" s="19" t="s">
        <v>1768</v>
      </c>
      <c r="W143" s="19" t="s">
        <v>222</v>
      </c>
      <c r="X143" s="35">
        <v>5</v>
      </c>
      <c r="Y143" s="35">
        <v>5</v>
      </c>
      <c r="Z143" s="32"/>
      <c r="AA143" s="22"/>
      <c r="AB143" s="22"/>
      <c r="AC143" s="22"/>
      <c r="AD143" s="22"/>
      <c r="AE143" s="60">
        <f t="shared" si="58"/>
        <v>0</v>
      </c>
      <c r="AF143" s="22"/>
      <c r="AG143" s="40">
        <f t="shared" si="59"/>
        <v>0</v>
      </c>
      <c r="AH143" s="24"/>
      <c r="AI143" s="24"/>
      <c r="AJ143" s="121"/>
      <c r="AK143" s="121"/>
      <c r="AL143" s="24"/>
      <c r="AM143" s="24"/>
      <c r="AN143" s="23">
        <f t="shared" si="62"/>
        <v>0</v>
      </c>
      <c r="AO143" s="25"/>
      <c r="AP143" s="25"/>
      <c r="AQ143" s="25"/>
      <c r="AR143" s="25"/>
      <c r="AS143" s="25">
        <f t="shared" si="63"/>
        <v>0</v>
      </c>
      <c r="AT143" s="13"/>
      <c r="AU143" s="21"/>
      <c r="AV143" s="21"/>
      <c r="AW143" s="21"/>
      <c r="AX143" s="21"/>
      <c r="AY143" s="21"/>
      <c r="AZ143" s="21"/>
      <c r="BA143" s="77"/>
      <c r="BB143" s="21"/>
      <c r="BC143" s="21"/>
      <c r="BD143" s="21"/>
      <c r="BE143" s="21"/>
      <c r="BF143" s="21"/>
      <c r="BG143" s="77"/>
      <c r="BH143" s="77"/>
      <c r="BI143" s="21"/>
      <c r="BJ143" s="21"/>
      <c r="BK143" s="21"/>
      <c r="BL143" s="21"/>
      <c r="BM143" s="21"/>
      <c r="BN143" s="21"/>
      <c r="BO143" s="77"/>
      <c r="BP143" s="21"/>
      <c r="BQ143" s="21"/>
      <c r="BR143" s="21"/>
      <c r="BS143" s="21"/>
      <c r="BT143" s="21"/>
      <c r="BU143" s="21"/>
      <c r="BV143" s="77"/>
      <c r="BW143" s="96">
        <f t="shared" si="64"/>
        <v>0</v>
      </c>
      <c r="BX143" s="94">
        <f t="shared" si="65"/>
        <v>0</v>
      </c>
      <c r="BY143" s="26"/>
      <c r="CA143" s="137" t="s">
        <v>1825</v>
      </c>
      <c r="CB143" s="19" t="b">
        <f t="shared" si="60"/>
        <v>1</v>
      </c>
      <c r="CC143" s="19" t="s">
        <v>1825</v>
      </c>
      <c r="CD143" s="19" t="s">
        <v>1942</v>
      </c>
      <c r="CE143" s="120" t="s">
        <v>1172</v>
      </c>
      <c r="CF143" s="120" t="s">
        <v>1173</v>
      </c>
      <c r="CG143" s="120" t="s">
        <v>1228</v>
      </c>
      <c r="CH143" s="120" t="s">
        <v>1229</v>
      </c>
      <c r="CI143" s="120" t="s">
        <v>1209</v>
      </c>
      <c r="CJ143" s="120" t="s">
        <v>1210</v>
      </c>
      <c r="CK143" s="120" t="s">
        <v>1244</v>
      </c>
      <c r="CL143" s="120" t="s">
        <v>1245</v>
      </c>
      <c r="CM143" s="120" t="s">
        <v>1943</v>
      </c>
      <c r="CN143" s="120" t="s">
        <v>1944</v>
      </c>
      <c r="CO143" s="120" t="s">
        <v>2262</v>
      </c>
      <c r="CP143" s="120" t="s">
        <v>1249</v>
      </c>
      <c r="CQ143" s="120" t="s">
        <v>1174</v>
      </c>
      <c r="CR143" s="120" t="s">
        <v>1175</v>
      </c>
      <c r="CS143" s="120" t="s">
        <v>1236</v>
      </c>
      <c r="CT143" s="120" t="s">
        <v>1237</v>
      </c>
      <c r="CU143" s="120" t="s">
        <v>1238</v>
      </c>
      <c r="CV143" s="120" t="s">
        <v>1239</v>
      </c>
      <c r="CW143" s="120" t="s">
        <v>1250</v>
      </c>
      <c r="CX143" s="120" t="s">
        <v>1251</v>
      </c>
      <c r="CY143" s="120"/>
      <c r="CZ143" s="120"/>
      <c r="DA143" s="120"/>
      <c r="DB143" s="120"/>
      <c r="DC143" s="120"/>
      <c r="DD143" s="120"/>
      <c r="DE143" s="18"/>
      <c r="DF143" s="18"/>
    </row>
    <row r="144" spans="1:110" s="7" customFormat="1" x14ac:dyDescent="0.25">
      <c r="A144" s="19" t="s">
        <v>228</v>
      </c>
      <c r="B144" s="19" t="s">
        <v>80</v>
      </c>
      <c r="C144" s="19" t="str">
        <f t="shared" si="61"/>
        <v>97107807India</v>
      </c>
      <c r="D144" s="19">
        <v>97107807</v>
      </c>
      <c r="E144" s="19" t="s">
        <v>302</v>
      </c>
      <c r="F144" s="19" t="s">
        <v>2067</v>
      </c>
      <c r="G144" s="20" t="s">
        <v>302</v>
      </c>
      <c r="H144" s="136">
        <v>98</v>
      </c>
      <c r="I144" s="19" t="s">
        <v>230</v>
      </c>
      <c r="J144" s="19" t="s">
        <v>288</v>
      </c>
      <c r="K144" s="19" t="s">
        <v>303</v>
      </c>
      <c r="L144" s="19" t="s">
        <v>282</v>
      </c>
      <c r="M144" s="19" t="s">
        <v>234</v>
      </c>
      <c r="N144" s="19" t="s">
        <v>284</v>
      </c>
      <c r="O144" s="19" t="s">
        <v>304</v>
      </c>
      <c r="P144" s="19" t="s">
        <v>285</v>
      </c>
      <c r="Q144" s="19" t="s">
        <v>294</v>
      </c>
      <c r="R144" s="19">
        <v>8400</v>
      </c>
      <c r="S144" s="19" t="s">
        <v>239</v>
      </c>
      <c r="T144" s="19" t="s">
        <v>287</v>
      </c>
      <c r="U144" s="20" t="s">
        <v>287</v>
      </c>
      <c r="V144" s="19" t="s">
        <v>113</v>
      </c>
      <c r="W144" s="19" t="s">
        <v>2199</v>
      </c>
      <c r="X144" s="35">
        <v>5</v>
      </c>
      <c r="Y144" s="35">
        <v>10</v>
      </c>
      <c r="Z144" s="32"/>
      <c r="AA144" s="22"/>
      <c r="AB144" s="22"/>
      <c r="AC144" s="22"/>
      <c r="AD144" s="22"/>
      <c r="AE144" s="60">
        <f t="shared" si="58"/>
        <v>0</v>
      </c>
      <c r="AF144" s="22"/>
      <c r="AG144" s="40">
        <f t="shared" si="59"/>
        <v>0</v>
      </c>
      <c r="AH144" s="24"/>
      <c r="AI144" s="24"/>
      <c r="AJ144" s="121"/>
      <c r="AK144" s="121"/>
      <c r="AL144" s="24"/>
      <c r="AM144" s="24"/>
      <c r="AN144" s="23">
        <f t="shared" si="62"/>
        <v>0</v>
      </c>
      <c r="AO144" s="25"/>
      <c r="AP144" s="25"/>
      <c r="AQ144" s="25"/>
      <c r="AR144" s="25"/>
      <c r="AS144" s="25">
        <f t="shared" si="63"/>
        <v>0</v>
      </c>
      <c r="AT144" s="13"/>
      <c r="AU144" s="21"/>
      <c r="AV144" s="21"/>
      <c r="AW144" s="21"/>
      <c r="AX144" s="21"/>
      <c r="AY144" s="21"/>
      <c r="AZ144" s="21"/>
      <c r="BA144" s="77"/>
      <c r="BB144" s="21"/>
      <c r="BC144" s="21"/>
      <c r="BD144" s="21"/>
      <c r="BE144" s="21"/>
      <c r="BF144" s="21"/>
      <c r="BG144" s="77"/>
      <c r="BH144" s="77"/>
      <c r="BI144" s="21"/>
      <c r="BJ144" s="21"/>
      <c r="BK144" s="21"/>
      <c r="BL144" s="21"/>
      <c r="BM144" s="21"/>
      <c r="BN144" s="21"/>
      <c r="BO144" s="77"/>
      <c r="BP144" s="21"/>
      <c r="BQ144" s="21"/>
      <c r="BR144" s="21"/>
      <c r="BS144" s="21"/>
      <c r="BT144" s="21"/>
      <c r="BU144" s="21"/>
      <c r="BV144" s="77"/>
      <c r="BW144" s="96">
        <f t="shared" si="64"/>
        <v>0</v>
      </c>
      <c r="BX144" s="94">
        <f t="shared" si="65"/>
        <v>0</v>
      </c>
      <c r="BY144" s="26"/>
      <c r="CA144" s="137" t="s">
        <v>302</v>
      </c>
      <c r="CB144" s="19" t="b">
        <f t="shared" si="60"/>
        <v>1</v>
      </c>
      <c r="CC144" s="19" t="s">
        <v>302</v>
      </c>
      <c r="CD144" s="19" t="s">
        <v>1265</v>
      </c>
      <c r="CE144" s="120" t="s">
        <v>1189</v>
      </c>
      <c r="CF144" s="120" t="s">
        <v>1260</v>
      </c>
      <c r="CG144" s="120" t="s">
        <v>1266</v>
      </c>
      <c r="CH144" s="120" t="s">
        <v>1267</v>
      </c>
      <c r="CI144" s="120" t="s">
        <v>1176</v>
      </c>
      <c r="CJ144" s="120" t="s">
        <v>1177</v>
      </c>
      <c r="CK144" s="120" t="s">
        <v>1268</v>
      </c>
      <c r="CL144" s="120" t="s">
        <v>1269</v>
      </c>
      <c r="CM144" s="120" t="s">
        <v>1270</v>
      </c>
      <c r="CN144" s="120" t="s">
        <v>1271</v>
      </c>
      <c r="CO144" s="120" t="s">
        <v>2263</v>
      </c>
      <c r="CP144" s="120" t="s">
        <v>1273</v>
      </c>
      <c r="CQ144" s="120" t="s">
        <v>1261</v>
      </c>
      <c r="CR144" s="120" t="s">
        <v>1200</v>
      </c>
      <c r="CS144" s="120" t="s">
        <v>1262</v>
      </c>
      <c r="CT144" s="120" t="s">
        <v>1263</v>
      </c>
      <c r="CU144" s="120" t="s">
        <v>1274</v>
      </c>
      <c r="CV144" s="120" t="s">
        <v>1275</v>
      </c>
      <c r="CW144" s="120" t="s">
        <v>1276</v>
      </c>
      <c r="CX144" s="120" t="s">
        <v>1277</v>
      </c>
      <c r="CY144" s="120"/>
      <c r="CZ144" s="120"/>
      <c r="DA144" s="120"/>
      <c r="DB144" s="120"/>
      <c r="DC144" s="120"/>
      <c r="DD144" s="120"/>
      <c r="DE144" s="18"/>
      <c r="DF144" s="18"/>
    </row>
    <row r="145" spans="1:110" s="7" customFormat="1" x14ac:dyDescent="0.25">
      <c r="A145" s="19" t="s">
        <v>228</v>
      </c>
      <c r="B145" s="19" t="s">
        <v>80</v>
      </c>
      <c r="C145" s="19" t="str">
        <f t="shared" si="61"/>
        <v>97151983India</v>
      </c>
      <c r="D145" s="19">
        <v>97151983</v>
      </c>
      <c r="E145" s="19" t="s">
        <v>319</v>
      </c>
      <c r="F145" s="19" t="s">
        <v>2067</v>
      </c>
      <c r="G145" s="20" t="s">
        <v>319</v>
      </c>
      <c r="H145" s="136">
        <v>154</v>
      </c>
      <c r="I145" s="19" t="s">
        <v>230</v>
      </c>
      <c r="J145" s="19" t="s">
        <v>296</v>
      </c>
      <c r="K145" s="19" t="s">
        <v>303</v>
      </c>
      <c r="L145" s="19" t="s">
        <v>262</v>
      </c>
      <c r="M145" s="19" t="s">
        <v>234</v>
      </c>
      <c r="N145" s="19" t="s">
        <v>284</v>
      </c>
      <c r="O145" s="19" t="s">
        <v>320</v>
      </c>
      <c r="P145" s="19" t="s">
        <v>285</v>
      </c>
      <c r="Q145" s="19" t="s">
        <v>294</v>
      </c>
      <c r="R145" s="19">
        <v>8400</v>
      </c>
      <c r="S145" s="19" t="s">
        <v>239</v>
      </c>
      <c r="T145" s="19" t="s">
        <v>287</v>
      </c>
      <c r="U145" s="20" t="s">
        <v>287</v>
      </c>
      <c r="V145" s="19" t="s">
        <v>119</v>
      </c>
      <c r="W145" s="19" t="s">
        <v>222</v>
      </c>
      <c r="X145" s="35">
        <v>25</v>
      </c>
      <c r="Y145" s="35">
        <v>25</v>
      </c>
      <c r="Z145" s="32"/>
      <c r="AA145" s="22">
        <v>5</v>
      </c>
      <c r="AB145" s="22">
        <v>5</v>
      </c>
      <c r="AC145" s="22">
        <v>3</v>
      </c>
      <c r="AD145" s="22">
        <v>2</v>
      </c>
      <c r="AE145" s="60">
        <f t="shared" si="58"/>
        <v>15</v>
      </c>
      <c r="AF145" s="22"/>
      <c r="AG145" s="40">
        <f t="shared" si="59"/>
        <v>15</v>
      </c>
      <c r="AH145" s="24"/>
      <c r="AI145" s="24"/>
      <c r="AJ145" s="121"/>
      <c r="AK145" s="121"/>
      <c r="AL145" s="24">
        <v>15</v>
      </c>
      <c r="AM145" s="24"/>
      <c r="AN145" s="23">
        <f t="shared" si="62"/>
        <v>30</v>
      </c>
      <c r="AO145" s="25"/>
      <c r="AP145" s="25">
        <v>10</v>
      </c>
      <c r="AQ145" s="25">
        <v>10</v>
      </c>
      <c r="AR145" s="25">
        <v>10</v>
      </c>
      <c r="AS145" s="25">
        <f t="shared" si="63"/>
        <v>30</v>
      </c>
      <c r="AT145" s="13"/>
      <c r="AU145" s="21"/>
      <c r="AV145" s="21"/>
      <c r="AW145" s="21"/>
      <c r="AX145" s="21"/>
      <c r="AY145" s="21"/>
      <c r="AZ145" s="21"/>
      <c r="BA145" s="77"/>
      <c r="BB145" s="21"/>
      <c r="BC145" s="21"/>
      <c r="BD145" s="21">
        <v>5</v>
      </c>
      <c r="BE145" s="21">
        <v>5</v>
      </c>
      <c r="BF145" s="21"/>
      <c r="BG145" s="77"/>
      <c r="BH145" s="77"/>
      <c r="BI145" s="21"/>
      <c r="BJ145" s="21"/>
      <c r="BK145" s="21">
        <v>5</v>
      </c>
      <c r="BL145" s="21"/>
      <c r="BM145" s="21"/>
      <c r="BN145" s="21"/>
      <c r="BO145" s="77"/>
      <c r="BP145" s="21"/>
      <c r="BQ145" s="21"/>
      <c r="BR145" s="21"/>
      <c r="BS145" s="21"/>
      <c r="BT145" s="21"/>
      <c r="BU145" s="21">
        <v>5</v>
      </c>
      <c r="BV145" s="77"/>
      <c r="BW145" s="96">
        <f t="shared" si="64"/>
        <v>20</v>
      </c>
      <c r="BX145" s="94">
        <f t="shared" si="65"/>
        <v>10</v>
      </c>
      <c r="BY145" s="26"/>
      <c r="CA145" s="137" t="s">
        <v>319</v>
      </c>
      <c r="CB145" s="19" t="b">
        <f t="shared" si="60"/>
        <v>1</v>
      </c>
      <c r="CC145" s="19" t="s">
        <v>319</v>
      </c>
      <c r="CD145" s="19" t="s">
        <v>1278</v>
      </c>
      <c r="CE145" s="120" t="s">
        <v>1189</v>
      </c>
      <c r="CF145" s="120" t="s">
        <v>1260</v>
      </c>
      <c r="CG145" s="120" t="s">
        <v>1279</v>
      </c>
      <c r="CH145" s="120" t="s">
        <v>1280</v>
      </c>
      <c r="CI145" s="120" t="s">
        <v>1218</v>
      </c>
      <c r="CJ145" s="120" t="s">
        <v>1219</v>
      </c>
      <c r="CK145" s="120" t="s">
        <v>1281</v>
      </c>
      <c r="CL145" s="120" t="s">
        <v>1282</v>
      </c>
      <c r="CM145" s="120" t="s">
        <v>1283</v>
      </c>
      <c r="CN145" s="120" t="s">
        <v>1284</v>
      </c>
      <c r="CO145" s="120" t="s">
        <v>2264</v>
      </c>
      <c r="CP145" s="120" t="s">
        <v>1286</v>
      </c>
      <c r="CQ145" s="120" t="s">
        <v>1261</v>
      </c>
      <c r="CR145" s="120" t="s">
        <v>1200</v>
      </c>
      <c r="CS145" s="120" t="s">
        <v>1236</v>
      </c>
      <c r="CT145" s="120" t="s">
        <v>1237</v>
      </c>
      <c r="CU145" s="120" t="s">
        <v>1287</v>
      </c>
      <c r="CV145" s="120" t="s">
        <v>1288</v>
      </c>
      <c r="CW145" s="120" t="s">
        <v>1289</v>
      </c>
      <c r="CX145" s="120" t="s">
        <v>1290</v>
      </c>
      <c r="CY145" s="120"/>
      <c r="CZ145" s="120"/>
      <c r="DA145" s="120"/>
      <c r="DB145" s="120"/>
      <c r="DC145" s="120"/>
      <c r="DD145" s="120"/>
      <c r="DE145" s="18"/>
      <c r="DF145" s="18"/>
    </row>
    <row r="146" spans="1:110" s="7" customFormat="1" x14ac:dyDescent="0.25">
      <c r="A146" s="19" t="s">
        <v>228</v>
      </c>
      <c r="B146" s="19" t="s">
        <v>80</v>
      </c>
      <c r="C146" s="19" t="str">
        <f t="shared" si="61"/>
        <v>97100710India</v>
      </c>
      <c r="D146" s="19">
        <v>97100710</v>
      </c>
      <c r="E146" s="19" t="s">
        <v>2071</v>
      </c>
      <c r="F146" s="19" t="s">
        <v>2067</v>
      </c>
      <c r="G146" s="20" t="s">
        <v>2071</v>
      </c>
      <c r="H146" s="136">
        <v>312</v>
      </c>
      <c r="I146" s="19" t="s">
        <v>230</v>
      </c>
      <c r="J146" s="19" t="s">
        <v>288</v>
      </c>
      <c r="K146" s="19" t="s">
        <v>2072</v>
      </c>
      <c r="L146" s="19" t="s">
        <v>282</v>
      </c>
      <c r="M146" s="19" t="s">
        <v>234</v>
      </c>
      <c r="N146" s="19" t="s">
        <v>284</v>
      </c>
      <c r="O146" s="19" t="s">
        <v>2073</v>
      </c>
      <c r="P146" s="19" t="s">
        <v>285</v>
      </c>
      <c r="Q146" s="19" t="s">
        <v>294</v>
      </c>
      <c r="R146" s="19">
        <v>8400</v>
      </c>
      <c r="S146" s="19" t="s">
        <v>239</v>
      </c>
      <c r="T146" s="19" t="s">
        <v>287</v>
      </c>
      <c r="U146" s="20" t="s">
        <v>287</v>
      </c>
      <c r="V146" s="19" t="s">
        <v>2182</v>
      </c>
      <c r="W146" s="19" t="s">
        <v>2199</v>
      </c>
      <c r="X146" s="35">
        <v>25</v>
      </c>
      <c r="Y146" s="35">
        <v>25</v>
      </c>
      <c r="Z146" s="32"/>
      <c r="AA146" s="22"/>
      <c r="AB146" s="22"/>
      <c r="AC146" s="22"/>
      <c r="AD146" s="22"/>
      <c r="AE146" s="60">
        <f t="shared" si="58"/>
        <v>0</v>
      </c>
      <c r="AF146" s="22"/>
      <c r="AG146" s="40">
        <f t="shared" si="59"/>
        <v>0</v>
      </c>
      <c r="AH146" s="24"/>
      <c r="AI146" s="24"/>
      <c r="AJ146" s="121"/>
      <c r="AK146" s="121"/>
      <c r="AL146" s="24">
        <v>15</v>
      </c>
      <c r="AM146" s="24"/>
      <c r="AN146" s="23">
        <f t="shared" si="62"/>
        <v>15</v>
      </c>
      <c r="AO146" s="25"/>
      <c r="AP146" s="25">
        <v>5</v>
      </c>
      <c r="AQ146" s="25">
        <v>5</v>
      </c>
      <c r="AR146" s="25">
        <v>5</v>
      </c>
      <c r="AS146" s="25">
        <f t="shared" si="63"/>
        <v>15</v>
      </c>
      <c r="AT146" s="13"/>
      <c r="AU146" s="21"/>
      <c r="AV146" s="21"/>
      <c r="AW146" s="21"/>
      <c r="AX146" s="21"/>
      <c r="AY146" s="21"/>
      <c r="AZ146" s="21"/>
      <c r="BA146" s="77"/>
      <c r="BB146" s="21"/>
      <c r="BC146" s="21"/>
      <c r="BD146" s="21"/>
      <c r="BE146" s="21"/>
      <c r="BF146" s="21"/>
      <c r="BG146" s="77"/>
      <c r="BH146" s="77"/>
      <c r="BI146" s="21"/>
      <c r="BJ146" s="21"/>
      <c r="BK146" s="21"/>
      <c r="BL146" s="21"/>
      <c r="BM146" s="21"/>
      <c r="BN146" s="21"/>
      <c r="BO146" s="77"/>
      <c r="BP146" s="21"/>
      <c r="BQ146" s="21"/>
      <c r="BR146" s="21"/>
      <c r="BS146" s="21"/>
      <c r="BT146" s="21"/>
      <c r="BU146" s="21">
        <v>5</v>
      </c>
      <c r="BV146" s="77"/>
      <c r="BW146" s="96">
        <f t="shared" si="64"/>
        <v>5</v>
      </c>
      <c r="BX146" s="94">
        <f t="shared" si="65"/>
        <v>10</v>
      </c>
      <c r="BY146" s="26"/>
      <c r="CA146" s="137" t="s">
        <v>2071</v>
      </c>
      <c r="CB146" s="19" t="b">
        <f t="shared" si="60"/>
        <v>1</v>
      </c>
      <c r="CC146" s="19" t="s">
        <v>2071</v>
      </c>
      <c r="CD146" s="19" t="s">
        <v>2109</v>
      </c>
      <c r="CE146" s="120" t="s">
        <v>1189</v>
      </c>
      <c r="CF146" s="120" t="s">
        <v>1260</v>
      </c>
      <c r="CG146" s="120" t="s">
        <v>2107</v>
      </c>
      <c r="CH146" s="120" t="s">
        <v>2108</v>
      </c>
      <c r="CI146" s="120" t="s">
        <v>1938</v>
      </c>
      <c r="CJ146" s="120" t="s">
        <v>1939</v>
      </c>
      <c r="CK146" s="120" t="s">
        <v>2110</v>
      </c>
      <c r="CL146" s="120" t="s">
        <v>2111</v>
      </c>
      <c r="CM146" s="120" t="s">
        <v>2112</v>
      </c>
      <c r="CN146" s="120" t="s">
        <v>2113</v>
      </c>
      <c r="CO146" s="120" t="s">
        <v>2265</v>
      </c>
      <c r="CP146" s="120" t="s">
        <v>2114</v>
      </c>
      <c r="CQ146" s="120" t="s">
        <v>1261</v>
      </c>
      <c r="CR146" s="120" t="s">
        <v>1200</v>
      </c>
      <c r="CS146" s="120" t="s">
        <v>1262</v>
      </c>
      <c r="CT146" s="120" t="s">
        <v>1263</v>
      </c>
      <c r="CU146" s="120" t="s">
        <v>2115</v>
      </c>
      <c r="CV146" s="120" t="s">
        <v>2116</v>
      </c>
      <c r="CW146" s="120" t="s">
        <v>2117</v>
      </c>
      <c r="CX146" s="120" t="s">
        <v>1264</v>
      </c>
      <c r="CY146" s="120"/>
      <c r="CZ146" s="120"/>
      <c r="DA146" s="120"/>
      <c r="DB146" s="120"/>
      <c r="DC146" s="120"/>
      <c r="DD146" s="120"/>
      <c r="DE146" s="18"/>
      <c r="DF146" s="18"/>
    </row>
    <row r="147" spans="1:110" s="7" customFormat="1" x14ac:dyDescent="0.25">
      <c r="A147" s="19" t="s">
        <v>228</v>
      </c>
      <c r="B147" s="19" t="s">
        <v>80</v>
      </c>
      <c r="C147" s="19" t="str">
        <f t="shared" si="61"/>
        <v>97158564India</v>
      </c>
      <c r="D147" s="19">
        <v>97158564</v>
      </c>
      <c r="E147" s="19" t="s">
        <v>1585</v>
      </c>
      <c r="F147" s="19" t="s">
        <v>2067</v>
      </c>
      <c r="G147" s="20" t="s">
        <v>1585</v>
      </c>
      <c r="H147" s="136">
        <v>103</v>
      </c>
      <c r="I147" s="19" t="s">
        <v>230</v>
      </c>
      <c r="J147" s="19" t="s">
        <v>296</v>
      </c>
      <c r="K147" s="19" t="s">
        <v>303</v>
      </c>
      <c r="L147" s="19" t="s">
        <v>262</v>
      </c>
      <c r="M147" s="19" t="s">
        <v>234</v>
      </c>
      <c r="N147" s="19" t="s">
        <v>284</v>
      </c>
      <c r="O147" s="19" t="s">
        <v>304</v>
      </c>
      <c r="P147" s="19" t="s">
        <v>285</v>
      </c>
      <c r="Q147" s="19" t="s">
        <v>294</v>
      </c>
      <c r="R147" s="19">
        <v>8400</v>
      </c>
      <c r="S147" s="19" t="s">
        <v>239</v>
      </c>
      <c r="T147" s="19" t="s">
        <v>287</v>
      </c>
      <c r="U147" s="20" t="s">
        <v>287</v>
      </c>
      <c r="V147" s="19" t="s">
        <v>1545</v>
      </c>
      <c r="W147" s="19" t="s">
        <v>2199</v>
      </c>
      <c r="X147" s="35">
        <v>25</v>
      </c>
      <c r="Y147" s="35">
        <v>20</v>
      </c>
      <c r="Z147" s="32"/>
      <c r="AA147" s="22"/>
      <c r="AB147" s="22"/>
      <c r="AC147" s="22"/>
      <c r="AD147" s="22"/>
      <c r="AE147" s="60">
        <f t="shared" si="58"/>
        <v>0</v>
      </c>
      <c r="AF147" s="22"/>
      <c r="AG147" s="40">
        <f t="shared" si="59"/>
        <v>0</v>
      </c>
      <c r="AH147" s="24"/>
      <c r="AI147" s="24"/>
      <c r="AJ147" s="121"/>
      <c r="AK147" s="121"/>
      <c r="AL147" s="24">
        <v>15</v>
      </c>
      <c r="AM147" s="24"/>
      <c r="AN147" s="23">
        <f t="shared" si="62"/>
        <v>15</v>
      </c>
      <c r="AO147" s="25"/>
      <c r="AP147" s="25">
        <v>5</v>
      </c>
      <c r="AQ147" s="25">
        <v>5</v>
      </c>
      <c r="AR147" s="25">
        <v>5</v>
      </c>
      <c r="AS147" s="25">
        <f t="shared" si="63"/>
        <v>15</v>
      </c>
      <c r="AT147" s="13"/>
      <c r="AU147" s="21"/>
      <c r="AV147" s="21"/>
      <c r="AW147" s="21"/>
      <c r="AX147" s="21"/>
      <c r="AY147" s="21"/>
      <c r="AZ147" s="21"/>
      <c r="BA147" s="77"/>
      <c r="BB147" s="21"/>
      <c r="BC147" s="21"/>
      <c r="BD147" s="21"/>
      <c r="BE147" s="21"/>
      <c r="BF147" s="21"/>
      <c r="BG147" s="77"/>
      <c r="BH147" s="77"/>
      <c r="BI147" s="21"/>
      <c r="BJ147" s="21"/>
      <c r="BK147" s="21"/>
      <c r="BL147" s="21"/>
      <c r="BM147" s="21"/>
      <c r="BN147" s="21"/>
      <c r="BO147" s="77"/>
      <c r="BP147" s="21"/>
      <c r="BQ147" s="21"/>
      <c r="BR147" s="21"/>
      <c r="BS147" s="21"/>
      <c r="BT147" s="21"/>
      <c r="BU147" s="21">
        <v>5</v>
      </c>
      <c r="BV147" s="77"/>
      <c r="BW147" s="96">
        <f t="shared" si="64"/>
        <v>5</v>
      </c>
      <c r="BX147" s="94">
        <f t="shared" si="65"/>
        <v>10</v>
      </c>
      <c r="BY147" s="26"/>
      <c r="CA147" s="137" t="s">
        <v>1585</v>
      </c>
      <c r="CB147" s="19" t="b">
        <f t="shared" si="60"/>
        <v>1</v>
      </c>
      <c r="CC147" s="19" t="s">
        <v>1585</v>
      </c>
      <c r="CD147" s="19" t="s">
        <v>1683</v>
      </c>
      <c r="CE147" s="120" t="s">
        <v>1189</v>
      </c>
      <c r="CF147" s="120" t="s">
        <v>1260</v>
      </c>
      <c r="CG147" s="120" t="s">
        <v>1279</v>
      </c>
      <c r="CH147" s="120" t="s">
        <v>1280</v>
      </c>
      <c r="CI147" s="120" t="s">
        <v>1218</v>
      </c>
      <c r="CJ147" s="120" t="s">
        <v>1219</v>
      </c>
      <c r="CK147" s="120" t="s">
        <v>1281</v>
      </c>
      <c r="CL147" s="120" t="s">
        <v>1282</v>
      </c>
      <c r="CM147" s="120" t="s">
        <v>1292</v>
      </c>
      <c r="CN147" s="120" t="s">
        <v>1293</v>
      </c>
      <c r="CO147" s="120" t="s">
        <v>2264</v>
      </c>
      <c r="CP147" s="120" t="s">
        <v>1286</v>
      </c>
      <c r="CQ147" s="120" t="s">
        <v>1261</v>
      </c>
      <c r="CR147" s="120" t="s">
        <v>1200</v>
      </c>
      <c r="CS147" s="120" t="s">
        <v>1236</v>
      </c>
      <c r="CT147" s="120" t="s">
        <v>1237</v>
      </c>
      <c r="CU147" s="120" t="s">
        <v>1287</v>
      </c>
      <c r="CV147" s="120" t="s">
        <v>1288</v>
      </c>
      <c r="CW147" s="120" t="s">
        <v>1289</v>
      </c>
      <c r="CX147" s="120" t="s">
        <v>1290</v>
      </c>
      <c r="CY147" s="120"/>
      <c r="CZ147" s="120"/>
      <c r="DA147" s="120"/>
      <c r="DB147" s="120"/>
      <c r="DC147" s="120"/>
      <c r="DD147" s="120"/>
      <c r="DE147" s="18"/>
      <c r="DF147" s="18"/>
    </row>
    <row r="148" spans="1:110" s="7" customFormat="1" x14ac:dyDescent="0.25">
      <c r="A148" s="19" t="s">
        <v>228</v>
      </c>
      <c r="B148" s="19" t="s">
        <v>80</v>
      </c>
      <c r="C148" s="19" t="str">
        <f t="shared" si="61"/>
        <v>97150961India</v>
      </c>
      <c r="D148" s="19">
        <v>97150961</v>
      </c>
      <c r="E148" s="19" t="s">
        <v>321</v>
      </c>
      <c r="F148" s="19" t="s">
        <v>2067</v>
      </c>
      <c r="G148" s="20" t="s">
        <v>321</v>
      </c>
      <c r="H148" s="136">
        <v>45</v>
      </c>
      <c r="I148" s="19" t="s">
        <v>230</v>
      </c>
      <c r="J148" s="19" t="s">
        <v>296</v>
      </c>
      <c r="K148" s="19" t="s">
        <v>303</v>
      </c>
      <c r="L148" s="19" t="s">
        <v>262</v>
      </c>
      <c r="M148" s="19" t="s">
        <v>234</v>
      </c>
      <c r="N148" s="19" t="s">
        <v>284</v>
      </c>
      <c r="O148" s="19" t="s">
        <v>320</v>
      </c>
      <c r="P148" s="19" t="s">
        <v>285</v>
      </c>
      <c r="Q148" s="19" t="s">
        <v>294</v>
      </c>
      <c r="R148" s="19">
        <v>8400</v>
      </c>
      <c r="S148" s="19" t="s">
        <v>239</v>
      </c>
      <c r="T148" s="19" t="s">
        <v>287</v>
      </c>
      <c r="U148" s="20" t="s">
        <v>287</v>
      </c>
      <c r="V148" s="19" t="s">
        <v>2187</v>
      </c>
      <c r="W148" s="19" t="s">
        <v>222</v>
      </c>
      <c r="X148" s="35">
        <v>15</v>
      </c>
      <c r="Y148" s="35">
        <v>15</v>
      </c>
      <c r="Z148" s="32"/>
      <c r="AA148" s="22">
        <v>2</v>
      </c>
      <c r="AB148" s="22">
        <v>2</v>
      </c>
      <c r="AC148" s="22">
        <v>3</v>
      </c>
      <c r="AD148" s="22">
        <v>3</v>
      </c>
      <c r="AE148" s="60">
        <f t="shared" si="58"/>
        <v>10</v>
      </c>
      <c r="AF148" s="22"/>
      <c r="AG148" s="40">
        <f t="shared" si="59"/>
        <v>10</v>
      </c>
      <c r="AH148" s="24"/>
      <c r="AI148" s="24"/>
      <c r="AJ148" s="121"/>
      <c r="AK148" s="121"/>
      <c r="AL148" s="24">
        <v>10</v>
      </c>
      <c r="AM148" s="24"/>
      <c r="AN148" s="23">
        <f t="shared" si="62"/>
        <v>20</v>
      </c>
      <c r="AO148" s="25">
        <v>10</v>
      </c>
      <c r="AP148" s="25">
        <v>5</v>
      </c>
      <c r="AQ148" s="25">
        <v>5</v>
      </c>
      <c r="AR148" s="25"/>
      <c r="AS148" s="25">
        <f t="shared" si="63"/>
        <v>20</v>
      </c>
      <c r="AT148" s="13"/>
      <c r="AU148" s="21"/>
      <c r="AV148" s="21"/>
      <c r="AW148" s="21">
        <v>5</v>
      </c>
      <c r="AX148" s="21">
        <v>5</v>
      </c>
      <c r="AY148" s="21"/>
      <c r="AZ148" s="21"/>
      <c r="BA148" s="77"/>
      <c r="BB148" s="21"/>
      <c r="BC148" s="21"/>
      <c r="BD148" s="21"/>
      <c r="BE148" s="21"/>
      <c r="BF148" s="21"/>
      <c r="BG148" s="77"/>
      <c r="BH148" s="77"/>
      <c r="BI148" s="21"/>
      <c r="BJ148" s="21"/>
      <c r="BK148" s="21"/>
      <c r="BL148" s="21"/>
      <c r="BM148" s="21"/>
      <c r="BN148" s="21"/>
      <c r="BO148" s="77"/>
      <c r="BP148" s="21"/>
      <c r="BQ148" s="21"/>
      <c r="BR148" s="21"/>
      <c r="BS148" s="21"/>
      <c r="BT148" s="21"/>
      <c r="BU148" s="21">
        <v>3</v>
      </c>
      <c r="BV148" s="77"/>
      <c r="BW148" s="96">
        <f t="shared" si="64"/>
        <v>13</v>
      </c>
      <c r="BX148" s="94">
        <f t="shared" si="65"/>
        <v>7</v>
      </c>
      <c r="BY148" s="26"/>
      <c r="CA148" s="137" t="s">
        <v>321</v>
      </c>
      <c r="CB148" s="19" t="b">
        <f t="shared" si="60"/>
        <v>1</v>
      </c>
      <c r="CC148" s="19" t="s">
        <v>321</v>
      </c>
      <c r="CD148" s="19" t="s">
        <v>1291</v>
      </c>
      <c r="CE148" s="120" t="s">
        <v>1189</v>
      </c>
      <c r="CF148" s="120" t="s">
        <v>1260</v>
      </c>
      <c r="CG148" s="120" t="s">
        <v>1279</v>
      </c>
      <c r="CH148" s="120" t="s">
        <v>1280</v>
      </c>
      <c r="CI148" s="120" t="s">
        <v>1218</v>
      </c>
      <c r="CJ148" s="120" t="s">
        <v>1219</v>
      </c>
      <c r="CK148" s="120" t="s">
        <v>1281</v>
      </c>
      <c r="CL148" s="120" t="s">
        <v>1282</v>
      </c>
      <c r="CM148" s="120" t="s">
        <v>1292</v>
      </c>
      <c r="CN148" s="120" t="s">
        <v>1293</v>
      </c>
      <c r="CO148" s="120" t="s">
        <v>2264</v>
      </c>
      <c r="CP148" s="120" t="s">
        <v>1286</v>
      </c>
      <c r="CQ148" s="120" t="s">
        <v>1261</v>
      </c>
      <c r="CR148" s="120" t="s">
        <v>1200</v>
      </c>
      <c r="CS148" s="120" t="s">
        <v>1236</v>
      </c>
      <c r="CT148" s="120" t="s">
        <v>1237</v>
      </c>
      <c r="CU148" s="120" t="s">
        <v>1287</v>
      </c>
      <c r="CV148" s="120" t="s">
        <v>1288</v>
      </c>
      <c r="CW148" s="120" t="s">
        <v>1289</v>
      </c>
      <c r="CX148" s="120" t="s">
        <v>1290</v>
      </c>
      <c r="CY148" s="120"/>
      <c r="CZ148" s="120"/>
      <c r="DA148" s="120"/>
      <c r="DB148" s="120"/>
      <c r="DC148" s="120"/>
      <c r="DD148" s="120"/>
      <c r="DE148" s="18"/>
      <c r="DF148" s="18"/>
    </row>
    <row r="149" spans="1:110" s="7" customFormat="1" x14ac:dyDescent="0.25">
      <c r="A149" s="19" t="s">
        <v>228</v>
      </c>
      <c r="B149" s="19" t="s">
        <v>80</v>
      </c>
      <c r="C149" s="19" t="str">
        <f t="shared" si="61"/>
        <v>97151986India</v>
      </c>
      <c r="D149" s="19">
        <v>97151986</v>
      </c>
      <c r="E149" s="19" t="s">
        <v>319</v>
      </c>
      <c r="F149" s="19" t="s">
        <v>2067</v>
      </c>
      <c r="G149" s="20" t="s">
        <v>319</v>
      </c>
      <c r="H149" s="136">
        <v>154</v>
      </c>
      <c r="I149" s="19" t="s">
        <v>230</v>
      </c>
      <c r="J149" s="19" t="s">
        <v>296</v>
      </c>
      <c r="K149" s="19" t="s">
        <v>303</v>
      </c>
      <c r="L149" s="19" t="s">
        <v>262</v>
      </c>
      <c r="M149" s="19" t="s">
        <v>234</v>
      </c>
      <c r="N149" s="19" t="s">
        <v>284</v>
      </c>
      <c r="O149" s="19" t="s">
        <v>304</v>
      </c>
      <c r="P149" s="19" t="s">
        <v>285</v>
      </c>
      <c r="Q149" s="19" t="s">
        <v>294</v>
      </c>
      <c r="R149" s="19">
        <v>8400</v>
      </c>
      <c r="S149" s="19" t="s">
        <v>239</v>
      </c>
      <c r="T149" s="19" t="s">
        <v>287</v>
      </c>
      <c r="U149" s="20" t="s">
        <v>287</v>
      </c>
      <c r="V149" s="19" t="s">
        <v>2189</v>
      </c>
      <c r="W149" s="19" t="s">
        <v>222</v>
      </c>
      <c r="X149" s="35"/>
      <c r="Y149" s="35"/>
      <c r="Z149" s="32"/>
      <c r="AA149" s="22">
        <v>2</v>
      </c>
      <c r="AB149" s="22">
        <v>1</v>
      </c>
      <c r="AC149" s="22">
        <v>1</v>
      </c>
      <c r="AD149" s="22">
        <v>1</v>
      </c>
      <c r="AE149" s="60">
        <f t="shared" si="58"/>
        <v>5</v>
      </c>
      <c r="AF149" s="22"/>
      <c r="AG149" s="40">
        <f t="shared" si="59"/>
        <v>5</v>
      </c>
      <c r="AH149" s="24"/>
      <c r="AI149" s="24"/>
      <c r="AJ149" s="121"/>
      <c r="AK149" s="121"/>
      <c r="AL149" s="24"/>
      <c r="AM149" s="24"/>
      <c r="AN149" s="23">
        <f t="shared" si="62"/>
        <v>5</v>
      </c>
      <c r="AO149" s="25"/>
      <c r="AP149" s="25"/>
      <c r="AQ149" s="25"/>
      <c r="AR149" s="25">
        <v>5</v>
      </c>
      <c r="AS149" s="25">
        <f t="shared" si="63"/>
        <v>5</v>
      </c>
      <c r="AT149" s="13"/>
      <c r="AU149" s="21"/>
      <c r="AV149" s="21"/>
      <c r="AW149" s="21"/>
      <c r="AX149" s="21"/>
      <c r="AY149" s="21"/>
      <c r="AZ149" s="21"/>
      <c r="BA149" s="77"/>
      <c r="BB149" s="21"/>
      <c r="BC149" s="21"/>
      <c r="BD149" s="21"/>
      <c r="BE149" s="21"/>
      <c r="BF149" s="21"/>
      <c r="BG149" s="77"/>
      <c r="BH149" s="77"/>
      <c r="BI149" s="21"/>
      <c r="BJ149" s="21"/>
      <c r="BK149" s="21"/>
      <c r="BL149" s="21"/>
      <c r="BM149" s="21"/>
      <c r="BN149" s="21"/>
      <c r="BO149" s="77"/>
      <c r="BP149" s="21"/>
      <c r="BQ149" s="21"/>
      <c r="BR149" s="21">
        <v>5</v>
      </c>
      <c r="BS149" s="21"/>
      <c r="BT149" s="21"/>
      <c r="BU149" s="21"/>
      <c r="BV149" s="77"/>
      <c r="BW149" s="96">
        <f t="shared" si="64"/>
        <v>5</v>
      </c>
      <c r="BX149" s="94">
        <f t="shared" si="65"/>
        <v>0</v>
      </c>
      <c r="BY149" s="26"/>
      <c r="CA149" s="137" t="s">
        <v>319</v>
      </c>
      <c r="CB149" s="19" t="b">
        <f t="shared" si="60"/>
        <v>1</v>
      </c>
      <c r="CC149" s="19" t="s">
        <v>319</v>
      </c>
      <c r="CD149" s="19" t="s">
        <v>1278</v>
      </c>
      <c r="CE149" s="120" t="s">
        <v>1189</v>
      </c>
      <c r="CF149" s="120" t="s">
        <v>1260</v>
      </c>
      <c r="CG149" s="120" t="s">
        <v>1279</v>
      </c>
      <c r="CH149" s="120" t="s">
        <v>1280</v>
      </c>
      <c r="CI149" s="120" t="s">
        <v>1218</v>
      </c>
      <c r="CJ149" s="120" t="s">
        <v>1219</v>
      </c>
      <c r="CK149" s="120" t="s">
        <v>1281</v>
      </c>
      <c r="CL149" s="120" t="s">
        <v>1282</v>
      </c>
      <c r="CM149" s="120" t="s">
        <v>1283</v>
      </c>
      <c r="CN149" s="120" t="s">
        <v>1284</v>
      </c>
      <c r="CO149" s="120" t="s">
        <v>2264</v>
      </c>
      <c r="CP149" s="120" t="s">
        <v>1286</v>
      </c>
      <c r="CQ149" s="120" t="s">
        <v>1261</v>
      </c>
      <c r="CR149" s="120" t="s">
        <v>1200</v>
      </c>
      <c r="CS149" s="120" t="s">
        <v>1236</v>
      </c>
      <c r="CT149" s="120" t="s">
        <v>1237</v>
      </c>
      <c r="CU149" s="120" t="s">
        <v>1287</v>
      </c>
      <c r="CV149" s="120" t="s">
        <v>1288</v>
      </c>
      <c r="CW149" s="120" t="s">
        <v>1289</v>
      </c>
      <c r="CX149" s="120" t="s">
        <v>1290</v>
      </c>
      <c r="CY149" s="120"/>
      <c r="CZ149" s="120"/>
      <c r="DA149" s="120"/>
      <c r="DB149" s="120"/>
      <c r="DC149" s="120"/>
      <c r="DD149" s="120"/>
      <c r="DE149" s="18"/>
      <c r="DF149" s="18"/>
    </row>
    <row r="150" spans="1:110" s="7" customFormat="1" x14ac:dyDescent="0.25">
      <c r="A150" s="19" t="s">
        <v>228</v>
      </c>
      <c r="B150" s="19" t="s">
        <v>80</v>
      </c>
      <c r="C150" s="19" t="str">
        <f t="shared" si="61"/>
        <v>97151985India</v>
      </c>
      <c r="D150" s="19">
        <v>97151985</v>
      </c>
      <c r="E150" s="19" t="s">
        <v>2213</v>
      </c>
      <c r="F150" s="19" t="s">
        <v>2067</v>
      </c>
      <c r="G150" s="20" t="s">
        <v>2213</v>
      </c>
      <c r="H150" s="136">
        <v>10</v>
      </c>
      <c r="I150" s="19" t="s">
        <v>230</v>
      </c>
      <c r="J150" s="19" t="s">
        <v>296</v>
      </c>
      <c r="K150" s="19" t="s">
        <v>303</v>
      </c>
      <c r="L150" s="19" t="s">
        <v>262</v>
      </c>
      <c r="M150" s="19" t="s">
        <v>234</v>
      </c>
      <c r="N150" s="19" t="s">
        <v>284</v>
      </c>
      <c r="O150" s="19" t="s">
        <v>304</v>
      </c>
      <c r="P150" s="19" t="s">
        <v>285</v>
      </c>
      <c r="Q150" s="19" t="s">
        <v>294</v>
      </c>
      <c r="R150" s="19">
        <v>8400</v>
      </c>
      <c r="S150" s="19" t="s">
        <v>239</v>
      </c>
      <c r="T150" s="19" t="s">
        <v>287</v>
      </c>
      <c r="U150" s="20" t="s">
        <v>287</v>
      </c>
      <c r="V150" s="19" t="s">
        <v>2190</v>
      </c>
      <c r="W150" s="19" t="s">
        <v>219</v>
      </c>
      <c r="X150" s="35"/>
      <c r="Y150" s="35"/>
      <c r="Z150" s="32"/>
      <c r="AA150" s="22">
        <v>2</v>
      </c>
      <c r="AB150" s="22">
        <v>2</v>
      </c>
      <c r="AC150" s="22">
        <v>1</v>
      </c>
      <c r="AD150" s="22"/>
      <c r="AE150" s="60">
        <f t="shared" si="58"/>
        <v>5</v>
      </c>
      <c r="AF150" s="22"/>
      <c r="AG150" s="40">
        <f t="shared" si="59"/>
        <v>5</v>
      </c>
      <c r="AH150" s="24"/>
      <c r="AI150" s="24"/>
      <c r="AJ150" s="121"/>
      <c r="AK150" s="121"/>
      <c r="AL150" s="24"/>
      <c r="AM150" s="24"/>
      <c r="AN150" s="23">
        <f t="shared" si="62"/>
        <v>5</v>
      </c>
      <c r="AO150" s="25"/>
      <c r="AP150" s="25"/>
      <c r="AQ150" s="25"/>
      <c r="AR150" s="25">
        <v>5</v>
      </c>
      <c r="AS150" s="25">
        <f t="shared" si="63"/>
        <v>5</v>
      </c>
      <c r="AT150" s="13"/>
      <c r="AU150" s="21"/>
      <c r="AV150" s="21"/>
      <c r="AW150" s="21"/>
      <c r="AX150" s="21"/>
      <c r="AY150" s="21"/>
      <c r="AZ150" s="21"/>
      <c r="BA150" s="77"/>
      <c r="BB150" s="21"/>
      <c r="BC150" s="21"/>
      <c r="BD150" s="21"/>
      <c r="BE150" s="21"/>
      <c r="BF150" s="21"/>
      <c r="BG150" s="77"/>
      <c r="BH150" s="77"/>
      <c r="BI150" s="21"/>
      <c r="BJ150" s="21"/>
      <c r="BK150" s="21"/>
      <c r="BL150" s="21"/>
      <c r="BM150" s="21"/>
      <c r="BN150" s="21"/>
      <c r="BO150" s="77"/>
      <c r="BP150" s="21"/>
      <c r="BQ150" s="21"/>
      <c r="BR150" s="21">
        <v>5</v>
      </c>
      <c r="BS150" s="21"/>
      <c r="BT150" s="21"/>
      <c r="BU150" s="21"/>
      <c r="BV150" s="77"/>
      <c r="BW150" s="96">
        <f t="shared" si="64"/>
        <v>5</v>
      </c>
      <c r="BX150" s="94">
        <f t="shared" si="65"/>
        <v>0</v>
      </c>
      <c r="BY150" s="26"/>
      <c r="CA150" s="137" t="s">
        <v>2213</v>
      </c>
      <c r="CB150" s="19" t="b">
        <f t="shared" si="60"/>
        <v>1</v>
      </c>
      <c r="CC150" s="19" t="s">
        <v>2213</v>
      </c>
      <c r="CD150" s="19" t="s">
        <v>2266</v>
      </c>
      <c r="CE150" s="120" t="s">
        <v>1189</v>
      </c>
      <c r="CF150" s="120" t="s">
        <v>1260</v>
      </c>
      <c r="CG150" s="120" t="s">
        <v>1279</v>
      </c>
      <c r="CH150" s="120" t="s">
        <v>1280</v>
      </c>
      <c r="CI150" s="120" t="s">
        <v>1218</v>
      </c>
      <c r="CJ150" s="120" t="s">
        <v>1219</v>
      </c>
      <c r="CK150" s="120" t="s">
        <v>1281</v>
      </c>
      <c r="CL150" s="120" t="s">
        <v>1282</v>
      </c>
      <c r="CM150" s="120" t="s">
        <v>1292</v>
      </c>
      <c r="CN150" s="120" t="s">
        <v>1293</v>
      </c>
      <c r="CO150" s="120" t="s">
        <v>2264</v>
      </c>
      <c r="CP150" s="120" t="s">
        <v>1286</v>
      </c>
      <c r="CQ150" s="120" t="s">
        <v>1261</v>
      </c>
      <c r="CR150" s="120" t="s">
        <v>1200</v>
      </c>
      <c r="CS150" s="120" t="s">
        <v>1236</v>
      </c>
      <c r="CT150" s="120" t="s">
        <v>1237</v>
      </c>
      <c r="CU150" s="120" t="s">
        <v>1287</v>
      </c>
      <c r="CV150" s="120" t="s">
        <v>1288</v>
      </c>
      <c r="CW150" s="120" t="s">
        <v>1289</v>
      </c>
      <c r="CX150" s="120" t="s">
        <v>1290</v>
      </c>
      <c r="CY150" s="120"/>
      <c r="CZ150" s="120"/>
      <c r="DA150" s="120"/>
      <c r="DB150" s="120"/>
      <c r="DC150" s="120"/>
      <c r="DD150" s="120"/>
      <c r="DE150" s="18"/>
      <c r="DF150" s="18"/>
    </row>
    <row r="151" spans="1:110" s="7" customFormat="1" x14ac:dyDescent="0.25">
      <c r="A151" s="19" t="s">
        <v>224</v>
      </c>
      <c r="B151" s="19" t="s">
        <v>224</v>
      </c>
      <c r="C151" s="19" t="str">
        <f t="shared" si="61"/>
        <v>97151920NPI Proj</v>
      </c>
      <c r="D151" s="19">
        <v>97151920</v>
      </c>
      <c r="E151" s="19" t="s">
        <v>1858</v>
      </c>
      <c r="F151" s="19" t="s">
        <v>2067</v>
      </c>
      <c r="G151" s="20" t="s">
        <v>1858</v>
      </c>
      <c r="H151" s="136">
        <v>1</v>
      </c>
      <c r="I151" s="19" t="s">
        <v>491</v>
      </c>
      <c r="J151" s="19" t="s">
        <v>1857</v>
      </c>
      <c r="K151" s="19" t="s">
        <v>303</v>
      </c>
      <c r="L151" s="19" t="s">
        <v>233</v>
      </c>
      <c r="M151" s="19" t="s">
        <v>234</v>
      </c>
      <c r="N151" s="19" t="s">
        <v>284</v>
      </c>
      <c r="O151" s="19" t="s">
        <v>1859</v>
      </c>
      <c r="P151" s="19" t="s">
        <v>285</v>
      </c>
      <c r="Q151" s="19" t="s">
        <v>294</v>
      </c>
      <c r="R151" s="19">
        <v>8400</v>
      </c>
      <c r="S151" s="19" t="s">
        <v>239</v>
      </c>
      <c r="T151" s="19" t="s">
        <v>287</v>
      </c>
      <c r="U151" s="20" t="s">
        <v>287</v>
      </c>
      <c r="V151" s="19" t="s">
        <v>2232</v>
      </c>
      <c r="W151" s="19"/>
      <c r="X151" s="35"/>
      <c r="Y151" s="35"/>
      <c r="Z151" s="32"/>
      <c r="AA151" s="22"/>
      <c r="AB151" s="22">
        <v>2</v>
      </c>
      <c r="AC151" s="22"/>
      <c r="AD151" s="22">
        <v>2</v>
      </c>
      <c r="AE151" s="60">
        <f t="shared" si="58"/>
        <v>4</v>
      </c>
      <c r="AF151" s="22"/>
      <c r="AG151" s="40">
        <f t="shared" si="59"/>
        <v>4</v>
      </c>
      <c r="AH151" s="24"/>
      <c r="AI151" s="24"/>
      <c r="AJ151" s="121"/>
      <c r="AK151" s="121"/>
      <c r="AL151" s="24"/>
      <c r="AM151" s="24"/>
      <c r="AN151" s="23">
        <f t="shared" si="62"/>
        <v>4</v>
      </c>
      <c r="AO151" s="25"/>
      <c r="AP151" s="25">
        <v>2</v>
      </c>
      <c r="AQ151" s="25"/>
      <c r="AR151" s="25"/>
      <c r="AS151" s="25">
        <f t="shared" si="63"/>
        <v>2</v>
      </c>
      <c r="AT151" s="13"/>
      <c r="AU151" s="21"/>
      <c r="AV151" s="21"/>
      <c r="AW151" s="21"/>
      <c r="AX151" s="21"/>
      <c r="AY151" s="21"/>
      <c r="AZ151" s="21"/>
      <c r="BA151" s="77"/>
      <c r="BB151" s="21"/>
      <c r="BC151" s="21"/>
      <c r="BD151" s="21"/>
      <c r="BE151" s="21"/>
      <c r="BF151" s="21">
        <v>1</v>
      </c>
      <c r="BG151" s="77"/>
      <c r="BH151" s="77"/>
      <c r="BI151" s="21">
        <v>1</v>
      </c>
      <c r="BJ151" s="21"/>
      <c r="BK151" s="21"/>
      <c r="BL151" s="21"/>
      <c r="BM151" s="21"/>
      <c r="BN151" s="21"/>
      <c r="BO151" s="77"/>
      <c r="BP151" s="21"/>
      <c r="BQ151" s="21"/>
      <c r="BR151" s="21"/>
      <c r="BS151" s="21"/>
      <c r="BT151" s="21"/>
      <c r="BU151" s="21"/>
      <c r="BV151" s="77"/>
      <c r="BW151" s="96">
        <f t="shared" si="64"/>
        <v>2</v>
      </c>
      <c r="BX151" s="94">
        <f t="shared" si="65"/>
        <v>0</v>
      </c>
      <c r="BY151" s="26" t="s">
        <v>2294</v>
      </c>
      <c r="CA151" s="137" t="s">
        <v>1858</v>
      </c>
      <c r="CB151" s="19" t="b">
        <f t="shared" si="60"/>
        <v>1</v>
      </c>
      <c r="CC151" s="19" t="s">
        <v>1858</v>
      </c>
      <c r="CD151" s="19" t="s">
        <v>1947</v>
      </c>
      <c r="CE151" s="120" t="s">
        <v>1189</v>
      </c>
      <c r="CF151" s="120" t="s">
        <v>1260</v>
      </c>
      <c r="CG151" s="120" t="s">
        <v>1948</v>
      </c>
      <c r="CH151" s="120" t="s">
        <v>1946</v>
      </c>
      <c r="CI151" s="120" t="s">
        <v>1938</v>
      </c>
      <c r="CJ151" s="120" t="s">
        <v>1939</v>
      </c>
      <c r="CK151" s="120" t="s">
        <v>1949</v>
      </c>
      <c r="CL151" s="120" t="s">
        <v>1950</v>
      </c>
      <c r="CM151" s="120" t="s">
        <v>1951</v>
      </c>
      <c r="CN151" s="120" t="s">
        <v>1952</v>
      </c>
      <c r="CO151" s="120" t="s">
        <v>2267</v>
      </c>
      <c r="CP151" s="120" t="s">
        <v>1954</v>
      </c>
      <c r="CQ151" s="120" t="s">
        <v>1261</v>
      </c>
      <c r="CR151" s="120" t="s">
        <v>1200</v>
      </c>
      <c r="CS151" s="120" t="s">
        <v>1262</v>
      </c>
      <c r="CT151" s="120" t="s">
        <v>1263</v>
      </c>
      <c r="CU151" s="120" t="s">
        <v>1955</v>
      </c>
      <c r="CV151" s="120" t="s">
        <v>1956</v>
      </c>
      <c r="CW151" s="120" t="s">
        <v>1957</v>
      </c>
      <c r="CX151" s="120" t="s">
        <v>1958</v>
      </c>
      <c r="CY151" s="120"/>
      <c r="CZ151" s="120"/>
      <c r="DA151" s="120"/>
      <c r="DB151" s="120"/>
      <c r="DC151" s="120"/>
      <c r="DD151" s="120"/>
      <c r="DE151" s="18"/>
      <c r="DF151" s="18"/>
    </row>
    <row r="152" spans="1:110" s="7" customFormat="1" x14ac:dyDescent="0.25">
      <c r="A152" s="19" t="s">
        <v>228</v>
      </c>
      <c r="B152" s="19" t="s">
        <v>80</v>
      </c>
      <c r="C152" s="19" t="str">
        <f t="shared" si="61"/>
        <v>91659279India</v>
      </c>
      <c r="D152" s="19">
        <v>91659279</v>
      </c>
      <c r="E152" s="19" t="s">
        <v>2208</v>
      </c>
      <c r="F152" s="19" t="s">
        <v>2067</v>
      </c>
      <c r="G152" s="20" t="s">
        <v>2208</v>
      </c>
      <c r="H152" s="136" t="s">
        <v>2234</v>
      </c>
      <c r="I152" s="19" t="s">
        <v>230</v>
      </c>
      <c r="J152" s="19" t="s">
        <v>296</v>
      </c>
      <c r="K152" s="19" t="s">
        <v>306</v>
      </c>
      <c r="L152" s="19" t="s">
        <v>279</v>
      </c>
      <c r="M152" s="19" t="s">
        <v>234</v>
      </c>
      <c r="N152" s="19" t="s">
        <v>284</v>
      </c>
      <c r="O152" s="19" t="s">
        <v>293</v>
      </c>
      <c r="P152" s="19" t="s">
        <v>285</v>
      </c>
      <c r="Q152" s="19" t="s">
        <v>307</v>
      </c>
      <c r="R152" s="19">
        <v>8900</v>
      </c>
      <c r="S152" s="19" t="s">
        <v>239</v>
      </c>
      <c r="T152" s="19" t="s">
        <v>287</v>
      </c>
      <c r="U152" s="20" t="s">
        <v>287</v>
      </c>
      <c r="V152" s="19" t="s">
        <v>114</v>
      </c>
      <c r="W152" s="19" t="s">
        <v>2199</v>
      </c>
      <c r="X152" s="35">
        <v>5</v>
      </c>
      <c r="Y152" s="35">
        <v>5</v>
      </c>
      <c r="Z152" s="32"/>
      <c r="AA152" s="22"/>
      <c r="AB152" s="22"/>
      <c r="AC152" s="22"/>
      <c r="AD152" s="22"/>
      <c r="AE152" s="60">
        <f t="shared" si="58"/>
        <v>0</v>
      </c>
      <c r="AF152" s="22"/>
      <c r="AG152" s="40">
        <f t="shared" si="59"/>
        <v>0</v>
      </c>
      <c r="AH152" s="24"/>
      <c r="AI152" s="24"/>
      <c r="AJ152" s="121"/>
      <c r="AK152" s="121"/>
      <c r="AL152" s="24"/>
      <c r="AM152" s="24"/>
      <c r="AN152" s="23">
        <f t="shared" si="62"/>
        <v>0</v>
      </c>
      <c r="AO152" s="25"/>
      <c r="AP152" s="25"/>
      <c r="AQ152" s="25"/>
      <c r="AR152" s="25"/>
      <c r="AS152" s="25">
        <f t="shared" si="63"/>
        <v>0</v>
      </c>
      <c r="AT152" s="13"/>
      <c r="AU152" s="21"/>
      <c r="AV152" s="21"/>
      <c r="AW152" s="21"/>
      <c r="AX152" s="21"/>
      <c r="AY152" s="21"/>
      <c r="AZ152" s="21"/>
      <c r="BA152" s="77"/>
      <c r="BB152" s="21"/>
      <c r="BC152" s="21"/>
      <c r="BD152" s="21"/>
      <c r="BE152" s="21"/>
      <c r="BF152" s="21"/>
      <c r="BG152" s="77"/>
      <c r="BH152" s="77"/>
      <c r="BI152" s="21"/>
      <c r="BJ152" s="21"/>
      <c r="BK152" s="21"/>
      <c r="BL152" s="21"/>
      <c r="BM152" s="21"/>
      <c r="BN152" s="21"/>
      <c r="BO152" s="77"/>
      <c r="BP152" s="21"/>
      <c r="BQ152" s="21"/>
      <c r="BR152" s="21"/>
      <c r="BS152" s="21"/>
      <c r="BT152" s="21"/>
      <c r="BU152" s="21"/>
      <c r="BV152" s="77"/>
      <c r="BW152" s="96">
        <f t="shared" si="64"/>
        <v>0</v>
      </c>
      <c r="BX152" s="94">
        <f t="shared" si="65"/>
        <v>0</v>
      </c>
      <c r="BY152" s="26"/>
      <c r="CA152" s="137" t="s">
        <v>2208</v>
      </c>
      <c r="CB152" s="19" t="b">
        <f t="shared" si="60"/>
        <v>1</v>
      </c>
      <c r="CC152" s="19" t="s">
        <v>2208</v>
      </c>
      <c r="CD152" s="19" t="s">
        <v>1306</v>
      </c>
      <c r="CE152" s="120" t="s">
        <v>1172</v>
      </c>
      <c r="CF152" s="120" t="s">
        <v>1173</v>
      </c>
      <c r="CG152" s="120" t="s">
        <v>1228</v>
      </c>
      <c r="CH152" s="120" t="s">
        <v>1229</v>
      </c>
      <c r="CI152" s="120" t="s">
        <v>1209</v>
      </c>
      <c r="CJ152" s="120" t="s">
        <v>1210</v>
      </c>
      <c r="CK152" s="120" t="s">
        <v>1307</v>
      </c>
      <c r="CL152" s="120" t="s">
        <v>1308</v>
      </c>
      <c r="CM152" s="120" t="s">
        <v>1309</v>
      </c>
      <c r="CN152" s="120" t="s">
        <v>1310</v>
      </c>
      <c r="CO152" s="120" t="s">
        <v>2268</v>
      </c>
      <c r="CP152" s="120" t="s">
        <v>1312</v>
      </c>
      <c r="CQ152" s="120" t="s">
        <v>1174</v>
      </c>
      <c r="CR152" s="120" t="s">
        <v>1175</v>
      </c>
      <c r="CS152" s="120" t="s">
        <v>1300</v>
      </c>
      <c r="CT152" s="120" t="s">
        <v>1301</v>
      </c>
      <c r="CU152" s="120" t="s">
        <v>1238</v>
      </c>
      <c r="CV152" s="120" t="s">
        <v>1239</v>
      </c>
      <c r="CW152" s="120" t="s">
        <v>1313</v>
      </c>
      <c r="CX152" s="120" t="s">
        <v>1314</v>
      </c>
      <c r="CY152" s="120"/>
      <c r="CZ152" s="120"/>
      <c r="DA152" s="120" t="s">
        <v>1304</v>
      </c>
      <c r="DB152" s="120" t="s">
        <v>1305</v>
      </c>
      <c r="DC152" s="120"/>
      <c r="DD152" s="120"/>
      <c r="DE152" s="18"/>
      <c r="DF152" s="18"/>
    </row>
    <row r="153" spans="1:110" s="7" customFormat="1" x14ac:dyDescent="0.25">
      <c r="A153" s="19" t="s">
        <v>228</v>
      </c>
      <c r="B153" s="19" t="s">
        <v>80</v>
      </c>
      <c r="C153" s="19" t="str">
        <f t="shared" si="61"/>
        <v>91658768India</v>
      </c>
      <c r="D153" s="19">
        <v>91658768</v>
      </c>
      <c r="E153" s="19" t="s">
        <v>2209</v>
      </c>
      <c r="F153" s="19" t="s">
        <v>2067</v>
      </c>
      <c r="G153" s="20" t="s">
        <v>2209</v>
      </c>
      <c r="H153" s="136" t="s">
        <v>2234</v>
      </c>
      <c r="I153" s="19" t="s">
        <v>230</v>
      </c>
      <c r="J153" s="19" t="s">
        <v>296</v>
      </c>
      <c r="K153" s="19" t="s">
        <v>306</v>
      </c>
      <c r="L153" s="19" t="s">
        <v>279</v>
      </c>
      <c r="M153" s="19" t="s">
        <v>234</v>
      </c>
      <c r="N153" s="19" t="s">
        <v>284</v>
      </c>
      <c r="O153" s="19" t="s">
        <v>368</v>
      </c>
      <c r="P153" s="19" t="s">
        <v>285</v>
      </c>
      <c r="Q153" s="19" t="s">
        <v>307</v>
      </c>
      <c r="R153" s="19">
        <v>8900</v>
      </c>
      <c r="S153" s="19" t="s">
        <v>239</v>
      </c>
      <c r="T153" s="19" t="s">
        <v>287</v>
      </c>
      <c r="U153" s="20" t="s">
        <v>287</v>
      </c>
      <c r="V153" s="19" t="s">
        <v>1541</v>
      </c>
      <c r="W153" s="19" t="s">
        <v>2199</v>
      </c>
      <c r="X153" s="35">
        <v>10</v>
      </c>
      <c r="Y153" s="35">
        <v>10</v>
      </c>
      <c r="Z153" s="32"/>
      <c r="AA153" s="22"/>
      <c r="AB153" s="22"/>
      <c r="AC153" s="22"/>
      <c r="AD153" s="22"/>
      <c r="AE153" s="60">
        <f t="shared" si="58"/>
        <v>0</v>
      </c>
      <c r="AF153" s="22"/>
      <c r="AG153" s="40">
        <f t="shared" si="59"/>
        <v>0</v>
      </c>
      <c r="AH153" s="24"/>
      <c r="AI153" s="24"/>
      <c r="AJ153" s="121"/>
      <c r="AK153" s="121"/>
      <c r="AL153" s="24">
        <v>10</v>
      </c>
      <c r="AM153" s="24"/>
      <c r="AN153" s="23">
        <f t="shared" si="62"/>
        <v>10</v>
      </c>
      <c r="AO153" s="25"/>
      <c r="AP153" s="25"/>
      <c r="AQ153" s="25">
        <v>5</v>
      </c>
      <c r="AR153" s="25">
        <v>5</v>
      </c>
      <c r="AS153" s="25">
        <f t="shared" si="63"/>
        <v>10</v>
      </c>
      <c r="AT153" s="13"/>
      <c r="AU153" s="21"/>
      <c r="AV153" s="21"/>
      <c r="AW153" s="21"/>
      <c r="AX153" s="21"/>
      <c r="AY153" s="21"/>
      <c r="AZ153" s="21"/>
      <c r="BA153" s="77"/>
      <c r="BB153" s="21"/>
      <c r="BC153" s="21"/>
      <c r="BD153" s="21"/>
      <c r="BE153" s="21"/>
      <c r="BF153" s="21"/>
      <c r="BG153" s="77"/>
      <c r="BH153" s="77"/>
      <c r="BI153" s="21"/>
      <c r="BJ153" s="21"/>
      <c r="BK153" s="21"/>
      <c r="BL153" s="21"/>
      <c r="BM153" s="21"/>
      <c r="BN153" s="21"/>
      <c r="BO153" s="77"/>
      <c r="BP153" s="21"/>
      <c r="BQ153" s="21"/>
      <c r="BR153" s="21"/>
      <c r="BS153" s="21"/>
      <c r="BT153" s="21"/>
      <c r="BU153" s="21"/>
      <c r="BV153" s="77"/>
      <c r="BW153" s="96">
        <f t="shared" si="64"/>
        <v>0</v>
      </c>
      <c r="BX153" s="94">
        <f t="shared" si="65"/>
        <v>10</v>
      </c>
      <c r="BY153" s="26"/>
      <c r="CA153" s="137" t="s">
        <v>2209</v>
      </c>
      <c r="CB153" s="19" t="b">
        <f t="shared" si="60"/>
        <v>1</v>
      </c>
      <c r="CC153" s="19" t="s">
        <v>2209</v>
      </c>
      <c r="CD153" s="19" t="s">
        <v>1684</v>
      </c>
      <c r="CE153" s="120" t="s">
        <v>1172</v>
      </c>
      <c r="CF153" s="120" t="s">
        <v>1173</v>
      </c>
      <c r="CG153" s="120" t="s">
        <v>1228</v>
      </c>
      <c r="CH153" s="120" t="s">
        <v>1229</v>
      </c>
      <c r="CI153" s="120" t="s">
        <v>1209</v>
      </c>
      <c r="CJ153" s="120" t="s">
        <v>1210</v>
      </c>
      <c r="CK153" s="120" t="s">
        <v>1307</v>
      </c>
      <c r="CL153" s="120" t="s">
        <v>1308</v>
      </c>
      <c r="CM153" s="120" t="s">
        <v>1309</v>
      </c>
      <c r="CN153" s="120" t="s">
        <v>1310</v>
      </c>
      <c r="CO153" s="120" t="s">
        <v>2268</v>
      </c>
      <c r="CP153" s="120" t="s">
        <v>1312</v>
      </c>
      <c r="CQ153" s="120" t="s">
        <v>1174</v>
      </c>
      <c r="CR153" s="120" t="s">
        <v>1175</v>
      </c>
      <c r="CS153" s="120" t="s">
        <v>1300</v>
      </c>
      <c r="CT153" s="120" t="s">
        <v>1301</v>
      </c>
      <c r="CU153" s="120" t="s">
        <v>1238</v>
      </c>
      <c r="CV153" s="120" t="s">
        <v>1239</v>
      </c>
      <c r="CW153" s="120" t="s">
        <v>1313</v>
      </c>
      <c r="CX153" s="120" t="s">
        <v>1314</v>
      </c>
      <c r="CY153" s="120"/>
      <c r="CZ153" s="120"/>
      <c r="DA153" s="120" t="s">
        <v>1304</v>
      </c>
      <c r="DB153" s="120" t="s">
        <v>1305</v>
      </c>
      <c r="DC153" s="120"/>
      <c r="DD153" s="120"/>
      <c r="DE153" s="18"/>
      <c r="DF153" s="18"/>
    </row>
    <row r="154" spans="1:110" s="7" customFormat="1" x14ac:dyDescent="0.25">
      <c r="A154" s="19" t="s">
        <v>228</v>
      </c>
      <c r="B154" s="19" t="s">
        <v>80</v>
      </c>
      <c r="C154" s="19" t="str">
        <f t="shared" si="61"/>
        <v>91658515India</v>
      </c>
      <c r="D154" s="19">
        <v>91658515</v>
      </c>
      <c r="E154" s="19" t="s">
        <v>2074</v>
      </c>
      <c r="F154" s="19" t="s">
        <v>2067</v>
      </c>
      <c r="G154" s="20" t="s">
        <v>2074</v>
      </c>
      <c r="H154" s="136">
        <v>153</v>
      </c>
      <c r="I154" s="19" t="s">
        <v>230</v>
      </c>
      <c r="J154" s="19" t="s">
        <v>296</v>
      </c>
      <c r="K154" s="19" t="s">
        <v>317</v>
      </c>
      <c r="L154" s="19" t="s">
        <v>279</v>
      </c>
      <c r="M154" s="19" t="s">
        <v>298</v>
      </c>
      <c r="N154" s="19" t="s">
        <v>284</v>
      </c>
      <c r="O154" s="19" t="s">
        <v>293</v>
      </c>
      <c r="P154" s="19" t="s">
        <v>285</v>
      </c>
      <c r="Q154" s="19" t="s">
        <v>307</v>
      </c>
      <c r="R154" s="19">
        <v>8900</v>
      </c>
      <c r="S154" s="19" t="s">
        <v>239</v>
      </c>
      <c r="T154" s="19" t="s">
        <v>287</v>
      </c>
      <c r="U154" s="20" t="s">
        <v>287</v>
      </c>
      <c r="V154" s="19" t="s">
        <v>2183</v>
      </c>
      <c r="W154" s="19" t="s">
        <v>2199</v>
      </c>
      <c r="X154" s="35">
        <v>5</v>
      </c>
      <c r="Y154" s="35">
        <v>5</v>
      </c>
      <c r="Z154" s="32"/>
      <c r="AA154" s="22"/>
      <c r="AB154" s="22"/>
      <c r="AC154" s="22"/>
      <c r="AD154" s="22"/>
      <c r="AE154" s="60">
        <f t="shared" si="58"/>
        <v>0</v>
      </c>
      <c r="AF154" s="22"/>
      <c r="AG154" s="40">
        <f t="shared" si="59"/>
        <v>0</v>
      </c>
      <c r="AH154" s="24"/>
      <c r="AI154" s="24"/>
      <c r="AJ154" s="121"/>
      <c r="AK154" s="121"/>
      <c r="AL154" s="24"/>
      <c r="AM154" s="24"/>
      <c r="AN154" s="23">
        <f t="shared" si="62"/>
        <v>0</v>
      </c>
      <c r="AO154" s="25"/>
      <c r="AP154" s="25"/>
      <c r="AQ154" s="25"/>
      <c r="AR154" s="25"/>
      <c r="AS154" s="25">
        <f t="shared" si="63"/>
        <v>0</v>
      </c>
      <c r="AT154" s="13"/>
      <c r="AU154" s="21"/>
      <c r="AV154" s="21"/>
      <c r="AW154" s="21"/>
      <c r="AX154" s="21"/>
      <c r="AY154" s="21"/>
      <c r="AZ154" s="21"/>
      <c r="BA154" s="77"/>
      <c r="BB154" s="21"/>
      <c r="BC154" s="21"/>
      <c r="BD154" s="21"/>
      <c r="BE154" s="21"/>
      <c r="BF154" s="21"/>
      <c r="BG154" s="77"/>
      <c r="BH154" s="77"/>
      <c r="BI154" s="21"/>
      <c r="BJ154" s="21"/>
      <c r="BK154" s="21"/>
      <c r="BL154" s="21"/>
      <c r="BM154" s="21"/>
      <c r="BN154" s="21"/>
      <c r="BO154" s="77"/>
      <c r="BP154" s="21"/>
      <c r="BQ154" s="21"/>
      <c r="BR154" s="21"/>
      <c r="BS154" s="21"/>
      <c r="BT154" s="21"/>
      <c r="BU154" s="21"/>
      <c r="BV154" s="77"/>
      <c r="BW154" s="96">
        <f t="shared" si="64"/>
        <v>0</v>
      </c>
      <c r="BX154" s="94">
        <f t="shared" si="65"/>
        <v>0</v>
      </c>
      <c r="BY154" s="26"/>
      <c r="CA154" s="137" t="s">
        <v>2074</v>
      </c>
      <c r="CB154" s="19" t="b">
        <f t="shared" si="60"/>
        <v>1</v>
      </c>
      <c r="CC154" s="19" t="s">
        <v>2074</v>
      </c>
      <c r="CD154" s="19" t="s">
        <v>2118</v>
      </c>
      <c r="CE154" s="120" t="s">
        <v>1189</v>
      </c>
      <c r="CF154" s="120" t="s">
        <v>1190</v>
      </c>
      <c r="CG154" s="120" t="s">
        <v>1228</v>
      </c>
      <c r="CH154" s="120" t="s">
        <v>1229</v>
      </c>
      <c r="CI154" s="120" t="s">
        <v>1209</v>
      </c>
      <c r="CJ154" s="120" t="s">
        <v>1210</v>
      </c>
      <c r="CK154" s="120" t="s">
        <v>1294</v>
      </c>
      <c r="CL154" s="120" t="s">
        <v>1295</v>
      </c>
      <c r="CM154" s="120" t="s">
        <v>1296</v>
      </c>
      <c r="CN154" s="120" t="s">
        <v>1297</v>
      </c>
      <c r="CO154" s="120" t="s">
        <v>2269</v>
      </c>
      <c r="CP154" s="120" t="s">
        <v>1299</v>
      </c>
      <c r="CQ154" s="120" t="s">
        <v>1199</v>
      </c>
      <c r="CR154" s="120" t="s">
        <v>1200</v>
      </c>
      <c r="CS154" s="120" t="s">
        <v>1300</v>
      </c>
      <c r="CT154" s="120" t="s">
        <v>1301</v>
      </c>
      <c r="CU154" s="120" t="s">
        <v>1238</v>
      </c>
      <c r="CV154" s="120" t="s">
        <v>1239</v>
      </c>
      <c r="CW154" s="120" t="s">
        <v>1302</v>
      </c>
      <c r="CX154" s="120" t="s">
        <v>1303</v>
      </c>
      <c r="CY154" s="120"/>
      <c r="CZ154" s="120"/>
      <c r="DA154" s="120" t="s">
        <v>1304</v>
      </c>
      <c r="DB154" s="120" t="s">
        <v>1305</v>
      </c>
      <c r="DC154" s="120"/>
      <c r="DD154" s="120"/>
      <c r="DE154" s="18"/>
      <c r="DF154" s="18"/>
    </row>
    <row r="155" spans="1:110" s="7" customFormat="1" x14ac:dyDescent="0.25">
      <c r="A155" s="19" t="s">
        <v>228</v>
      </c>
      <c r="B155" s="19" t="s">
        <v>80</v>
      </c>
      <c r="C155" s="19" t="str">
        <f t="shared" si="61"/>
        <v>92407301India</v>
      </c>
      <c r="D155" s="19">
        <v>92407301</v>
      </c>
      <c r="E155" s="19" t="s">
        <v>2212</v>
      </c>
      <c r="F155" s="19" t="s">
        <v>2067</v>
      </c>
      <c r="G155" s="20" t="s">
        <v>2212</v>
      </c>
      <c r="H155" s="136" t="s">
        <v>2234</v>
      </c>
      <c r="I155" s="19" t="s">
        <v>230</v>
      </c>
      <c r="J155" s="19" t="s">
        <v>296</v>
      </c>
      <c r="K155" s="19" t="s">
        <v>2075</v>
      </c>
      <c r="L155" s="19" t="s">
        <v>1821</v>
      </c>
      <c r="M155" s="19" t="s">
        <v>234</v>
      </c>
      <c r="N155" s="19" t="s">
        <v>284</v>
      </c>
      <c r="O155" s="19" t="s">
        <v>293</v>
      </c>
      <c r="P155" s="19" t="s">
        <v>285</v>
      </c>
      <c r="Q155" s="19" t="s">
        <v>2076</v>
      </c>
      <c r="R155" s="19">
        <v>9600</v>
      </c>
      <c r="S155" s="19" t="s">
        <v>239</v>
      </c>
      <c r="T155" s="19" t="s">
        <v>287</v>
      </c>
      <c r="U155" s="20" t="s">
        <v>287</v>
      </c>
      <c r="V155" s="19" t="s">
        <v>2185</v>
      </c>
      <c r="W155" s="19" t="s">
        <v>2199</v>
      </c>
      <c r="X155" s="35">
        <v>5</v>
      </c>
      <c r="Y155" s="35">
        <v>5</v>
      </c>
      <c r="Z155" s="32"/>
      <c r="AA155" s="22"/>
      <c r="AB155" s="22"/>
      <c r="AC155" s="22"/>
      <c r="AD155" s="22"/>
      <c r="AE155" s="60">
        <f t="shared" ref="AE155" si="66">SUM(AA155:AD155)</f>
        <v>0</v>
      </c>
      <c r="AF155" s="22"/>
      <c r="AG155" s="40">
        <f t="shared" ref="AG155" si="67">AE155+AF155</f>
        <v>0</v>
      </c>
      <c r="AH155" s="24"/>
      <c r="AI155" s="24"/>
      <c r="AJ155" s="121"/>
      <c r="AK155" s="121"/>
      <c r="AL155" s="24"/>
      <c r="AM155" s="24"/>
      <c r="AN155" s="23">
        <f t="shared" si="62"/>
        <v>0</v>
      </c>
      <c r="AO155" s="25"/>
      <c r="AP155" s="25"/>
      <c r="AQ155" s="25"/>
      <c r="AR155" s="25"/>
      <c r="AS155" s="25">
        <f t="shared" si="63"/>
        <v>0</v>
      </c>
      <c r="AT155" s="13"/>
      <c r="AU155" s="21"/>
      <c r="AV155" s="21"/>
      <c r="AW155" s="21"/>
      <c r="AX155" s="21"/>
      <c r="AY155" s="21"/>
      <c r="AZ155" s="21"/>
      <c r="BA155" s="77"/>
      <c r="BB155" s="21"/>
      <c r="BC155" s="21"/>
      <c r="BD155" s="21"/>
      <c r="BE155" s="21"/>
      <c r="BF155" s="21"/>
      <c r="BG155" s="77"/>
      <c r="BH155" s="77"/>
      <c r="BI155" s="21"/>
      <c r="BJ155" s="21"/>
      <c r="BK155" s="21"/>
      <c r="BL155" s="21"/>
      <c r="BM155" s="21"/>
      <c r="BN155" s="21"/>
      <c r="BO155" s="77"/>
      <c r="BP155" s="21"/>
      <c r="BQ155" s="21"/>
      <c r="BR155" s="21"/>
      <c r="BS155" s="21"/>
      <c r="BT155" s="21"/>
      <c r="BU155" s="21"/>
      <c r="BV155" s="77"/>
      <c r="BW155" s="96">
        <f t="shared" si="64"/>
        <v>0</v>
      </c>
      <c r="BX155" s="94">
        <f t="shared" si="65"/>
        <v>0</v>
      </c>
      <c r="BY155" s="26"/>
      <c r="CA155" s="137" t="s">
        <v>2212</v>
      </c>
      <c r="CB155" s="19" t="b">
        <f t="shared" ref="CB155:CB164" si="68">CC155=CA155</f>
        <v>1</v>
      </c>
      <c r="CC155" s="19" t="s">
        <v>2212</v>
      </c>
      <c r="CD155" s="19" t="s">
        <v>2270</v>
      </c>
      <c r="CE155" s="120" t="s">
        <v>1172</v>
      </c>
      <c r="CF155" s="120" t="s">
        <v>1173</v>
      </c>
      <c r="CG155" s="120" t="s">
        <v>1228</v>
      </c>
      <c r="CH155" s="120" t="s">
        <v>1229</v>
      </c>
      <c r="CI155" s="120" t="s">
        <v>1209</v>
      </c>
      <c r="CJ155" s="120" t="s">
        <v>1210</v>
      </c>
      <c r="CK155" s="120" t="s">
        <v>2119</v>
      </c>
      <c r="CL155" s="120" t="s">
        <v>2120</v>
      </c>
      <c r="CM155" s="120" t="s">
        <v>2121</v>
      </c>
      <c r="CN155" s="120" t="s">
        <v>2122</v>
      </c>
      <c r="CO155" s="120" t="s">
        <v>2271</v>
      </c>
      <c r="CP155" s="120" t="s">
        <v>2123</v>
      </c>
      <c r="CQ155" s="120" t="s">
        <v>1174</v>
      </c>
      <c r="CR155" s="120" t="s">
        <v>1175</v>
      </c>
      <c r="CS155" s="120" t="s">
        <v>2124</v>
      </c>
      <c r="CT155" s="120" t="s">
        <v>2125</v>
      </c>
      <c r="CU155" s="120" t="s">
        <v>2126</v>
      </c>
      <c r="CV155" s="120" t="s">
        <v>2127</v>
      </c>
      <c r="CW155" s="120" t="s">
        <v>2128</v>
      </c>
      <c r="CX155" s="120" t="s">
        <v>2129</v>
      </c>
      <c r="CY155" s="120"/>
      <c r="CZ155" s="120"/>
      <c r="DA155" s="120" t="s">
        <v>2130</v>
      </c>
      <c r="DB155" s="120" t="s">
        <v>2131</v>
      </c>
      <c r="DC155" s="120" t="s">
        <v>2132</v>
      </c>
      <c r="DD155" s="120" t="s">
        <v>2133</v>
      </c>
      <c r="DE155" s="18"/>
      <c r="DF155" s="18"/>
    </row>
    <row r="156" spans="1:110" s="7" customFormat="1" x14ac:dyDescent="0.25">
      <c r="A156" s="19" t="s">
        <v>228</v>
      </c>
      <c r="B156" s="19" t="s">
        <v>80</v>
      </c>
      <c r="C156" s="19" t="str">
        <f t="shared" ref="C156:C164" si="69">D156&amp;B156</f>
        <v>95406049India</v>
      </c>
      <c r="D156" s="19">
        <v>95406049</v>
      </c>
      <c r="E156" s="19" t="s">
        <v>309</v>
      </c>
      <c r="F156" s="19" t="s">
        <v>2067</v>
      </c>
      <c r="G156" s="20" t="s">
        <v>309</v>
      </c>
      <c r="H156" s="136">
        <v>163</v>
      </c>
      <c r="I156" s="19" t="s">
        <v>230</v>
      </c>
      <c r="J156" s="19" t="s">
        <v>296</v>
      </c>
      <c r="K156" s="19" t="s">
        <v>310</v>
      </c>
      <c r="L156" s="19" t="s">
        <v>262</v>
      </c>
      <c r="M156" s="19" t="s">
        <v>308</v>
      </c>
      <c r="N156" s="19" t="s">
        <v>284</v>
      </c>
      <c r="O156" s="19" t="s">
        <v>311</v>
      </c>
      <c r="P156" s="19" t="s">
        <v>285</v>
      </c>
      <c r="Q156" s="19" t="s">
        <v>312</v>
      </c>
      <c r="R156" s="19">
        <v>10000</v>
      </c>
      <c r="S156" s="19" t="s">
        <v>239</v>
      </c>
      <c r="T156" s="19" t="s">
        <v>287</v>
      </c>
      <c r="U156" s="20" t="s">
        <v>287</v>
      </c>
      <c r="V156" s="19" t="s">
        <v>115</v>
      </c>
      <c r="W156" s="19" t="s">
        <v>2199</v>
      </c>
      <c r="X156" s="35">
        <v>10</v>
      </c>
      <c r="Y156" s="35">
        <v>10</v>
      </c>
      <c r="Z156" s="32"/>
      <c r="AA156" s="22"/>
      <c r="AB156" s="22"/>
      <c r="AC156" s="22"/>
      <c r="AD156" s="22"/>
      <c r="AE156" s="60">
        <f t="shared" ref="AE156:AE162" si="70">SUM(AA156:AD156)</f>
        <v>0</v>
      </c>
      <c r="AF156" s="22"/>
      <c r="AG156" s="40">
        <f t="shared" ref="AG156:AG162" si="71">AE156+AF156</f>
        <v>0</v>
      </c>
      <c r="AH156" s="24"/>
      <c r="AI156" s="24"/>
      <c r="AJ156" s="121"/>
      <c r="AK156" s="121"/>
      <c r="AL156" s="24">
        <v>10</v>
      </c>
      <c r="AM156" s="24"/>
      <c r="AN156" s="23">
        <f t="shared" ref="AN156:AN164" si="72">AG156-AJ156-AK156+AL156+AM156</f>
        <v>10</v>
      </c>
      <c r="AO156" s="25"/>
      <c r="AP156" s="25"/>
      <c r="AQ156" s="25">
        <v>5</v>
      </c>
      <c r="AR156" s="25">
        <v>5</v>
      </c>
      <c r="AS156" s="25">
        <f t="shared" ref="AS156:AS164" si="73">SUM(AO156:AR156)</f>
        <v>10</v>
      </c>
      <c r="AT156" s="13"/>
      <c r="AU156" s="21"/>
      <c r="AV156" s="21"/>
      <c r="AW156" s="21"/>
      <c r="AX156" s="21"/>
      <c r="AY156" s="21"/>
      <c r="AZ156" s="21"/>
      <c r="BA156" s="77"/>
      <c r="BB156" s="21"/>
      <c r="BC156" s="21"/>
      <c r="BD156" s="21"/>
      <c r="BE156" s="21"/>
      <c r="BF156" s="21"/>
      <c r="BG156" s="77"/>
      <c r="BH156" s="77"/>
      <c r="BI156" s="21"/>
      <c r="BJ156" s="21"/>
      <c r="BK156" s="21"/>
      <c r="BL156" s="21"/>
      <c r="BM156" s="21"/>
      <c r="BN156" s="21"/>
      <c r="BO156" s="77"/>
      <c r="BP156" s="21"/>
      <c r="BQ156" s="21"/>
      <c r="BR156" s="21"/>
      <c r="BS156" s="21"/>
      <c r="BT156" s="21"/>
      <c r="BU156" s="21"/>
      <c r="BV156" s="77"/>
      <c r="BW156" s="96">
        <f t="shared" si="64"/>
        <v>0</v>
      </c>
      <c r="BX156" s="94">
        <f t="shared" si="65"/>
        <v>10</v>
      </c>
      <c r="BY156" s="26"/>
      <c r="CA156" s="137" t="s">
        <v>309</v>
      </c>
      <c r="CB156" s="19" t="b">
        <f t="shared" si="68"/>
        <v>1</v>
      </c>
      <c r="CC156" s="19" t="s">
        <v>309</v>
      </c>
      <c r="CD156" s="19" t="s">
        <v>1316</v>
      </c>
      <c r="CE156" s="120" t="s">
        <v>1317</v>
      </c>
      <c r="CF156" s="120" t="s">
        <v>1318</v>
      </c>
      <c r="CG156" s="120" t="s">
        <v>1228</v>
      </c>
      <c r="CH156" s="120" t="s">
        <v>1229</v>
      </c>
      <c r="CI156" s="120" t="s">
        <v>1319</v>
      </c>
      <c r="CJ156" s="120" t="s">
        <v>1320</v>
      </c>
      <c r="CK156" s="120" t="s">
        <v>1337</v>
      </c>
      <c r="CL156" s="120" t="s">
        <v>1338</v>
      </c>
      <c r="CM156" s="120" t="s">
        <v>1323</v>
      </c>
      <c r="CN156" s="120" t="s">
        <v>1324</v>
      </c>
      <c r="CO156" s="120" t="s">
        <v>1325</v>
      </c>
      <c r="CP156" s="120" t="s">
        <v>1326</v>
      </c>
      <c r="CQ156" s="120" t="s">
        <v>1327</v>
      </c>
      <c r="CR156" s="120" t="s">
        <v>1328</v>
      </c>
      <c r="CS156" s="120" t="s">
        <v>1345</v>
      </c>
      <c r="CT156" s="120" t="s">
        <v>1346</v>
      </c>
      <c r="CU156" s="120" t="s">
        <v>1331</v>
      </c>
      <c r="CV156" s="120" t="s">
        <v>1332</v>
      </c>
      <c r="CW156" s="120" t="s">
        <v>1349</v>
      </c>
      <c r="CX156" s="120" t="s">
        <v>1350</v>
      </c>
      <c r="CY156" s="120"/>
      <c r="CZ156" s="120"/>
      <c r="DA156" s="120"/>
      <c r="DB156" s="120"/>
      <c r="DC156" s="120"/>
      <c r="DD156" s="120"/>
      <c r="DE156" s="18"/>
      <c r="DF156" s="18"/>
    </row>
    <row r="157" spans="1:110" s="7" customFormat="1" x14ac:dyDescent="0.25">
      <c r="A157" s="19" t="s">
        <v>228</v>
      </c>
      <c r="B157" s="19" t="s">
        <v>80</v>
      </c>
      <c r="C157" s="19" t="str">
        <f t="shared" si="69"/>
        <v>95307320India</v>
      </c>
      <c r="D157" s="19">
        <v>95307320</v>
      </c>
      <c r="E157" s="19" t="s">
        <v>101</v>
      </c>
      <c r="F157" s="19" t="s">
        <v>2067</v>
      </c>
      <c r="G157" s="20" t="s">
        <v>101</v>
      </c>
      <c r="H157" s="136">
        <v>924</v>
      </c>
      <c r="I157" s="19" t="s">
        <v>230</v>
      </c>
      <c r="J157" s="19" t="s">
        <v>296</v>
      </c>
      <c r="K157" s="19" t="s">
        <v>313</v>
      </c>
      <c r="L157" s="19" t="s">
        <v>279</v>
      </c>
      <c r="M157" s="19" t="s">
        <v>308</v>
      </c>
      <c r="N157" s="19" t="s">
        <v>284</v>
      </c>
      <c r="O157" s="19" t="s">
        <v>311</v>
      </c>
      <c r="P157" s="19" t="s">
        <v>285</v>
      </c>
      <c r="Q157" s="19" t="s">
        <v>314</v>
      </c>
      <c r="R157" s="19">
        <v>12000</v>
      </c>
      <c r="S157" s="19" t="s">
        <v>239</v>
      </c>
      <c r="T157" s="19" t="s">
        <v>287</v>
      </c>
      <c r="U157" s="20" t="s">
        <v>287</v>
      </c>
      <c r="V157" s="19" t="s">
        <v>116</v>
      </c>
      <c r="W157" s="19" t="s">
        <v>2199</v>
      </c>
      <c r="X157" s="35">
        <v>35</v>
      </c>
      <c r="Y157" s="35">
        <v>30</v>
      </c>
      <c r="Z157" s="32"/>
      <c r="AA157" s="22">
        <v>2</v>
      </c>
      <c r="AB157" s="22">
        <v>2</v>
      </c>
      <c r="AC157" s="22">
        <v>3</v>
      </c>
      <c r="AD157" s="22">
        <v>3</v>
      </c>
      <c r="AE157" s="60">
        <f t="shared" si="70"/>
        <v>10</v>
      </c>
      <c r="AF157" s="22"/>
      <c r="AG157" s="40">
        <f t="shared" si="71"/>
        <v>10</v>
      </c>
      <c r="AH157" s="24"/>
      <c r="AI157" s="24"/>
      <c r="AJ157" s="121"/>
      <c r="AK157" s="121"/>
      <c r="AL157" s="24">
        <v>10</v>
      </c>
      <c r="AM157" s="24">
        <v>15</v>
      </c>
      <c r="AN157" s="23">
        <f t="shared" si="72"/>
        <v>35</v>
      </c>
      <c r="AO157" s="25">
        <v>10</v>
      </c>
      <c r="AP157" s="25">
        <v>10</v>
      </c>
      <c r="AQ157" s="25">
        <v>15</v>
      </c>
      <c r="AR157" s="25"/>
      <c r="AS157" s="25">
        <f t="shared" si="73"/>
        <v>35</v>
      </c>
      <c r="AT157" s="13"/>
      <c r="AU157" s="21"/>
      <c r="AV157" s="21"/>
      <c r="AW157" s="21">
        <v>5</v>
      </c>
      <c r="AX157" s="21">
        <v>5</v>
      </c>
      <c r="AY157" s="21"/>
      <c r="AZ157" s="21"/>
      <c r="BA157" s="77"/>
      <c r="BB157" s="21"/>
      <c r="BC157" s="21"/>
      <c r="BD157" s="21">
        <v>5</v>
      </c>
      <c r="BE157" s="21">
        <v>5</v>
      </c>
      <c r="BF157" s="21"/>
      <c r="BG157" s="77"/>
      <c r="BH157" s="77"/>
      <c r="BI157" s="21"/>
      <c r="BJ157" s="21"/>
      <c r="BK157" s="21">
        <v>5</v>
      </c>
      <c r="BL157" s="21"/>
      <c r="BM157" s="21"/>
      <c r="BN157" s="21"/>
      <c r="BO157" s="77"/>
      <c r="BP157" s="21"/>
      <c r="BQ157" s="21"/>
      <c r="BR157" s="21"/>
      <c r="BS157" s="21"/>
      <c r="BT157" s="21"/>
      <c r="BU157" s="21"/>
      <c r="BV157" s="77"/>
      <c r="BW157" s="96">
        <f t="shared" si="64"/>
        <v>25</v>
      </c>
      <c r="BX157" s="94">
        <f t="shared" si="65"/>
        <v>10</v>
      </c>
      <c r="BY157" s="26"/>
      <c r="CA157" s="137" t="s">
        <v>101</v>
      </c>
      <c r="CB157" s="19" t="b">
        <f t="shared" si="68"/>
        <v>1</v>
      </c>
      <c r="CC157" s="19" t="s">
        <v>101</v>
      </c>
      <c r="CD157" s="19" t="s">
        <v>122</v>
      </c>
      <c r="CE157" s="120" t="s">
        <v>1335</v>
      </c>
      <c r="CF157" s="120" t="s">
        <v>1336</v>
      </c>
      <c r="CG157" s="120" t="s">
        <v>1228</v>
      </c>
      <c r="CH157" s="120" t="s">
        <v>1229</v>
      </c>
      <c r="CI157" s="120" t="s">
        <v>1253</v>
      </c>
      <c r="CJ157" s="120" t="s">
        <v>1254</v>
      </c>
      <c r="CK157" s="120" t="s">
        <v>1337</v>
      </c>
      <c r="CL157" s="120" t="s">
        <v>1338</v>
      </c>
      <c r="CM157" s="120" t="s">
        <v>1339</v>
      </c>
      <c r="CN157" s="120" t="s">
        <v>1340</v>
      </c>
      <c r="CO157" s="120" t="s">
        <v>1341</v>
      </c>
      <c r="CP157" s="120" t="s">
        <v>1342</v>
      </c>
      <c r="CQ157" s="120" t="s">
        <v>1343</v>
      </c>
      <c r="CR157" s="120" t="s">
        <v>1344</v>
      </c>
      <c r="CS157" s="120" t="s">
        <v>1345</v>
      </c>
      <c r="CT157" s="120" t="s">
        <v>1346</v>
      </c>
      <c r="CU157" s="120" t="s">
        <v>1347</v>
      </c>
      <c r="CV157" s="120" t="s">
        <v>1348</v>
      </c>
      <c r="CW157" s="120" t="s">
        <v>1349</v>
      </c>
      <c r="CX157" s="120" t="s">
        <v>1350</v>
      </c>
      <c r="CY157" s="120"/>
      <c r="CZ157" s="120"/>
      <c r="DA157" s="120" t="s">
        <v>1351</v>
      </c>
      <c r="DB157" s="120" t="s">
        <v>1352</v>
      </c>
      <c r="DC157" s="120"/>
      <c r="DD157" s="120"/>
      <c r="DE157" s="18"/>
      <c r="DF157" s="18"/>
    </row>
    <row r="158" spans="1:110" s="7" customFormat="1" x14ac:dyDescent="0.25">
      <c r="A158" s="19" t="s">
        <v>228</v>
      </c>
      <c r="B158" s="19" t="s">
        <v>80</v>
      </c>
      <c r="C158" s="19" t="str">
        <f t="shared" si="69"/>
        <v>95359117India</v>
      </c>
      <c r="D158" s="19">
        <v>95359117</v>
      </c>
      <c r="E158" s="19" t="s">
        <v>101</v>
      </c>
      <c r="F158" s="19" t="s">
        <v>2067</v>
      </c>
      <c r="G158" s="20" t="s">
        <v>101</v>
      </c>
      <c r="H158" s="136">
        <v>924</v>
      </c>
      <c r="I158" s="19" t="s">
        <v>230</v>
      </c>
      <c r="J158" s="19" t="s">
        <v>296</v>
      </c>
      <c r="K158" s="19" t="s">
        <v>313</v>
      </c>
      <c r="L158" s="19" t="s">
        <v>279</v>
      </c>
      <c r="M158" s="19" t="s">
        <v>308</v>
      </c>
      <c r="N158" s="19" t="s">
        <v>284</v>
      </c>
      <c r="O158" s="19" t="s">
        <v>293</v>
      </c>
      <c r="P158" s="19" t="s">
        <v>285</v>
      </c>
      <c r="Q158" s="19" t="s">
        <v>314</v>
      </c>
      <c r="R158" s="19">
        <v>12000</v>
      </c>
      <c r="S158" s="19" t="s">
        <v>239</v>
      </c>
      <c r="T158" s="19" t="s">
        <v>287</v>
      </c>
      <c r="U158" s="20" t="s">
        <v>287</v>
      </c>
      <c r="V158" s="19" t="s">
        <v>1542</v>
      </c>
      <c r="W158" s="19" t="s">
        <v>2199</v>
      </c>
      <c r="X158" s="35">
        <v>25</v>
      </c>
      <c r="Y158" s="35">
        <v>35</v>
      </c>
      <c r="Z158" s="32"/>
      <c r="AA158" s="22"/>
      <c r="AB158" s="22"/>
      <c r="AC158" s="22"/>
      <c r="AD158" s="22"/>
      <c r="AE158" s="60">
        <f t="shared" si="70"/>
        <v>0</v>
      </c>
      <c r="AF158" s="22"/>
      <c r="AG158" s="40">
        <f t="shared" si="71"/>
        <v>0</v>
      </c>
      <c r="AH158" s="24"/>
      <c r="AI158" s="24"/>
      <c r="AJ158" s="121"/>
      <c r="AK158" s="121"/>
      <c r="AL158" s="24">
        <v>10</v>
      </c>
      <c r="AM158" s="24">
        <v>10</v>
      </c>
      <c r="AN158" s="23">
        <f t="shared" si="72"/>
        <v>20</v>
      </c>
      <c r="AO158" s="25"/>
      <c r="AP158" s="25"/>
      <c r="AQ158" s="25">
        <v>20</v>
      </c>
      <c r="AR158" s="25"/>
      <c r="AS158" s="25">
        <f t="shared" si="73"/>
        <v>20</v>
      </c>
      <c r="AT158" s="13"/>
      <c r="AU158" s="21"/>
      <c r="AV158" s="21"/>
      <c r="AW158" s="21"/>
      <c r="AX158" s="21"/>
      <c r="AY158" s="21"/>
      <c r="AZ158" s="21"/>
      <c r="BA158" s="77"/>
      <c r="BB158" s="21"/>
      <c r="BC158" s="21"/>
      <c r="BD158" s="21"/>
      <c r="BE158" s="21"/>
      <c r="BF158" s="21"/>
      <c r="BG158" s="77"/>
      <c r="BH158" s="77"/>
      <c r="BI158" s="21"/>
      <c r="BJ158" s="21"/>
      <c r="BK158" s="21">
        <v>5</v>
      </c>
      <c r="BL158" s="21">
        <v>5</v>
      </c>
      <c r="BM158" s="21"/>
      <c r="BN158" s="21"/>
      <c r="BO158" s="77"/>
      <c r="BP158" s="21"/>
      <c r="BQ158" s="21"/>
      <c r="BR158" s="21"/>
      <c r="BS158" s="21"/>
      <c r="BT158" s="21"/>
      <c r="BU158" s="21"/>
      <c r="BV158" s="77"/>
      <c r="BW158" s="96">
        <f t="shared" si="64"/>
        <v>10</v>
      </c>
      <c r="BX158" s="94">
        <f t="shared" si="65"/>
        <v>10</v>
      </c>
      <c r="BY158" s="26"/>
      <c r="CA158" s="137" t="s">
        <v>101</v>
      </c>
      <c r="CB158" s="19" t="b">
        <f t="shared" si="68"/>
        <v>1</v>
      </c>
      <c r="CC158" s="19" t="s">
        <v>101</v>
      </c>
      <c r="CD158" s="19" t="s">
        <v>122</v>
      </c>
      <c r="CE158" s="120" t="s">
        <v>1335</v>
      </c>
      <c r="CF158" s="120" t="s">
        <v>1336</v>
      </c>
      <c r="CG158" s="120" t="s">
        <v>1228</v>
      </c>
      <c r="CH158" s="120" t="s">
        <v>1229</v>
      </c>
      <c r="CI158" s="120" t="s">
        <v>1253</v>
      </c>
      <c r="CJ158" s="120" t="s">
        <v>1254</v>
      </c>
      <c r="CK158" s="120" t="s">
        <v>1337</v>
      </c>
      <c r="CL158" s="120" t="s">
        <v>1338</v>
      </c>
      <c r="CM158" s="120" t="s">
        <v>1339</v>
      </c>
      <c r="CN158" s="120" t="s">
        <v>1340</v>
      </c>
      <c r="CO158" s="120" t="s">
        <v>1341</v>
      </c>
      <c r="CP158" s="120" t="s">
        <v>1342</v>
      </c>
      <c r="CQ158" s="120" t="s">
        <v>1343</v>
      </c>
      <c r="CR158" s="120" t="s">
        <v>1344</v>
      </c>
      <c r="CS158" s="120" t="s">
        <v>1345</v>
      </c>
      <c r="CT158" s="120" t="s">
        <v>1346</v>
      </c>
      <c r="CU158" s="120" t="s">
        <v>1347</v>
      </c>
      <c r="CV158" s="120" t="s">
        <v>1348</v>
      </c>
      <c r="CW158" s="120" t="s">
        <v>1349</v>
      </c>
      <c r="CX158" s="120" t="s">
        <v>1350</v>
      </c>
      <c r="CY158" s="120"/>
      <c r="CZ158" s="120"/>
      <c r="DA158" s="120" t="s">
        <v>1351</v>
      </c>
      <c r="DB158" s="120" t="s">
        <v>1352</v>
      </c>
      <c r="DC158" s="120"/>
      <c r="DD158" s="120"/>
      <c r="DE158" s="18"/>
      <c r="DF158" s="18"/>
    </row>
    <row r="159" spans="1:110" s="7" customFormat="1" x14ac:dyDescent="0.25">
      <c r="A159" s="19" t="s">
        <v>228</v>
      </c>
      <c r="B159" s="19" t="s">
        <v>80</v>
      </c>
      <c r="C159" s="19" t="str">
        <f t="shared" si="69"/>
        <v>CL6428India</v>
      </c>
      <c r="D159" s="19" t="s">
        <v>101</v>
      </c>
      <c r="E159" s="19" t="s">
        <v>101</v>
      </c>
      <c r="F159" s="19" t="s">
        <v>2067</v>
      </c>
      <c r="G159" s="20" t="s">
        <v>101</v>
      </c>
      <c r="H159" s="136">
        <v>924</v>
      </c>
      <c r="I159" s="19" t="s">
        <v>230</v>
      </c>
      <c r="J159" s="19" t="s">
        <v>296</v>
      </c>
      <c r="K159" s="19" t="s">
        <v>313</v>
      </c>
      <c r="L159" s="19" t="s">
        <v>279</v>
      </c>
      <c r="M159" s="19" t="s">
        <v>308</v>
      </c>
      <c r="N159" s="19" t="s">
        <v>284</v>
      </c>
      <c r="O159" s="19" t="s">
        <v>293</v>
      </c>
      <c r="P159" s="19" t="s">
        <v>285</v>
      </c>
      <c r="Q159" s="19" t="s">
        <v>314</v>
      </c>
      <c r="R159" s="19">
        <v>12000</v>
      </c>
      <c r="S159" s="19" t="s">
        <v>239</v>
      </c>
      <c r="T159" s="19" t="s">
        <v>287</v>
      </c>
      <c r="U159" s="20" t="s">
        <v>287</v>
      </c>
      <c r="V159" s="19" t="s">
        <v>1762</v>
      </c>
      <c r="W159" s="19" t="s">
        <v>2199</v>
      </c>
      <c r="X159" s="35"/>
      <c r="Y159" s="35"/>
      <c r="Z159" s="32"/>
      <c r="AA159" s="22"/>
      <c r="AB159" s="22"/>
      <c r="AC159" s="22"/>
      <c r="AD159" s="22"/>
      <c r="AE159" s="60">
        <f t="shared" si="70"/>
        <v>0</v>
      </c>
      <c r="AF159" s="22">
        <v>10</v>
      </c>
      <c r="AG159" s="40">
        <f t="shared" si="71"/>
        <v>10</v>
      </c>
      <c r="AH159" s="24"/>
      <c r="AI159" s="24"/>
      <c r="AJ159" s="121"/>
      <c r="AK159" s="121"/>
      <c r="AL159" s="24"/>
      <c r="AM159" s="24"/>
      <c r="AN159" s="23">
        <f t="shared" si="72"/>
        <v>10</v>
      </c>
      <c r="AO159" s="25"/>
      <c r="AP159" s="25">
        <v>10</v>
      </c>
      <c r="AQ159" s="25"/>
      <c r="AR159" s="25"/>
      <c r="AS159" s="25">
        <f t="shared" si="73"/>
        <v>10</v>
      </c>
      <c r="AT159" s="13"/>
      <c r="AU159" s="21"/>
      <c r="AV159" s="21"/>
      <c r="AW159" s="21"/>
      <c r="AX159" s="21"/>
      <c r="AY159" s="21"/>
      <c r="AZ159" s="21"/>
      <c r="BA159" s="77"/>
      <c r="BB159" s="21"/>
      <c r="BC159" s="21"/>
      <c r="BD159" s="21"/>
      <c r="BE159" s="21"/>
      <c r="BF159" s="21"/>
      <c r="BG159" s="77"/>
      <c r="BH159" s="77"/>
      <c r="BI159" s="21"/>
      <c r="BJ159" s="21"/>
      <c r="BK159" s="21"/>
      <c r="BL159" s="21"/>
      <c r="BM159" s="21"/>
      <c r="BN159" s="21"/>
      <c r="BO159" s="77"/>
      <c r="BP159" s="21"/>
      <c r="BQ159" s="21"/>
      <c r="BR159" s="21"/>
      <c r="BS159" s="21"/>
      <c r="BT159" s="21"/>
      <c r="BU159" s="21"/>
      <c r="BV159" s="77"/>
      <c r="BW159" s="96">
        <f t="shared" si="64"/>
        <v>0</v>
      </c>
      <c r="BX159" s="94">
        <f t="shared" si="65"/>
        <v>10</v>
      </c>
      <c r="BY159" s="26"/>
      <c r="CA159" s="137" t="s">
        <v>101</v>
      </c>
      <c r="CB159" s="19" t="b">
        <f t="shared" si="68"/>
        <v>1</v>
      </c>
      <c r="CC159" s="19" t="s">
        <v>101</v>
      </c>
      <c r="CD159" s="19" t="s">
        <v>122</v>
      </c>
      <c r="CE159" s="120" t="s">
        <v>1335</v>
      </c>
      <c r="CF159" s="120" t="s">
        <v>1336</v>
      </c>
      <c r="CG159" s="120" t="s">
        <v>1228</v>
      </c>
      <c r="CH159" s="120" t="s">
        <v>1229</v>
      </c>
      <c r="CI159" s="120" t="s">
        <v>1253</v>
      </c>
      <c r="CJ159" s="120" t="s">
        <v>1254</v>
      </c>
      <c r="CK159" s="120" t="s">
        <v>1337</v>
      </c>
      <c r="CL159" s="120" t="s">
        <v>1338</v>
      </c>
      <c r="CM159" s="120" t="s">
        <v>1339</v>
      </c>
      <c r="CN159" s="120" t="s">
        <v>1340</v>
      </c>
      <c r="CO159" s="120" t="s">
        <v>1341</v>
      </c>
      <c r="CP159" s="120" t="s">
        <v>1342</v>
      </c>
      <c r="CQ159" s="120" t="s">
        <v>1343</v>
      </c>
      <c r="CR159" s="120" t="s">
        <v>1344</v>
      </c>
      <c r="CS159" s="120" t="s">
        <v>1345</v>
      </c>
      <c r="CT159" s="120" t="s">
        <v>1346</v>
      </c>
      <c r="CU159" s="120" t="s">
        <v>1347</v>
      </c>
      <c r="CV159" s="120" t="s">
        <v>1348</v>
      </c>
      <c r="CW159" s="120" t="s">
        <v>1349</v>
      </c>
      <c r="CX159" s="120" t="s">
        <v>1350</v>
      </c>
      <c r="CY159" s="120"/>
      <c r="CZ159" s="120"/>
      <c r="DA159" s="120" t="s">
        <v>1351</v>
      </c>
      <c r="DB159" s="120" t="s">
        <v>1352</v>
      </c>
      <c r="DC159" s="120"/>
      <c r="DD159" s="120"/>
      <c r="DE159" s="18"/>
      <c r="DF159" s="18"/>
    </row>
    <row r="160" spans="1:110" s="7" customFormat="1" x14ac:dyDescent="0.25">
      <c r="A160" s="19" t="s">
        <v>228</v>
      </c>
      <c r="B160" s="19" t="s">
        <v>80</v>
      </c>
      <c r="C160" s="19" t="str">
        <f t="shared" si="69"/>
        <v>95307317India</v>
      </c>
      <c r="D160" s="19">
        <v>95307317</v>
      </c>
      <c r="E160" s="19" t="s">
        <v>101</v>
      </c>
      <c r="F160" s="19" t="s">
        <v>2067</v>
      </c>
      <c r="G160" s="20" t="s">
        <v>101</v>
      </c>
      <c r="H160" s="136">
        <v>924</v>
      </c>
      <c r="I160" s="19" t="s">
        <v>230</v>
      </c>
      <c r="J160" s="19" t="s">
        <v>296</v>
      </c>
      <c r="K160" s="19" t="s">
        <v>313</v>
      </c>
      <c r="L160" s="19" t="s">
        <v>279</v>
      </c>
      <c r="M160" s="19" t="s">
        <v>308</v>
      </c>
      <c r="N160" s="19" t="s">
        <v>284</v>
      </c>
      <c r="O160" s="19" t="s">
        <v>293</v>
      </c>
      <c r="P160" s="19" t="s">
        <v>285</v>
      </c>
      <c r="Q160" s="19" t="s">
        <v>314</v>
      </c>
      <c r="R160" s="19">
        <v>12000</v>
      </c>
      <c r="S160" s="19" t="s">
        <v>239</v>
      </c>
      <c r="T160" s="19" t="s">
        <v>287</v>
      </c>
      <c r="U160" s="20" t="s">
        <v>287</v>
      </c>
      <c r="V160" s="19" t="s">
        <v>2188</v>
      </c>
      <c r="W160" s="19" t="s">
        <v>219</v>
      </c>
      <c r="X160" s="35">
        <v>5</v>
      </c>
      <c r="Y160" s="35">
        <v>5</v>
      </c>
      <c r="Z160" s="32"/>
      <c r="AA160" s="22"/>
      <c r="AB160" s="22"/>
      <c r="AC160" s="22"/>
      <c r="AD160" s="22"/>
      <c r="AE160" s="60">
        <f t="shared" si="70"/>
        <v>0</v>
      </c>
      <c r="AF160" s="22"/>
      <c r="AG160" s="40">
        <f t="shared" si="71"/>
        <v>0</v>
      </c>
      <c r="AH160" s="24"/>
      <c r="AI160" s="24"/>
      <c r="AJ160" s="121"/>
      <c r="AK160" s="121"/>
      <c r="AL160" s="24"/>
      <c r="AM160" s="24"/>
      <c r="AN160" s="23">
        <f t="shared" si="72"/>
        <v>0</v>
      </c>
      <c r="AO160" s="25"/>
      <c r="AP160" s="25"/>
      <c r="AQ160" s="25"/>
      <c r="AR160" s="25"/>
      <c r="AS160" s="25">
        <f t="shared" si="73"/>
        <v>0</v>
      </c>
      <c r="AT160" s="13"/>
      <c r="AU160" s="21"/>
      <c r="AV160" s="21"/>
      <c r="AW160" s="21"/>
      <c r="AX160" s="21"/>
      <c r="AY160" s="21"/>
      <c r="AZ160" s="21"/>
      <c r="BA160" s="77"/>
      <c r="BB160" s="21"/>
      <c r="BC160" s="21"/>
      <c r="BD160" s="21"/>
      <c r="BE160" s="21"/>
      <c r="BF160" s="21"/>
      <c r="BG160" s="77"/>
      <c r="BH160" s="77"/>
      <c r="BI160" s="21"/>
      <c r="BJ160" s="21"/>
      <c r="BK160" s="21"/>
      <c r="BL160" s="21"/>
      <c r="BM160" s="21"/>
      <c r="BN160" s="21"/>
      <c r="BO160" s="77"/>
      <c r="BP160" s="21"/>
      <c r="BQ160" s="21"/>
      <c r="BR160" s="21"/>
      <c r="BS160" s="21"/>
      <c r="BT160" s="21"/>
      <c r="BU160" s="21"/>
      <c r="BV160" s="77"/>
      <c r="BW160" s="96">
        <f t="shared" si="64"/>
        <v>0</v>
      </c>
      <c r="BX160" s="94">
        <f t="shared" si="65"/>
        <v>0</v>
      </c>
      <c r="BY160" s="26"/>
      <c r="CA160" s="137" t="s">
        <v>101</v>
      </c>
      <c r="CB160" s="19" t="b">
        <f t="shared" si="68"/>
        <v>1</v>
      </c>
      <c r="CC160" s="19" t="s">
        <v>101</v>
      </c>
      <c r="CD160" s="19" t="s">
        <v>122</v>
      </c>
      <c r="CE160" s="120" t="s">
        <v>1335</v>
      </c>
      <c r="CF160" s="120" t="s">
        <v>1336</v>
      </c>
      <c r="CG160" s="120" t="s">
        <v>1228</v>
      </c>
      <c r="CH160" s="120" t="s">
        <v>1229</v>
      </c>
      <c r="CI160" s="120" t="s">
        <v>1253</v>
      </c>
      <c r="CJ160" s="120" t="s">
        <v>1254</v>
      </c>
      <c r="CK160" s="120" t="s">
        <v>1337</v>
      </c>
      <c r="CL160" s="120" t="s">
        <v>1338</v>
      </c>
      <c r="CM160" s="120" t="s">
        <v>1339</v>
      </c>
      <c r="CN160" s="120" t="s">
        <v>1340</v>
      </c>
      <c r="CO160" s="120" t="s">
        <v>1341</v>
      </c>
      <c r="CP160" s="120" t="s">
        <v>1342</v>
      </c>
      <c r="CQ160" s="120" t="s">
        <v>1343</v>
      </c>
      <c r="CR160" s="120" t="s">
        <v>1344</v>
      </c>
      <c r="CS160" s="120" t="s">
        <v>1345</v>
      </c>
      <c r="CT160" s="120" t="s">
        <v>1346</v>
      </c>
      <c r="CU160" s="120" t="s">
        <v>1347</v>
      </c>
      <c r="CV160" s="120" t="s">
        <v>1348</v>
      </c>
      <c r="CW160" s="120" t="s">
        <v>1349</v>
      </c>
      <c r="CX160" s="120" t="s">
        <v>1350</v>
      </c>
      <c r="CY160" s="120"/>
      <c r="CZ160" s="120"/>
      <c r="DA160" s="120" t="s">
        <v>1351</v>
      </c>
      <c r="DB160" s="120" t="s">
        <v>1352</v>
      </c>
      <c r="DC160" s="120"/>
      <c r="DD160" s="120"/>
      <c r="DE160" s="18"/>
      <c r="DF160" s="18"/>
    </row>
    <row r="161" spans="1:110" s="7" customFormat="1" x14ac:dyDescent="0.25">
      <c r="A161" s="19" t="s">
        <v>224</v>
      </c>
      <c r="B161" s="19" t="s">
        <v>224</v>
      </c>
      <c r="C161" s="19" t="str">
        <f t="shared" si="69"/>
        <v>95450739NPI Proj</v>
      </c>
      <c r="D161" s="19">
        <v>95450739</v>
      </c>
      <c r="E161" s="19" t="s">
        <v>496</v>
      </c>
      <c r="F161" s="19" t="s">
        <v>2067</v>
      </c>
      <c r="G161" s="20" t="s">
        <v>496</v>
      </c>
      <c r="H161" s="136">
        <v>1</v>
      </c>
      <c r="I161" s="19" t="s">
        <v>230</v>
      </c>
      <c r="J161" s="19" t="s">
        <v>296</v>
      </c>
      <c r="K161" s="19" t="s">
        <v>313</v>
      </c>
      <c r="L161" s="19" t="s">
        <v>279</v>
      </c>
      <c r="M161" s="19" t="s">
        <v>308</v>
      </c>
      <c r="N161" s="19" t="s">
        <v>284</v>
      </c>
      <c r="O161" s="19" t="s">
        <v>311</v>
      </c>
      <c r="P161" s="19" t="s">
        <v>285</v>
      </c>
      <c r="Q161" s="19" t="s">
        <v>314</v>
      </c>
      <c r="R161" s="19">
        <v>12000</v>
      </c>
      <c r="S161" s="19" t="s">
        <v>239</v>
      </c>
      <c r="T161" s="19" t="s">
        <v>287</v>
      </c>
      <c r="U161" s="20" t="s">
        <v>287</v>
      </c>
      <c r="V161" s="19" t="s">
        <v>1618</v>
      </c>
      <c r="W161" s="19"/>
      <c r="X161" s="35"/>
      <c r="Y161" s="35"/>
      <c r="Z161" s="32"/>
      <c r="AA161" s="22"/>
      <c r="AB161" s="22"/>
      <c r="AC161" s="22"/>
      <c r="AD161" s="22">
        <v>3</v>
      </c>
      <c r="AE161" s="60">
        <f t="shared" si="70"/>
        <v>3</v>
      </c>
      <c r="AF161" s="22"/>
      <c r="AG161" s="40">
        <f t="shared" si="71"/>
        <v>3</v>
      </c>
      <c r="AH161" s="24"/>
      <c r="AI161" s="24"/>
      <c r="AJ161" s="121"/>
      <c r="AK161" s="121"/>
      <c r="AL161" s="24"/>
      <c r="AM161" s="24"/>
      <c r="AN161" s="23">
        <f t="shared" si="72"/>
        <v>3</v>
      </c>
      <c r="AO161" s="25"/>
      <c r="AP161" s="25"/>
      <c r="AQ161" s="25"/>
      <c r="AR161" s="25"/>
      <c r="AS161" s="25">
        <f t="shared" si="73"/>
        <v>0</v>
      </c>
      <c r="AT161" s="13"/>
      <c r="AU161" s="21"/>
      <c r="AV161" s="21"/>
      <c r="AW161" s="21"/>
      <c r="AX161" s="21"/>
      <c r="AY161" s="21"/>
      <c r="AZ161" s="21"/>
      <c r="BA161" s="77"/>
      <c r="BB161" s="21"/>
      <c r="BC161" s="21"/>
      <c r="BD161" s="21"/>
      <c r="BE161" s="21"/>
      <c r="BF161" s="21"/>
      <c r="BG161" s="77"/>
      <c r="BH161" s="77"/>
      <c r="BI161" s="21"/>
      <c r="BJ161" s="21"/>
      <c r="BK161" s="21"/>
      <c r="BL161" s="21"/>
      <c r="BM161" s="21"/>
      <c r="BN161" s="21"/>
      <c r="BO161" s="77"/>
      <c r="BP161" s="21"/>
      <c r="BQ161" s="21"/>
      <c r="BR161" s="21"/>
      <c r="BS161" s="21"/>
      <c r="BT161" s="21"/>
      <c r="BU161" s="21"/>
      <c r="BV161" s="77"/>
      <c r="BW161" s="96">
        <f t="shared" si="64"/>
        <v>0</v>
      </c>
      <c r="BX161" s="94">
        <f t="shared" si="65"/>
        <v>0</v>
      </c>
      <c r="BY161" s="26" t="s">
        <v>2295</v>
      </c>
      <c r="CA161" s="137" t="s">
        <v>496</v>
      </c>
      <c r="CB161" s="19" t="b">
        <f t="shared" si="68"/>
        <v>1</v>
      </c>
      <c r="CC161" s="19" t="s">
        <v>496</v>
      </c>
      <c r="CD161" s="19" t="s">
        <v>1359</v>
      </c>
      <c r="CE161" s="120" t="s">
        <v>1360</v>
      </c>
      <c r="CF161" s="120" t="s">
        <v>1361</v>
      </c>
      <c r="CG161" s="120" t="s">
        <v>1362</v>
      </c>
      <c r="CH161" s="120" t="s">
        <v>1229</v>
      </c>
      <c r="CI161" s="120" t="s">
        <v>1363</v>
      </c>
      <c r="CJ161" s="120" t="s">
        <v>1364</v>
      </c>
      <c r="CK161" s="120" t="s">
        <v>1365</v>
      </c>
      <c r="CL161" s="120" t="s">
        <v>1358</v>
      </c>
      <c r="CM161" s="120" t="s">
        <v>1366</v>
      </c>
      <c r="CN161" s="120" t="s">
        <v>1367</v>
      </c>
      <c r="CO161" s="120" t="s">
        <v>1368</v>
      </c>
      <c r="CP161" s="120" t="s">
        <v>1369</v>
      </c>
      <c r="CQ161" s="120" t="s">
        <v>1370</v>
      </c>
      <c r="CR161" s="120" t="s">
        <v>1371</v>
      </c>
      <c r="CS161" s="120" t="s">
        <v>1372</v>
      </c>
      <c r="CT161" s="120" t="s">
        <v>1373</v>
      </c>
      <c r="CU161" s="120" t="s">
        <v>1374</v>
      </c>
      <c r="CV161" s="120" t="s">
        <v>1375</v>
      </c>
      <c r="CW161" s="120" t="s">
        <v>1376</v>
      </c>
      <c r="CX161" s="120" t="s">
        <v>1264</v>
      </c>
      <c r="CY161" s="120"/>
      <c r="CZ161" s="120"/>
      <c r="DA161" s="120" t="s">
        <v>1377</v>
      </c>
      <c r="DB161" s="120" t="s">
        <v>1378</v>
      </c>
      <c r="DC161" s="120"/>
      <c r="DD161" s="120"/>
      <c r="DE161" s="18"/>
      <c r="DF161" s="18"/>
    </row>
    <row r="162" spans="1:110" s="7" customFormat="1" x14ac:dyDescent="0.25">
      <c r="A162" s="19" t="s">
        <v>224</v>
      </c>
      <c r="B162" s="19" t="s">
        <v>224</v>
      </c>
      <c r="C162" s="19" t="str">
        <f t="shared" si="69"/>
        <v>95450741NPI Proj</v>
      </c>
      <c r="D162" s="19">
        <v>95450741</v>
      </c>
      <c r="E162" s="19" t="s">
        <v>497</v>
      </c>
      <c r="F162" s="19" t="s">
        <v>2067</v>
      </c>
      <c r="G162" s="20" t="s">
        <v>497</v>
      </c>
      <c r="H162" s="136">
        <v>1</v>
      </c>
      <c r="I162" s="19" t="s">
        <v>230</v>
      </c>
      <c r="J162" s="19" t="s">
        <v>296</v>
      </c>
      <c r="K162" s="19" t="s">
        <v>313</v>
      </c>
      <c r="L162" s="19" t="s">
        <v>279</v>
      </c>
      <c r="M162" s="19" t="s">
        <v>308</v>
      </c>
      <c r="N162" s="19" t="s">
        <v>284</v>
      </c>
      <c r="O162" s="19" t="s">
        <v>293</v>
      </c>
      <c r="P162" s="19" t="s">
        <v>285</v>
      </c>
      <c r="Q162" s="19" t="s">
        <v>314</v>
      </c>
      <c r="R162" s="19">
        <v>12000</v>
      </c>
      <c r="S162" s="19" t="s">
        <v>239</v>
      </c>
      <c r="T162" s="19" t="s">
        <v>287</v>
      </c>
      <c r="U162" s="20" t="s">
        <v>287</v>
      </c>
      <c r="V162" s="19" t="s">
        <v>1619</v>
      </c>
      <c r="W162" s="19"/>
      <c r="X162" s="35"/>
      <c r="Y162" s="35"/>
      <c r="Z162" s="32"/>
      <c r="AA162" s="22"/>
      <c r="AB162" s="22"/>
      <c r="AC162" s="22"/>
      <c r="AD162" s="22">
        <v>2</v>
      </c>
      <c r="AE162" s="60">
        <f t="shared" si="70"/>
        <v>2</v>
      </c>
      <c r="AF162" s="22"/>
      <c r="AG162" s="40">
        <f t="shared" si="71"/>
        <v>2</v>
      </c>
      <c r="AH162" s="24"/>
      <c r="AI162" s="24"/>
      <c r="AJ162" s="121"/>
      <c r="AK162" s="121"/>
      <c r="AL162" s="24"/>
      <c r="AM162" s="24"/>
      <c r="AN162" s="23">
        <f t="shared" si="72"/>
        <v>2</v>
      </c>
      <c r="AO162" s="25"/>
      <c r="AP162" s="25"/>
      <c r="AQ162" s="25"/>
      <c r="AR162" s="25"/>
      <c r="AS162" s="25">
        <f t="shared" si="73"/>
        <v>0</v>
      </c>
      <c r="AT162" s="13"/>
      <c r="AU162" s="21"/>
      <c r="AV162" s="21"/>
      <c r="AW162" s="21"/>
      <c r="AX162" s="21"/>
      <c r="AY162" s="21"/>
      <c r="AZ162" s="21"/>
      <c r="BA162" s="77"/>
      <c r="BB162" s="21"/>
      <c r="BC162" s="21"/>
      <c r="BD162" s="21"/>
      <c r="BE162" s="21"/>
      <c r="BF162" s="21"/>
      <c r="BG162" s="77"/>
      <c r="BH162" s="77"/>
      <c r="BI162" s="21"/>
      <c r="BJ162" s="21"/>
      <c r="BK162" s="21"/>
      <c r="BL162" s="21"/>
      <c r="BM162" s="21"/>
      <c r="BN162" s="21"/>
      <c r="BO162" s="77"/>
      <c r="BP162" s="21"/>
      <c r="BQ162" s="21"/>
      <c r="BR162" s="21"/>
      <c r="BS162" s="21"/>
      <c r="BT162" s="21"/>
      <c r="BU162" s="21"/>
      <c r="BV162" s="77"/>
      <c r="BW162" s="96">
        <f t="shared" si="64"/>
        <v>0</v>
      </c>
      <c r="BX162" s="94">
        <f t="shared" si="65"/>
        <v>0</v>
      </c>
      <c r="BY162" s="26" t="s">
        <v>2295</v>
      </c>
      <c r="CA162" s="137" t="s">
        <v>497</v>
      </c>
      <c r="CB162" s="19" t="b">
        <f t="shared" si="68"/>
        <v>1</v>
      </c>
      <c r="CC162" s="19" t="s">
        <v>497</v>
      </c>
      <c r="CD162" s="19" t="s">
        <v>1379</v>
      </c>
      <c r="CE162" s="120" t="s">
        <v>1360</v>
      </c>
      <c r="CF162" s="120" t="s">
        <v>1361</v>
      </c>
      <c r="CG162" s="120" t="s">
        <v>1362</v>
      </c>
      <c r="CH162" s="120" t="s">
        <v>1229</v>
      </c>
      <c r="CI162" s="120" t="s">
        <v>1363</v>
      </c>
      <c r="CJ162" s="120" t="s">
        <v>1364</v>
      </c>
      <c r="CK162" s="120" t="s">
        <v>1365</v>
      </c>
      <c r="CL162" s="120" t="s">
        <v>1358</v>
      </c>
      <c r="CM162" s="120" t="s">
        <v>1380</v>
      </c>
      <c r="CN162" s="120" t="s">
        <v>1381</v>
      </c>
      <c r="CO162" s="120" t="s">
        <v>1368</v>
      </c>
      <c r="CP162" s="120" t="s">
        <v>1369</v>
      </c>
      <c r="CQ162" s="120" t="s">
        <v>1370</v>
      </c>
      <c r="CR162" s="120" t="s">
        <v>1371</v>
      </c>
      <c r="CS162" s="120" t="s">
        <v>1372</v>
      </c>
      <c r="CT162" s="120" t="s">
        <v>1373</v>
      </c>
      <c r="CU162" s="120" t="s">
        <v>1374</v>
      </c>
      <c r="CV162" s="120" t="s">
        <v>1375</v>
      </c>
      <c r="CW162" s="120" t="s">
        <v>1376</v>
      </c>
      <c r="CX162" s="120" t="s">
        <v>1264</v>
      </c>
      <c r="CY162" s="120"/>
      <c r="CZ162" s="120"/>
      <c r="DA162" s="120" t="s">
        <v>1377</v>
      </c>
      <c r="DB162" s="120" t="s">
        <v>1378</v>
      </c>
      <c r="DC162" s="120"/>
      <c r="DD162" s="120"/>
      <c r="DE162" s="18"/>
      <c r="DF162" s="18"/>
    </row>
    <row r="163" spans="1:110" s="7" customFormat="1" x14ac:dyDescent="0.25">
      <c r="A163" s="19" t="s">
        <v>224</v>
      </c>
      <c r="B163" s="19" t="s">
        <v>224</v>
      </c>
      <c r="C163" s="19" t="str">
        <f t="shared" si="69"/>
        <v>97703403NPI Proj</v>
      </c>
      <c r="D163" s="19">
        <v>97703403</v>
      </c>
      <c r="E163" s="19" t="s">
        <v>229</v>
      </c>
      <c r="F163" s="19" t="s">
        <v>2067</v>
      </c>
      <c r="G163" s="20" t="s">
        <v>229</v>
      </c>
      <c r="H163" s="136" t="s">
        <v>2234</v>
      </c>
      <c r="I163" s="19" t="s">
        <v>491</v>
      </c>
      <c r="J163" s="19" t="s">
        <v>487</v>
      </c>
      <c r="K163" s="19" t="s">
        <v>313</v>
      </c>
      <c r="L163" s="19" t="s">
        <v>279</v>
      </c>
      <c r="M163" s="19" t="s">
        <v>308</v>
      </c>
      <c r="N163" s="19" t="s">
        <v>284</v>
      </c>
      <c r="O163" s="19" t="s">
        <v>335</v>
      </c>
      <c r="P163" s="19" t="s">
        <v>285</v>
      </c>
      <c r="Q163" s="19" t="s">
        <v>314</v>
      </c>
      <c r="R163" s="19">
        <v>12000</v>
      </c>
      <c r="S163" s="19" t="s">
        <v>239</v>
      </c>
      <c r="T163" s="19" t="s">
        <v>287</v>
      </c>
      <c r="U163" s="20" t="s">
        <v>287</v>
      </c>
      <c r="V163" s="19" t="s">
        <v>2062</v>
      </c>
      <c r="W163" s="19"/>
      <c r="X163" s="35"/>
      <c r="Y163" s="35"/>
      <c r="Z163" s="32"/>
      <c r="AA163" s="22">
        <v>2</v>
      </c>
      <c r="AB163" s="22"/>
      <c r="AC163" s="22"/>
      <c r="AD163" s="22"/>
      <c r="AE163" s="60">
        <v>2</v>
      </c>
      <c r="AF163" s="22"/>
      <c r="AG163" s="40">
        <v>2</v>
      </c>
      <c r="AH163" s="24"/>
      <c r="AI163" s="24"/>
      <c r="AJ163" s="121"/>
      <c r="AK163" s="121"/>
      <c r="AL163" s="24"/>
      <c r="AM163" s="24"/>
      <c r="AN163" s="23">
        <f t="shared" si="72"/>
        <v>2</v>
      </c>
      <c r="AO163" s="25"/>
      <c r="AP163" s="25"/>
      <c r="AQ163" s="25"/>
      <c r="AR163" s="25">
        <v>2</v>
      </c>
      <c r="AS163" s="25">
        <f t="shared" si="73"/>
        <v>2</v>
      </c>
      <c r="AT163" s="13"/>
      <c r="AU163" s="21"/>
      <c r="AV163" s="21"/>
      <c r="AW163" s="21"/>
      <c r="AX163" s="21"/>
      <c r="AY163" s="21"/>
      <c r="AZ163" s="21"/>
      <c r="BA163" s="77"/>
      <c r="BB163" s="21"/>
      <c r="BC163" s="21"/>
      <c r="BD163" s="21"/>
      <c r="BE163" s="21"/>
      <c r="BF163" s="21"/>
      <c r="BG163" s="77"/>
      <c r="BH163" s="77"/>
      <c r="BI163" s="21"/>
      <c r="BJ163" s="21"/>
      <c r="BK163" s="21"/>
      <c r="BL163" s="21"/>
      <c r="BM163" s="21"/>
      <c r="BN163" s="21"/>
      <c r="BO163" s="77"/>
      <c r="BP163" s="21"/>
      <c r="BQ163" s="21"/>
      <c r="BR163" s="21"/>
      <c r="BS163" s="21">
        <v>1</v>
      </c>
      <c r="BT163" s="21">
        <v>1</v>
      </c>
      <c r="BU163" s="21"/>
      <c r="BV163" s="77"/>
      <c r="BW163" s="96">
        <f t="shared" si="64"/>
        <v>2</v>
      </c>
      <c r="BX163" s="94">
        <f t="shared" si="65"/>
        <v>0</v>
      </c>
      <c r="BY163" s="26" t="s">
        <v>2296</v>
      </c>
      <c r="CA163" s="19" t="s">
        <v>229</v>
      </c>
      <c r="CB163" s="19" t="b">
        <f t="shared" si="68"/>
        <v>0</v>
      </c>
      <c r="CC163" s="19"/>
      <c r="CD163" s="19"/>
      <c r="CE163" s="120"/>
      <c r="CF163" s="120"/>
      <c r="CG163" s="120"/>
      <c r="CH163" s="120"/>
      <c r="CI163" s="120"/>
      <c r="CJ163" s="120"/>
      <c r="CK163" s="120"/>
      <c r="CL163" s="120"/>
      <c r="CM163" s="120"/>
      <c r="CN163" s="120"/>
      <c r="CO163" s="120"/>
      <c r="CP163" s="120"/>
      <c r="CQ163" s="120"/>
      <c r="CR163" s="120"/>
      <c r="CS163" s="120"/>
      <c r="CT163" s="120"/>
      <c r="CU163" s="120"/>
      <c r="CV163" s="120"/>
      <c r="CW163" s="120"/>
      <c r="CX163" s="120"/>
      <c r="CY163" s="120"/>
      <c r="CZ163" s="120"/>
      <c r="DA163" s="120"/>
      <c r="DB163" s="120"/>
      <c r="DC163" s="120"/>
      <c r="DD163" s="120"/>
      <c r="DE163" s="18"/>
      <c r="DF163" s="18"/>
    </row>
    <row r="164" spans="1:110" s="7" customFormat="1" x14ac:dyDescent="0.25">
      <c r="A164" s="19" t="s">
        <v>224</v>
      </c>
      <c r="B164" s="19" t="s">
        <v>224</v>
      </c>
      <c r="C164" s="19" t="str">
        <f t="shared" si="69"/>
        <v>97703402NPI Proj</v>
      </c>
      <c r="D164" s="19">
        <v>97703402</v>
      </c>
      <c r="E164" s="19" t="s">
        <v>229</v>
      </c>
      <c r="F164" s="19" t="s">
        <v>2067</v>
      </c>
      <c r="G164" s="20" t="s">
        <v>229</v>
      </c>
      <c r="H164" s="136" t="s">
        <v>2234</v>
      </c>
      <c r="I164" s="19" t="s">
        <v>491</v>
      </c>
      <c r="J164" s="19" t="s">
        <v>487</v>
      </c>
      <c r="K164" s="19" t="s">
        <v>313</v>
      </c>
      <c r="L164" s="19" t="s">
        <v>289</v>
      </c>
      <c r="M164" s="19" t="s">
        <v>308</v>
      </c>
      <c r="N164" s="19" t="s">
        <v>284</v>
      </c>
      <c r="O164" s="19" t="s">
        <v>335</v>
      </c>
      <c r="P164" s="19" t="s">
        <v>285</v>
      </c>
      <c r="Q164" s="19" t="s">
        <v>314</v>
      </c>
      <c r="R164" s="19">
        <v>12000</v>
      </c>
      <c r="S164" s="19" t="s">
        <v>239</v>
      </c>
      <c r="T164" s="19" t="s">
        <v>287</v>
      </c>
      <c r="U164" s="20" t="s">
        <v>287</v>
      </c>
      <c r="V164" s="19" t="s">
        <v>2063</v>
      </c>
      <c r="W164" s="19"/>
      <c r="X164" s="35"/>
      <c r="Y164" s="35"/>
      <c r="Z164" s="32"/>
      <c r="AA164" s="22">
        <v>2</v>
      </c>
      <c r="AB164" s="22"/>
      <c r="AC164" s="22"/>
      <c r="AD164" s="22"/>
      <c r="AE164" s="60">
        <v>2</v>
      </c>
      <c r="AF164" s="22"/>
      <c r="AG164" s="40">
        <v>2</v>
      </c>
      <c r="AH164" s="24"/>
      <c r="AI164" s="24"/>
      <c r="AJ164" s="121"/>
      <c r="AK164" s="121"/>
      <c r="AL164" s="24"/>
      <c r="AM164" s="24"/>
      <c r="AN164" s="23">
        <f t="shared" si="72"/>
        <v>2</v>
      </c>
      <c r="AO164" s="25"/>
      <c r="AP164" s="25"/>
      <c r="AQ164" s="25"/>
      <c r="AR164" s="25">
        <v>2</v>
      </c>
      <c r="AS164" s="25">
        <f t="shared" si="73"/>
        <v>2</v>
      </c>
      <c r="AT164" s="13"/>
      <c r="AU164" s="21"/>
      <c r="AV164" s="21"/>
      <c r="AW164" s="21"/>
      <c r="AX164" s="21"/>
      <c r="AY164" s="21"/>
      <c r="AZ164" s="21"/>
      <c r="BA164" s="77"/>
      <c r="BB164" s="21"/>
      <c r="BC164" s="21"/>
      <c r="BD164" s="21"/>
      <c r="BE164" s="21"/>
      <c r="BF164" s="21"/>
      <c r="BG164" s="77"/>
      <c r="BH164" s="77"/>
      <c r="BI164" s="21"/>
      <c r="BJ164" s="21"/>
      <c r="BK164" s="21"/>
      <c r="BL164" s="21"/>
      <c r="BM164" s="21"/>
      <c r="BN164" s="21"/>
      <c r="BO164" s="77"/>
      <c r="BP164" s="21"/>
      <c r="BQ164" s="21"/>
      <c r="BR164" s="21"/>
      <c r="BS164" s="21">
        <v>1</v>
      </c>
      <c r="BT164" s="21">
        <v>1</v>
      </c>
      <c r="BU164" s="21"/>
      <c r="BV164" s="77"/>
      <c r="BW164" s="96">
        <f t="shared" ref="BW164" si="74">SUM(AV164:BV164)</f>
        <v>2</v>
      </c>
      <c r="BX164" s="94">
        <f t="shared" ref="BX164" si="75">AS164-BW164</f>
        <v>0</v>
      </c>
      <c r="BY164" s="26" t="s">
        <v>2296</v>
      </c>
      <c r="CA164" s="19" t="s">
        <v>229</v>
      </c>
      <c r="CB164" s="19" t="b">
        <f t="shared" si="68"/>
        <v>0</v>
      </c>
      <c r="CC164" s="19"/>
      <c r="CD164" s="19"/>
      <c r="CE164" s="120"/>
      <c r="CF164" s="120"/>
      <c r="CG164" s="120"/>
      <c r="CH164" s="120"/>
      <c r="CI164" s="120"/>
      <c r="CJ164" s="120"/>
      <c r="CK164" s="120"/>
      <c r="CL164" s="120"/>
      <c r="CM164" s="120"/>
      <c r="CN164" s="120"/>
      <c r="CO164" s="120"/>
      <c r="CP164" s="120"/>
      <c r="CQ164" s="120"/>
      <c r="CR164" s="120"/>
      <c r="CS164" s="120"/>
      <c r="CT164" s="120"/>
      <c r="CU164" s="120"/>
      <c r="CV164" s="120"/>
      <c r="CW164" s="120"/>
      <c r="CX164" s="120"/>
      <c r="CY164" s="120"/>
      <c r="CZ164" s="120"/>
      <c r="DA164" s="120"/>
      <c r="DB164" s="120"/>
      <c r="DC164" s="120"/>
      <c r="DD164" s="120"/>
      <c r="DE164" s="18"/>
      <c r="DF164" s="18"/>
    </row>
  </sheetData>
  <mergeCells count="1">
    <mergeCell ref="X1:Y1"/>
  </mergeCells>
  <conditionalFormatting sqref="C1:C1048576">
    <cfRule type="duplicateValues" dxfId="2" priority="1"/>
  </conditionalFormatting>
  <conditionalFormatting sqref="D1:D1048576">
    <cfRule type="duplicateValues" dxfId="1" priority="2"/>
  </conditionalFormatting>
  <pageMargins left="0.7" right="0.7" top="0.75" bottom="0.75" header="0.3" footer="0.3"/>
  <pageSetup scale="23" orientation="portrait" horizontalDpi="300" verticalDpi="0" r:id="rId1"/>
  <colBreaks count="2" manualBreakCount="2">
    <brk id="21" max="591" man="1"/>
    <brk id="8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45911-135D-4BBD-A477-21213772B3BA}">
  <dimension ref="A2:L27"/>
  <sheetViews>
    <sheetView showGridLines="0" zoomScale="90" zoomScaleNormal="90" workbookViewId="0">
      <pane xSplit="3" ySplit="3" topLeftCell="D11" activePane="bottomRight" state="frozen"/>
      <selection pane="topRight" activeCell="D1" sqref="D1"/>
      <selection pane="bottomLeft" activeCell="A4" sqref="A4"/>
      <selection pane="bottomRight" activeCell="E19" sqref="E19"/>
    </sheetView>
  </sheetViews>
  <sheetFormatPr defaultColWidth="9.140625" defaultRowHeight="15" x14ac:dyDescent="0.25"/>
  <cols>
    <col min="1" max="1" width="9.140625" style="102"/>
    <col min="2" max="2" width="17.42578125" style="102" customWidth="1"/>
    <col min="3" max="3" width="11.85546875" style="103" customWidth="1"/>
    <col min="4" max="4" width="11.85546875" style="102" customWidth="1"/>
    <col min="5" max="5" width="10.5703125" style="102" customWidth="1"/>
    <col min="6" max="6" width="7.85546875" style="102" bestFit="1" customWidth="1"/>
    <col min="7" max="7" width="2.28515625" style="102" customWidth="1"/>
    <col min="8" max="8" width="11" style="102" customWidth="1"/>
    <col min="9" max="9" width="14.28515625" style="102" customWidth="1"/>
    <col min="10" max="10" width="11.5703125" style="125" customWidth="1"/>
    <col min="11" max="11" width="7.5703125" style="102" bestFit="1" customWidth="1"/>
    <col min="12" max="12" width="13.85546875" style="102" bestFit="1" customWidth="1"/>
    <col min="13" max="13" width="1.5703125" style="102" customWidth="1"/>
    <col min="14" max="14" width="11.140625" style="102" bestFit="1" customWidth="1"/>
    <col min="15" max="15" width="1.5703125" style="102" customWidth="1"/>
    <col min="16" max="17" width="7.28515625" style="102" bestFit="1" customWidth="1"/>
    <col min="18" max="16384" width="9.140625" style="102"/>
  </cols>
  <sheetData>
    <row r="2" spans="1:12" ht="19.5" thickBot="1" x14ac:dyDescent="0.35">
      <c r="B2" s="123" t="s">
        <v>2170</v>
      </c>
      <c r="E2" s="124"/>
      <c r="H2" s="149" t="s">
        <v>2059</v>
      </c>
      <c r="I2" s="149"/>
    </row>
    <row r="3" spans="1:12" s="126" customFormat="1" ht="48.75" thickBot="1" x14ac:dyDescent="0.3">
      <c r="B3" s="127" t="s">
        <v>2058</v>
      </c>
      <c r="C3" s="128" t="s">
        <v>2171</v>
      </c>
      <c r="D3" s="128" t="s">
        <v>2172</v>
      </c>
      <c r="E3" s="128" t="s">
        <v>2173</v>
      </c>
      <c r="F3" s="128" t="s">
        <v>2057</v>
      </c>
      <c r="H3" s="119" t="s">
        <v>2174</v>
      </c>
      <c r="I3" s="119" t="s">
        <v>2175</v>
      </c>
      <c r="J3" s="129"/>
    </row>
    <row r="4" spans="1:12" x14ac:dyDescent="0.25">
      <c r="B4" s="118" t="s">
        <v>2056</v>
      </c>
      <c r="C4" s="111">
        <v>4285</v>
      </c>
      <c r="D4" s="111"/>
      <c r="E4" s="111">
        <f>C4+D4</f>
        <v>4285</v>
      </c>
      <c r="F4" s="111"/>
      <c r="G4" s="107"/>
      <c r="H4" s="110">
        <v>4787</v>
      </c>
      <c r="I4" s="109">
        <v>4019</v>
      </c>
      <c r="K4" s="105"/>
    </row>
    <row r="5" spans="1:12" x14ac:dyDescent="0.25">
      <c r="B5" s="112" t="s">
        <v>2055</v>
      </c>
      <c r="C5" s="110">
        <v>190</v>
      </c>
      <c r="D5" s="111"/>
      <c r="E5" s="111">
        <f>C5+D5</f>
        <v>190</v>
      </c>
      <c r="F5" s="111"/>
      <c r="G5" s="107"/>
      <c r="H5" s="110">
        <v>213</v>
      </c>
      <c r="I5" s="109">
        <v>181</v>
      </c>
      <c r="L5" s="105"/>
    </row>
    <row r="6" spans="1:12" x14ac:dyDescent="0.25">
      <c r="A6" s="105"/>
      <c r="B6" s="117" t="s">
        <v>2054</v>
      </c>
      <c r="C6" s="116">
        <f>C4+C5</f>
        <v>4475</v>
      </c>
      <c r="D6" s="116">
        <f t="shared" ref="D6" si="0">D4+D5</f>
        <v>0</v>
      </c>
      <c r="E6" s="116">
        <f>E4+E5</f>
        <v>4475</v>
      </c>
      <c r="F6" s="116">
        <f t="shared" ref="F6" si="1">F4+F5</f>
        <v>0</v>
      </c>
      <c r="G6" s="107"/>
      <c r="H6" s="116">
        <f>H4+H5</f>
        <v>5000</v>
      </c>
      <c r="I6" s="116">
        <f>I4+I5</f>
        <v>4200</v>
      </c>
    </row>
    <row r="7" spans="1:12" x14ac:dyDescent="0.25">
      <c r="B7" s="112" t="s">
        <v>2053</v>
      </c>
      <c r="C7" s="110">
        <v>240</v>
      </c>
      <c r="D7" s="110"/>
      <c r="E7" s="111">
        <f t="shared" ref="E7:E17" si="2">C7+D7</f>
        <v>240</v>
      </c>
      <c r="F7" s="110"/>
      <c r="G7" s="107"/>
      <c r="H7" s="110">
        <v>430</v>
      </c>
      <c r="I7" s="109">
        <v>400</v>
      </c>
    </row>
    <row r="8" spans="1:12" x14ac:dyDescent="0.25">
      <c r="B8" s="112" t="s">
        <v>2052</v>
      </c>
      <c r="C8" s="110">
        <v>1496</v>
      </c>
      <c r="D8" s="110"/>
      <c r="E8" s="111">
        <f t="shared" si="2"/>
        <v>1496</v>
      </c>
      <c r="F8" s="110"/>
      <c r="G8" s="107"/>
      <c r="H8" s="110">
        <v>1793</v>
      </c>
      <c r="I8" s="109">
        <v>996</v>
      </c>
    </row>
    <row r="9" spans="1:12" x14ac:dyDescent="0.25">
      <c r="B9" s="112" t="s">
        <v>2051</v>
      </c>
      <c r="C9" s="110">
        <v>100</v>
      </c>
      <c r="D9" s="110"/>
      <c r="E9" s="111">
        <f t="shared" si="2"/>
        <v>100</v>
      </c>
      <c r="F9" s="110"/>
      <c r="G9" s="107"/>
      <c r="H9" s="110">
        <v>270</v>
      </c>
      <c r="I9" s="109">
        <v>285</v>
      </c>
    </row>
    <row r="10" spans="1:12" x14ac:dyDescent="0.25">
      <c r="B10" s="112" t="s">
        <v>2050</v>
      </c>
      <c r="C10" s="110">
        <v>25</v>
      </c>
      <c r="D10" s="110">
        <v>25</v>
      </c>
      <c r="E10" s="111">
        <f t="shared" si="2"/>
        <v>50</v>
      </c>
      <c r="F10" s="110"/>
      <c r="G10" s="107"/>
      <c r="H10" s="110">
        <v>75</v>
      </c>
      <c r="I10" s="109">
        <v>80</v>
      </c>
    </row>
    <row r="11" spans="1:12" x14ac:dyDescent="0.25">
      <c r="B11" s="117" t="s">
        <v>2049</v>
      </c>
      <c r="C11" s="116">
        <f>SUM(C7:C10)</f>
        <v>1861</v>
      </c>
      <c r="D11" s="116">
        <f t="shared" ref="D11" si="3">SUM(D7:D10)</f>
        <v>25</v>
      </c>
      <c r="E11" s="116">
        <f>SUM(E7:E10)</f>
        <v>1886</v>
      </c>
      <c r="F11" s="116">
        <f t="shared" ref="F11" si="4">SUM(F7:F10)</f>
        <v>0</v>
      </c>
      <c r="G11" s="107"/>
      <c r="H11" s="116">
        <f t="shared" ref="H11:I11" si="5">SUM(H7:H10)</f>
        <v>2568</v>
      </c>
      <c r="I11" s="116">
        <f t="shared" si="5"/>
        <v>1761</v>
      </c>
    </row>
    <row r="12" spans="1:12" x14ac:dyDescent="0.25">
      <c r="B12" s="112" t="s">
        <v>2048</v>
      </c>
      <c r="C12" s="110">
        <v>384</v>
      </c>
      <c r="D12" s="110"/>
      <c r="E12" s="111">
        <f t="shared" si="2"/>
        <v>384</v>
      </c>
      <c r="F12" s="110"/>
      <c r="G12" s="107"/>
      <c r="H12" s="110">
        <v>369</v>
      </c>
      <c r="I12" s="109">
        <v>336</v>
      </c>
    </row>
    <row r="13" spans="1:12" x14ac:dyDescent="0.25">
      <c r="B13" s="112" t="s">
        <v>2047</v>
      </c>
      <c r="C13" s="110">
        <v>291</v>
      </c>
      <c r="D13" s="110"/>
      <c r="E13" s="111">
        <f t="shared" si="2"/>
        <v>291</v>
      </c>
      <c r="F13" s="110"/>
      <c r="G13" s="107"/>
      <c r="H13" s="110">
        <v>223</v>
      </c>
      <c r="I13" s="109">
        <v>193</v>
      </c>
    </row>
    <row r="14" spans="1:12" x14ac:dyDescent="0.25">
      <c r="B14" s="112" t="s">
        <v>2046</v>
      </c>
      <c r="C14" s="110">
        <v>0</v>
      </c>
      <c r="D14" s="110"/>
      <c r="E14" s="111">
        <f t="shared" si="2"/>
        <v>0</v>
      </c>
      <c r="F14" s="110"/>
      <c r="G14" s="107"/>
      <c r="H14" s="110">
        <v>0</v>
      </c>
      <c r="I14" s="109">
        <v>0</v>
      </c>
    </row>
    <row r="15" spans="1:12" x14ac:dyDescent="0.25">
      <c r="B15" s="112" t="s">
        <v>2045</v>
      </c>
      <c r="C15" s="110">
        <v>75</v>
      </c>
      <c r="D15" s="110"/>
      <c r="E15" s="111">
        <f t="shared" si="2"/>
        <v>75</v>
      </c>
      <c r="F15" s="110"/>
      <c r="G15" s="107"/>
      <c r="H15" s="110">
        <v>90</v>
      </c>
      <c r="I15" s="109">
        <v>98</v>
      </c>
    </row>
    <row r="16" spans="1:12" x14ac:dyDescent="0.25">
      <c r="B16" s="112" t="s">
        <v>2044</v>
      </c>
      <c r="C16" s="110">
        <v>12</v>
      </c>
      <c r="D16" s="110"/>
      <c r="E16" s="111">
        <f t="shared" si="2"/>
        <v>12</v>
      </c>
      <c r="F16" s="110"/>
      <c r="G16" s="107"/>
      <c r="H16" s="110">
        <v>0</v>
      </c>
      <c r="I16" s="109">
        <v>0</v>
      </c>
    </row>
    <row r="17" spans="2:12" x14ac:dyDescent="0.25">
      <c r="B17" s="112" t="s">
        <v>223</v>
      </c>
      <c r="C17" s="110">
        <v>11</v>
      </c>
      <c r="D17" s="110"/>
      <c r="E17" s="111">
        <f t="shared" si="2"/>
        <v>11</v>
      </c>
      <c r="F17" s="110"/>
      <c r="G17" s="107"/>
      <c r="H17" s="110">
        <v>0</v>
      </c>
      <c r="I17" s="109">
        <v>0</v>
      </c>
    </row>
    <row r="18" spans="2:12" x14ac:dyDescent="0.25">
      <c r="B18" s="117" t="s">
        <v>2043</v>
      </c>
      <c r="C18" s="116">
        <f>SUM(C12:C17)</f>
        <v>773</v>
      </c>
      <c r="D18" s="116">
        <f>SUM(D12:D17)</f>
        <v>0</v>
      </c>
      <c r="E18" s="116">
        <f>SUM(E12:E17)</f>
        <v>773</v>
      </c>
      <c r="F18" s="116">
        <f t="shared" ref="F18" si="6">SUM(F12:F17)</f>
        <v>0</v>
      </c>
      <c r="G18" s="107"/>
      <c r="H18" s="116">
        <f t="shared" ref="H18:I18" si="7">SUM(H12:H17)</f>
        <v>682</v>
      </c>
      <c r="I18" s="116">
        <f t="shared" si="7"/>
        <v>627</v>
      </c>
    </row>
    <row r="19" spans="2:12" x14ac:dyDescent="0.25">
      <c r="B19" s="115" t="s">
        <v>2042</v>
      </c>
      <c r="C19" s="114">
        <v>1400</v>
      </c>
      <c r="D19" s="114">
        <v>0</v>
      </c>
      <c r="E19" s="114">
        <f>C19+D19</f>
        <v>1400</v>
      </c>
      <c r="F19" s="132"/>
      <c r="G19" s="107"/>
      <c r="H19" s="114">
        <v>1500</v>
      </c>
      <c r="I19" s="113">
        <v>400</v>
      </c>
    </row>
    <row r="20" spans="2:12" x14ac:dyDescent="0.25">
      <c r="B20" s="112" t="s">
        <v>74</v>
      </c>
      <c r="C20" s="110">
        <v>225</v>
      </c>
      <c r="D20" s="110"/>
      <c r="E20" s="111">
        <f t="shared" ref="E20" si="8">C20+D20</f>
        <v>225</v>
      </c>
      <c r="F20" s="110">
        <v>0</v>
      </c>
      <c r="G20" s="107"/>
      <c r="H20" s="110"/>
      <c r="I20" s="109"/>
    </row>
    <row r="21" spans="2:12" x14ac:dyDescent="0.25">
      <c r="B21" s="112" t="s">
        <v>81</v>
      </c>
      <c r="C21" s="110">
        <v>821</v>
      </c>
      <c r="D21" s="110"/>
      <c r="E21" s="111">
        <f>C21+D21</f>
        <v>821</v>
      </c>
      <c r="F21" s="110">
        <v>0</v>
      </c>
      <c r="G21" s="107"/>
      <c r="H21" s="110">
        <v>437</v>
      </c>
      <c r="I21" s="109">
        <v>331</v>
      </c>
    </row>
    <row r="22" spans="2:12" x14ac:dyDescent="0.25">
      <c r="B22" s="112" t="s">
        <v>2041</v>
      </c>
      <c r="C22" s="110"/>
      <c r="D22" s="110"/>
      <c r="E22" s="111">
        <v>184</v>
      </c>
      <c r="F22" s="110">
        <v>0</v>
      </c>
      <c r="G22" s="107"/>
      <c r="H22" s="110">
        <v>37</v>
      </c>
      <c r="I22" s="109">
        <v>5</v>
      </c>
    </row>
    <row r="23" spans="2:12" x14ac:dyDescent="0.25">
      <c r="B23" s="112" t="s">
        <v>2040</v>
      </c>
      <c r="C23" s="110">
        <v>30</v>
      </c>
      <c r="D23" s="110">
        <v>0</v>
      </c>
      <c r="E23" s="111">
        <f t="shared" ref="E23" si="9">C23+D23</f>
        <v>30</v>
      </c>
      <c r="F23" s="110">
        <v>0</v>
      </c>
      <c r="G23" s="107"/>
      <c r="H23" s="110">
        <v>0</v>
      </c>
      <c r="I23" s="109">
        <v>0</v>
      </c>
    </row>
    <row r="24" spans="2:12" x14ac:dyDescent="0.25">
      <c r="B24" s="108" t="s">
        <v>32</v>
      </c>
      <c r="C24" s="106">
        <f>C6+C18+C20+C21+C22+C11+C19+C23</f>
        <v>9585</v>
      </c>
      <c r="D24" s="106">
        <f>D6+D18+D20+D21+D22+D11+D19+D23</f>
        <v>25</v>
      </c>
      <c r="E24" s="106">
        <f>E6+E18+E20+E21+E22+E11+E19+E23</f>
        <v>9794</v>
      </c>
      <c r="F24" s="106">
        <f t="shared" ref="F24" si="10">F6+F18+F20+F21+F22+F11+F19+F23</f>
        <v>0</v>
      </c>
      <c r="G24" s="107"/>
      <c r="H24" s="106">
        <f>H6+H18+H20+H21+H22+H11+H19+H23</f>
        <v>10224</v>
      </c>
      <c r="I24" s="106">
        <f>I6+I18+I20+I21+I22+I11+I19+I23</f>
        <v>7324</v>
      </c>
      <c r="J24" s="130"/>
      <c r="L24" s="105"/>
    </row>
    <row r="25" spans="2:12" x14ac:dyDescent="0.25">
      <c r="C25" s="104"/>
      <c r="D25" s="105"/>
      <c r="E25" s="105"/>
    </row>
    <row r="26" spans="2:12" x14ac:dyDescent="0.25">
      <c r="B26" s="102" t="s">
        <v>2039</v>
      </c>
      <c r="C26" s="131">
        <f t="shared" ref="C26" si="11">C6+C18+C20+C21+C11</f>
        <v>8155</v>
      </c>
      <c r="D26" s="131">
        <f>D6+D18+D20+D21+D11</f>
        <v>25</v>
      </c>
      <c r="E26" s="131">
        <f t="shared" ref="E26:G26" si="12">E6+E18+E20+E21+E11</f>
        <v>8180</v>
      </c>
      <c r="F26" s="104">
        <f t="shared" si="12"/>
        <v>0</v>
      </c>
      <c r="G26" s="104">
        <f t="shared" si="12"/>
        <v>0</v>
      </c>
      <c r="H26" s="131">
        <f>H6+H18+H20+H21+H11</f>
        <v>8687</v>
      </c>
      <c r="I26" s="131">
        <f>I6+I18+I20+I21+I11</f>
        <v>6919</v>
      </c>
    </row>
    <row r="27" spans="2:12" x14ac:dyDescent="0.25">
      <c r="C27" s="104">
        <f>C6+C11+C18+C19</f>
        <v>8509</v>
      </c>
      <c r="D27" s="104">
        <f>D6+D11+D18+D19</f>
        <v>25</v>
      </c>
      <c r="E27" s="104">
        <f>E6+E11+E18+E19</f>
        <v>8534</v>
      </c>
      <c r="F27" s="104">
        <f>F6+F11+F18+F19</f>
        <v>0</v>
      </c>
      <c r="H27" s="104">
        <f>H6+H11+H18+H19</f>
        <v>9750</v>
      </c>
      <c r="I27" s="104">
        <f>I6+I11+I18+I19</f>
        <v>6988</v>
      </c>
    </row>
  </sheetData>
  <mergeCells count="1">
    <mergeCell ref="H2:I2"/>
  </mergeCells>
  <pageMargins left="0.7" right="0.7" top="0.75" bottom="0.75" header="0.3" footer="0.3"/>
  <customProperties>
    <customPr name="_pios_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CC4BD-DFAE-4365-AC37-E9874989AC79}">
  <dimension ref="A1:DF176"/>
  <sheetViews>
    <sheetView showGridLines="0" zoomScale="90" zoomScaleNormal="90" workbookViewId="0">
      <pane xSplit="9" ySplit="3" topLeftCell="R4" activePane="bottomRight" state="frozen"/>
      <selection pane="topRight" activeCell="K1" sqref="K1"/>
      <selection pane="bottomLeft" activeCell="A4" sqref="A4"/>
      <selection pane="bottomRight" activeCell="AL4" sqref="AL4"/>
    </sheetView>
  </sheetViews>
  <sheetFormatPr defaultColWidth="9.140625" defaultRowHeight="12.75" x14ac:dyDescent="0.25"/>
  <cols>
    <col min="1" max="1" width="7" style="6" customWidth="1"/>
    <col min="2" max="2" width="11.85546875" style="6" customWidth="1"/>
    <col min="3" max="3" width="11.85546875" style="6" hidden="1" customWidth="1"/>
    <col min="4" max="4" width="10" style="6" bestFit="1" customWidth="1"/>
    <col min="5" max="5" width="14.140625" style="7" hidden="1" customWidth="1"/>
    <col min="6" max="6" width="14.140625" style="6" hidden="1" customWidth="1"/>
    <col min="7" max="7" width="11.42578125" style="6" customWidth="1"/>
    <col min="8" max="8" width="9.28515625" style="6" hidden="1" customWidth="1"/>
    <col min="9" max="9" width="13.28515625" style="6" customWidth="1"/>
    <col min="10" max="10" width="12.85546875" style="6" customWidth="1"/>
    <col min="11" max="11" width="19.85546875" style="6" customWidth="1"/>
    <col min="12" max="12" width="4.7109375" style="6" customWidth="1"/>
    <col min="13" max="13" width="19.7109375" style="6" customWidth="1"/>
    <col min="14" max="14" width="4.7109375" style="6" customWidth="1"/>
    <col min="15" max="15" width="8.140625" style="6" customWidth="1"/>
    <col min="16" max="16" width="8.85546875" style="6" customWidth="1"/>
    <col min="17" max="17" width="14.85546875" style="6" customWidth="1"/>
    <col min="18" max="18" width="6" style="6" customWidth="1"/>
    <col min="19" max="19" width="13.85546875" style="6" customWidth="1"/>
    <col min="20" max="20" width="10.28515625" style="6" hidden="1" customWidth="1"/>
    <col min="21" max="21" width="10.28515625" style="6" bestFit="1" customWidth="1"/>
    <col min="22" max="22" width="36.42578125" style="6" customWidth="1"/>
    <col min="23" max="23" width="9" style="6" hidden="1" customWidth="1"/>
    <col min="24" max="24" width="6.28515625" style="8" hidden="1" customWidth="1"/>
    <col min="25" max="26" width="7" style="8" hidden="1" customWidth="1"/>
    <col min="27" max="27" width="6.140625" style="8" hidden="1" customWidth="1"/>
    <col min="28" max="30" width="4.85546875" style="8" hidden="1" customWidth="1"/>
    <col min="31" max="31" width="4.85546875" style="8" customWidth="1"/>
    <col min="32" max="32" width="5.42578125" style="8" bestFit="1" customWidth="1"/>
    <col min="33" max="33" width="7.7109375" style="8" bestFit="1" customWidth="1"/>
    <col min="34" max="34" width="8.28515625" style="8" customWidth="1"/>
    <col min="35" max="35" width="5.28515625" style="8" customWidth="1"/>
    <col min="36" max="36" width="4.7109375" style="8" customWidth="1"/>
    <col min="37" max="37" width="5.85546875" style="8" bestFit="1" customWidth="1"/>
    <col min="38" max="38" width="11" style="8" customWidth="1"/>
    <col min="39" max="39" width="6.28515625" style="8" customWidth="1"/>
    <col min="40" max="42" width="4.85546875" style="8" customWidth="1"/>
    <col min="43" max="43" width="5.42578125" style="8" customWidth="1"/>
    <col min="44" max="44" width="5.7109375" style="28" customWidth="1"/>
    <col min="45" max="47" width="4" style="8" customWidth="1"/>
    <col min="48" max="48" width="3" style="8" customWidth="1"/>
    <col min="49" max="54" width="4" style="8" customWidth="1"/>
    <col min="55" max="55" width="2.85546875" style="8" customWidth="1"/>
    <col min="56" max="61" width="4" style="8" customWidth="1"/>
    <col min="62" max="62" width="2.85546875" style="8" customWidth="1"/>
    <col min="63" max="68" width="4" style="8" customWidth="1"/>
    <col min="69" max="69" width="2.85546875" style="8" customWidth="1"/>
    <col min="70" max="74" width="4" style="8" customWidth="1"/>
    <col min="75" max="75" width="6.85546875" style="8" customWidth="1"/>
    <col min="76" max="76" width="6.140625" style="8" customWidth="1"/>
    <col min="77" max="77" width="23" style="6" customWidth="1"/>
    <col min="78" max="78" width="5.7109375" style="8" customWidth="1"/>
    <col min="79" max="80" width="11.42578125" style="6" customWidth="1"/>
    <col min="81" max="81" width="10.28515625" style="6" bestFit="1" customWidth="1"/>
    <col min="82" max="82" width="40.42578125" style="6" bestFit="1" customWidth="1"/>
    <col min="83" max="83" width="43" style="6" bestFit="1" customWidth="1"/>
    <col min="84" max="84" width="15.42578125" style="6" bestFit="1" customWidth="1"/>
    <col min="85" max="85" width="13.140625" style="6" bestFit="1" customWidth="1"/>
    <col min="86" max="86" width="41.5703125" style="6" bestFit="1" customWidth="1"/>
    <col min="87" max="87" width="18.42578125" style="6" bestFit="1" customWidth="1"/>
    <col min="88" max="88" width="39.85546875" style="6" bestFit="1" customWidth="1"/>
    <col min="89" max="89" width="15.5703125" style="6" bestFit="1" customWidth="1"/>
    <col min="90" max="90" width="39" style="6" bestFit="1" customWidth="1"/>
    <col min="91" max="91" width="12.7109375" style="6" bestFit="1" customWidth="1"/>
    <col min="92" max="92" width="40.42578125" style="6" bestFit="1" customWidth="1"/>
    <col min="93" max="93" width="15.28515625" style="6" bestFit="1" customWidth="1"/>
    <col min="94" max="94" width="42.7109375" style="6" bestFit="1" customWidth="1"/>
    <col min="95" max="95" width="16.140625" style="6" bestFit="1" customWidth="1"/>
    <col min="96" max="96" width="40.42578125" style="6" bestFit="1" customWidth="1"/>
    <col min="97" max="97" width="16" style="6" bestFit="1" customWidth="1"/>
    <col min="98" max="98" width="37.28515625" style="6" bestFit="1" customWidth="1"/>
    <col min="99" max="99" width="11.85546875" style="6" bestFit="1" customWidth="1"/>
    <col min="100" max="100" width="41.5703125" style="6" bestFit="1" customWidth="1"/>
    <col min="101" max="101" width="16.42578125" style="6" bestFit="1" customWidth="1"/>
    <col min="102" max="102" width="17.140625" style="6" bestFit="1" customWidth="1"/>
    <col min="103" max="103" width="10.42578125" style="6" bestFit="1" customWidth="1"/>
    <col min="104" max="104" width="14.7109375" style="6" bestFit="1" customWidth="1"/>
    <col min="105" max="105" width="17.5703125" style="6" bestFit="1" customWidth="1"/>
    <col min="106" max="106" width="18.140625" style="6" bestFit="1" customWidth="1"/>
    <col min="107" max="107" width="17.5703125" style="6" bestFit="1" customWidth="1"/>
    <col min="108" max="108" width="18.140625" style="6" bestFit="1" customWidth="1"/>
    <col min="109" max="109" width="12.140625" style="6" bestFit="1" customWidth="1"/>
    <col min="110" max="110" width="12.7109375" style="6" bestFit="1" customWidth="1"/>
    <col min="111" max="111" width="9.7109375" style="6" bestFit="1" customWidth="1"/>
    <col min="112" max="112" width="10.140625" style="6" bestFit="1" customWidth="1"/>
    <col min="113" max="16384" width="9.140625" style="6"/>
  </cols>
  <sheetData>
    <row r="1" spans="1:110" s="1" customFormat="1" ht="15.75" x14ac:dyDescent="0.25">
      <c r="E1" s="2"/>
      <c r="V1" s="46"/>
      <c r="X1" s="148" t="s">
        <v>0</v>
      </c>
      <c r="Y1" s="148"/>
      <c r="Z1" s="29"/>
      <c r="AA1" s="36" t="s">
        <v>1573</v>
      </c>
      <c r="AB1" s="37"/>
      <c r="AC1" s="37"/>
      <c r="AD1" s="37"/>
      <c r="AE1" s="37"/>
      <c r="AF1" s="38"/>
      <c r="AG1" s="38"/>
      <c r="AH1" s="3"/>
      <c r="AI1" s="3"/>
      <c r="AJ1" s="3"/>
      <c r="AK1" s="3"/>
      <c r="AL1" s="56"/>
      <c r="AM1" s="49" t="s">
        <v>72</v>
      </c>
      <c r="AN1" s="4"/>
      <c r="AO1" s="4"/>
      <c r="AP1" s="4"/>
      <c r="AQ1" s="4"/>
      <c r="AR1" s="5">
        <f>AQ2/90</f>
        <v>26.533333333333335</v>
      </c>
      <c r="AS1" s="44">
        <f t="shared" ref="AS1:BX1" si="0">SUBTOTAL(9,AS4:AS3412)</f>
        <v>174</v>
      </c>
      <c r="AT1" s="44">
        <f t="shared" si="0"/>
        <v>255</v>
      </c>
      <c r="AU1" s="44">
        <f t="shared" si="0"/>
        <v>265</v>
      </c>
      <c r="AV1" s="44">
        <f t="shared" si="0"/>
        <v>0</v>
      </c>
      <c r="AW1" s="44">
        <f t="shared" si="0"/>
        <v>117</v>
      </c>
      <c r="AX1" s="44">
        <f t="shared" si="0"/>
        <v>90</v>
      </c>
      <c r="AY1" s="44">
        <f t="shared" si="0"/>
        <v>67</v>
      </c>
      <c r="AZ1" s="44">
        <f t="shared" si="0"/>
        <v>26</v>
      </c>
      <c r="BA1" s="44">
        <f t="shared" si="0"/>
        <v>106</v>
      </c>
      <c r="BB1" s="44">
        <f t="shared" si="0"/>
        <v>124</v>
      </c>
      <c r="BC1" s="44">
        <f t="shared" si="0"/>
        <v>0</v>
      </c>
      <c r="BD1" s="44">
        <f t="shared" si="0"/>
        <v>115</v>
      </c>
      <c r="BE1" s="44">
        <f t="shared" si="0"/>
        <v>96</v>
      </c>
      <c r="BF1" s="44">
        <f t="shared" si="0"/>
        <v>70</v>
      </c>
      <c r="BG1" s="44">
        <f t="shared" si="0"/>
        <v>61</v>
      </c>
      <c r="BH1" s="44">
        <f t="shared" si="0"/>
        <v>54</v>
      </c>
      <c r="BI1" s="44">
        <f t="shared" si="0"/>
        <v>146</v>
      </c>
      <c r="BJ1" s="44">
        <f t="shared" si="0"/>
        <v>0</v>
      </c>
      <c r="BK1" s="44">
        <f t="shared" si="0"/>
        <v>137</v>
      </c>
      <c r="BL1" s="44">
        <f t="shared" si="0"/>
        <v>112</v>
      </c>
      <c r="BM1" s="44">
        <f t="shared" si="0"/>
        <v>83</v>
      </c>
      <c r="BN1" s="44">
        <f t="shared" si="0"/>
        <v>59</v>
      </c>
      <c r="BO1" s="44">
        <f t="shared" si="0"/>
        <v>138</v>
      </c>
      <c r="BP1" s="44">
        <f t="shared" si="0"/>
        <v>50</v>
      </c>
      <c r="BQ1" s="44">
        <f t="shared" si="0"/>
        <v>0</v>
      </c>
      <c r="BR1" s="44">
        <f t="shared" si="0"/>
        <v>0</v>
      </c>
      <c r="BS1" s="44">
        <f t="shared" si="0"/>
        <v>0</v>
      </c>
      <c r="BT1" s="44">
        <f t="shared" si="0"/>
        <v>0</v>
      </c>
      <c r="BU1" s="44">
        <f t="shared" si="0"/>
        <v>0</v>
      </c>
      <c r="BV1" s="44">
        <f t="shared" si="0"/>
        <v>0</v>
      </c>
      <c r="BW1" s="44">
        <f t="shared" si="0"/>
        <v>2345</v>
      </c>
      <c r="BX1" s="44">
        <f t="shared" si="0"/>
        <v>43</v>
      </c>
      <c r="BZ1" s="3"/>
    </row>
    <row r="2" spans="1:110" ht="18.75" x14ac:dyDescent="0.25">
      <c r="A2" s="45" t="s">
        <v>1527</v>
      </c>
      <c r="V2" s="47"/>
      <c r="X2" s="33">
        <f>SUBTOTAL(9,X4:X3412)</f>
        <v>2105</v>
      </c>
      <c r="Y2" s="33">
        <f>SUBTOTAL(9,Y4:Y3412)</f>
        <v>1681</v>
      </c>
      <c r="Z2" s="30">
        <f>SUBTOTAL(9,Z4:Z101)</f>
        <v>0</v>
      </c>
      <c r="AA2" s="39">
        <f t="shared" ref="AA2:AG2" si="1">SUBTOTAL(9,AA4:AA3412)</f>
        <v>691</v>
      </c>
      <c r="AB2" s="39">
        <f t="shared" si="1"/>
        <v>563</v>
      </c>
      <c r="AC2" s="39">
        <f t="shared" si="1"/>
        <v>542</v>
      </c>
      <c r="AD2" s="39">
        <f t="shared" si="1"/>
        <v>560</v>
      </c>
      <c r="AE2" s="59">
        <f t="shared" si="1"/>
        <v>2356</v>
      </c>
      <c r="AF2" s="39">
        <f t="shared" si="1"/>
        <v>810</v>
      </c>
      <c r="AG2" s="39">
        <f t="shared" si="1"/>
        <v>3166</v>
      </c>
      <c r="AH2" s="30">
        <f>SUBTOTAL(9,AH4:AH2782)</f>
        <v>506</v>
      </c>
      <c r="AI2" s="30">
        <f>SUBTOTAL(9,AI4:AI2782)</f>
        <v>0</v>
      </c>
      <c r="AJ2" s="30">
        <f>SUBTOTAL(9,AJ4:AJ2782)</f>
        <v>85</v>
      </c>
      <c r="AK2" s="30">
        <f>SUBTOTAL(9,AK4:AK2782)</f>
        <v>379</v>
      </c>
      <c r="AL2" s="42">
        <f t="shared" ref="AL2:AQ2" si="2">SUBTOTAL(9,AL4:AL3412)</f>
        <v>2982</v>
      </c>
      <c r="AM2" s="30">
        <f t="shared" si="2"/>
        <v>488</v>
      </c>
      <c r="AN2" s="30">
        <f t="shared" si="2"/>
        <v>613</v>
      </c>
      <c r="AO2" s="30">
        <f t="shared" si="2"/>
        <v>669</v>
      </c>
      <c r="AP2" s="30">
        <f t="shared" si="2"/>
        <v>618</v>
      </c>
      <c r="AQ2" s="30">
        <f t="shared" si="2"/>
        <v>2388</v>
      </c>
      <c r="AR2" s="30">
        <f>SUBTOTAL(9,AR4:AR514)</f>
        <v>506</v>
      </c>
      <c r="AS2" s="84" t="s">
        <v>1727</v>
      </c>
      <c r="AT2" s="43">
        <v>4</v>
      </c>
      <c r="AU2" s="43">
        <f>AT2+1</f>
        <v>5</v>
      </c>
      <c r="AV2" s="43"/>
      <c r="AW2" s="43">
        <v>6</v>
      </c>
      <c r="AX2" s="43">
        <f t="shared" ref="AX2:BV2" si="3">AW2+1</f>
        <v>7</v>
      </c>
      <c r="AY2" s="43">
        <f t="shared" si="3"/>
        <v>8</v>
      </c>
      <c r="AZ2" s="43">
        <f t="shared" si="3"/>
        <v>9</v>
      </c>
      <c r="BA2" s="43">
        <v>11</v>
      </c>
      <c r="BB2" s="43">
        <f t="shared" si="3"/>
        <v>12</v>
      </c>
      <c r="BC2" s="43"/>
      <c r="BD2" s="43">
        <v>13</v>
      </c>
      <c r="BE2" s="43">
        <f t="shared" si="3"/>
        <v>14</v>
      </c>
      <c r="BF2" s="43">
        <f t="shared" si="3"/>
        <v>15</v>
      </c>
      <c r="BG2" s="43">
        <f t="shared" si="3"/>
        <v>16</v>
      </c>
      <c r="BH2" s="43">
        <v>18</v>
      </c>
      <c r="BI2" s="43">
        <f t="shared" si="3"/>
        <v>19</v>
      </c>
      <c r="BJ2" s="43"/>
      <c r="BK2" s="43">
        <v>20</v>
      </c>
      <c r="BL2" s="43">
        <f t="shared" si="3"/>
        <v>21</v>
      </c>
      <c r="BM2" s="43">
        <f t="shared" si="3"/>
        <v>22</v>
      </c>
      <c r="BN2" s="43">
        <f t="shared" si="3"/>
        <v>23</v>
      </c>
      <c r="BO2" s="43">
        <v>25</v>
      </c>
      <c r="BP2" s="43">
        <f t="shared" si="3"/>
        <v>26</v>
      </c>
      <c r="BQ2" s="43"/>
      <c r="BR2" s="43">
        <v>27</v>
      </c>
      <c r="BS2" s="43">
        <f t="shared" si="3"/>
        <v>28</v>
      </c>
      <c r="BT2" s="43">
        <f t="shared" si="3"/>
        <v>29</v>
      </c>
      <c r="BU2" s="43">
        <f t="shared" si="3"/>
        <v>30</v>
      </c>
      <c r="BV2" s="43">
        <f t="shared" si="3"/>
        <v>31</v>
      </c>
      <c r="BY2" s="1"/>
    </row>
    <row r="3" spans="1:110" s="1" customFormat="1" ht="30" customHeight="1" x14ac:dyDescent="0.25">
      <c r="A3" s="9" t="s">
        <v>4</v>
      </c>
      <c r="B3" s="10" t="s">
        <v>5</v>
      </c>
      <c r="C3" s="10"/>
      <c r="D3" s="10" t="s">
        <v>6</v>
      </c>
      <c r="E3" s="9" t="s">
        <v>7</v>
      </c>
      <c r="F3" s="10" t="s">
        <v>8</v>
      </c>
      <c r="G3" s="11" t="s">
        <v>9</v>
      </c>
      <c r="H3" s="9" t="s">
        <v>10</v>
      </c>
      <c r="I3" s="10" t="s">
        <v>11</v>
      </c>
      <c r="J3" s="10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0" t="s">
        <v>17</v>
      </c>
      <c r="P3" s="23" t="s">
        <v>18</v>
      </c>
      <c r="Q3" s="10" t="s">
        <v>19</v>
      </c>
      <c r="R3" s="10" t="s">
        <v>20</v>
      </c>
      <c r="S3" s="10" t="s">
        <v>21</v>
      </c>
      <c r="T3" s="9" t="s">
        <v>22</v>
      </c>
      <c r="U3" s="41" t="s">
        <v>23</v>
      </c>
      <c r="V3" s="48" t="s">
        <v>24</v>
      </c>
      <c r="W3" s="9" t="s">
        <v>25</v>
      </c>
      <c r="X3" s="34" t="s">
        <v>73</v>
      </c>
      <c r="Y3" s="34" t="s">
        <v>1528</v>
      </c>
      <c r="Z3" s="31" t="s">
        <v>26</v>
      </c>
      <c r="AA3" s="40" t="s">
        <v>27</v>
      </c>
      <c r="AB3" s="40" t="s">
        <v>28</v>
      </c>
      <c r="AC3" s="40" t="s">
        <v>29</v>
      </c>
      <c r="AD3" s="40" t="s">
        <v>30</v>
      </c>
      <c r="AE3" s="60" t="s">
        <v>32</v>
      </c>
      <c r="AF3" s="12" t="s">
        <v>31</v>
      </c>
      <c r="AG3" s="12" t="s">
        <v>1565</v>
      </c>
      <c r="AH3" s="15" t="s">
        <v>1721</v>
      </c>
      <c r="AI3" s="15" t="s">
        <v>34</v>
      </c>
      <c r="AJ3" s="15" t="s">
        <v>68</v>
      </c>
      <c r="AK3" s="15" t="s">
        <v>71</v>
      </c>
      <c r="AL3" s="14" t="s">
        <v>35</v>
      </c>
      <c r="AM3" s="16" t="s">
        <v>27</v>
      </c>
      <c r="AN3" s="16" t="s">
        <v>36</v>
      </c>
      <c r="AO3" s="16" t="s">
        <v>37</v>
      </c>
      <c r="AP3" s="16" t="s">
        <v>38</v>
      </c>
      <c r="AQ3" s="16" t="s">
        <v>32</v>
      </c>
      <c r="AR3" s="17" t="s">
        <v>33</v>
      </c>
      <c r="AS3" s="85" t="s">
        <v>1728</v>
      </c>
      <c r="AT3" s="85">
        <v>1</v>
      </c>
      <c r="AU3" s="85">
        <f>AT3+1</f>
        <v>2</v>
      </c>
      <c r="AV3" s="13">
        <f t="shared" ref="AV3:BV3" si="4">AU3+1</f>
        <v>3</v>
      </c>
      <c r="AW3" s="85">
        <f t="shared" si="4"/>
        <v>4</v>
      </c>
      <c r="AX3" s="85">
        <f t="shared" si="4"/>
        <v>5</v>
      </c>
      <c r="AY3" s="85">
        <f t="shared" si="4"/>
        <v>6</v>
      </c>
      <c r="AZ3" s="85">
        <f t="shared" si="4"/>
        <v>7</v>
      </c>
      <c r="BA3" s="85">
        <f t="shared" si="4"/>
        <v>8</v>
      </c>
      <c r="BB3" s="85">
        <f t="shared" si="4"/>
        <v>9</v>
      </c>
      <c r="BC3" s="13">
        <f t="shared" si="4"/>
        <v>10</v>
      </c>
      <c r="BD3" s="85">
        <f t="shared" si="4"/>
        <v>11</v>
      </c>
      <c r="BE3" s="85">
        <f t="shared" si="4"/>
        <v>12</v>
      </c>
      <c r="BF3" s="85">
        <f t="shared" si="4"/>
        <v>13</v>
      </c>
      <c r="BG3" s="85">
        <f t="shared" si="4"/>
        <v>14</v>
      </c>
      <c r="BH3" s="85">
        <f t="shared" si="4"/>
        <v>15</v>
      </c>
      <c r="BI3" s="85">
        <f t="shared" si="4"/>
        <v>16</v>
      </c>
      <c r="BJ3" s="13">
        <f t="shared" si="4"/>
        <v>17</v>
      </c>
      <c r="BK3" s="85">
        <f t="shared" si="4"/>
        <v>18</v>
      </c>
      <c r="BL3" s="85">
        <f t="shared" si="4"/>
        <v>19</v>
      </c>
      <c r="BM3" s="85">
        <f t="shared" si="4"/>
        <v>20</v>
      </c>
      <c r="BN3" s="85">
        <f t="shared" si="4"/>
        <v>21</v>
      </c>
      <c r="BO3" s="85">
        <f t="shared" si="4"/>
        <v>22</v>
      </c>
      <c r="BP3" s="85">
        <f t="shared" si="4"/>
        <v>23</v>
      </c>
      <c r="BQ3" s="13">
        <f t="shared" si="4"/>
        <v>24</v>
      </c>
      <c r="BR3" s="85">
        <f t="shared" si="4"/>
        <v>25</v>
      </c>
      <c r="BS3" s="85">
        <f t="shared" si="4"/>
        <v>26</v>
      </c>
      <c r="BT3" s="85">
        <f t="shared" si="4"/>
        <v>27</v>
      </c>
      <c r="BU3" s="85">
        <f t="shared" si="4"/>
        <v>28</v>
      </c>
      <c r="BV3" s="85">
        <f t="shared" si="4"/>
        <v>29</v>
      </c>
      <c r="BW3" s="79" t="s">
        <v>32</v>
      </c>
      <c r="BX3" s="12" t="s">
        <v>1722</v>
      </c>
      <c r="BY3" s="10" t="s">
        <v>39</v>
      </c>
      <c r="BZ3" s="3"/>
      <c r="CA3" s="26" t="s">
        <v>9</v>
      </c>
      <c r="CB3" s="26"/>
      <c r="CC3" s="26" t="s">
        <v>40</v>
      </c>
      <c r="CD3" s="26" t="s">
        <v>41</v>
      </c>
      <c r="CE3" s="18" t="s">
        <v>42</v>
      </c>
      <c r="CF3" s="18" t="s">
        <v>43</v>
      </c>
      <c r="CG3" s="18" t="s">
        <v>44</v>
      </c>
      <c r="CH3" s="18" t="s">
        <v>45</v>
      </c>
      <c r="CI3" s="18" t="s">
        <v>46</v>
      </c>
      <c r="CJ3" s="18" t="s">
        <v>47</v>
      </c>
      <c r="CK3" s="18" t="s">
        <v>48</v>
      </c>
      <c r="CL3" s="18" t="s">
        <v>49</v>
      </c>
      <c r="CM3" s="18" t="s">
        <v>50</v>
      </c>
      <c r="CN3" s="18" t="s">
        <v>51</v>
      </c>
      <c r="CO3" s="18" t="s">
        <v>52</v>
      </c>
      <c r="CP3" s="18" t="s">
        <v>53</v>
      </c>
      <c r="CQ3" s="18" t="s">
        <v>54</v>
      </c>
      <c r="CR3" s="18" t="s">
        <v>55</v>
      </c>
      <c r="CS3" s="18" t="s">
        <v>56</v>
      </c>
      <c r="CT3" s="18" t="s">
        <v>57</v>
      </c>
      <c r="CU3" s="18" t="s">
        <v>58</v>
      </c>
      <c r="CV3" s="18" t="s">
        <v>59</v>
      </c>
      <c r="CW3" s="18" t="s">
        <v>60</v>
      </c>
      <c r="CX3" s="18" t="s">
        <v>61</v>
      </c>
      <c r="CY3" s="18" t="s">
        <v>62</v>
      </c>
      <c r="CZ3" s="18" t="s">
        <v>63</v>
      </c>
      <c r="DA3" s="18" t="s">
        <v>64</v>
      </c>
      <c r="DB3" s="18" t="s">
        <v>65</v>
      </c>
      <c r="DC3" s="18" t="s">
        <v>66</v>
      </c>
      <c r="DD3" s="18" t="s">
        <v>67</v>
      </c>
      <c r="DE3" s="18" t="s">
        <v>69</v>
      </c>
      <c r="DF3" s="18" t="s">
        <v>70</v>
      </c>
    </row>
    <row r="4" spans="1:110" s="7" customFormat="1" x14ac:dyDescent="0.25">
      <c r="A4" s="19" t="s">
        <v>81</v>
      </c>
      <c r="B4" s="19" t="s">
        <v>86</v>
      </c>
      <c r="C4" s="19" t="str">
        <f t="shared" ref="C4:C27" si="5">D4&amp;B4</f>
        <v>85909495MOZAMBIQUE</v>
      </c>
      <c r="D4" s="19">
        <v>85909495</v>
      </c>
      <c r="E4" s="19" t="s">
        <v>336</v>
      </c>
      <c r="F4" s="19" t="s">
        <v>261</v>
      </c>
      <c r="G4" s="20" t="s">
        <v>336</v>
      </c>
      <c r="H4" s="19"/>
      <c r="I4" s="19" t="s">
        <v>230</v>
      </c>
      <c r="J4" s="19" t="s">
        <v>337</v>
      </c>
      <c r="K4" s="19" t="s">
        <v>338</v>
      </c>
      <c r="L4" s="19" t="s">
        <v>245</v>
      </c>
      <c r="M4" s="19" t="s">
        <v>234</v>
      </c>
      <c r="N4" s="19" t="s">
        <v>247</v>
      </c>
      <c r="O4" s="19" t="s">
        <v>374</v>
      </c>
      <c r="P4" s="23" t="s">
        <v>237</v>
      </c>
      <c r="Q4" s="19" t="s">
        <v>339</v>
      </c>
      <c r="R4" s="19">
        <v>70</v>
      </c>
      <c r="S4" s="19" t="s">
        <v>239</v>
      </c>
      <c r="T4" s="19" t="s">
        <v>263</v>
      </c>
      <c r="U4" s="20" t="s">
        <v>263</v>
      </c>
      <c r="V4" s="19" t="s">
        <v>131</v>
      </c>
      <c r="W4" s="19" t="s">
        <v>219</v>
      </c>
      <c r="X4" s="35"/>
      <c r="Y4" s="35">
        <v>2</v>
      </c>
      <c r="Z4" s="32"/>
      <c r="AA4" s="22"/>
      <c r="AB4" s="22"/>
      <c r="AC4" s="22"/>
      <c r="AD4" s="22"/>
      <c r="AE4" s="61">
        <f t="shared" ref="AE4:AE26" si="6">SUM(AA4:AD4)</f>
        <v>0</v>
      </c>
      <c r="AF4" s="22"/>
      <c r="AG4" s="40">
        <f t="shared" ref="AG4:AG26" si="7">AF4+AE4</f>
        <v>0</v>
      </c>
      <c r="AH4" s="24"/>
      <c r="AI4" s="24"/>
      <c r="AJ4" s="24"/>
      <c r="AK4" s="24"/>
      <c r="AL4" s="23">
        <f t="shared" ref="AL4:AL26" si="8">AG4-AH4-AI4-AJ4+AK4</f>
        <v>0</v>
      </c>
      <c r="AM4" s="25"/>
      <c r="AN4" s="25"/>
      <c r="AO4" s="25"/>
      <c r="AP4" s="25"/>
      <c r="AQ4" s="25">
        <f t="shared" ref="AQ4:AQ33" si="9">SUM(AM4:AP4)</f>
        <v>0</v>
      </c>
      <c r="AR4" s="13"/>
      <c r="AS4" s="21"/>
      <c r="AT4" s="21"/>
      <c r="AU4" s="21"/>
      <c r="AV4" s="77"/>
      <c r="AW4" s="21"/>
      <c r="AX4" s="21"/>
      <c r="AY4" s="21"/>
      <c r="AZ4" s="21"/>
      <c r="BA4" s="21"/>
      <c r="BB4" s="21"/>
      <c r="BC4" s="77"/>
      <c r="BD4" s="21"/>
      <c r="BE4" s="21"/>
      <c r="BF4" s="21"/>
      <c r="BG4" s="21"/>
      <c r="BH4" s="21"/>
      <c r="BI4" s="21"/>
      <c r="BJ4" s="77"/>
      <c r="BK4" s="21"/>
      <c r="BL4" s="21"/>
      <c r="BM4" s="21"/>
      <c r="BN4" s="21"/>
      <c r="BO4" s="21"/>
      <c r="BP4" s="21"/>
      <c r="BQ4" s="77"/>
      <c r="BR4" s="21"/>
      <c r="BS4" s="21"/>
      <c r="BT4" s="21"/>
      <c r="BU4" s="21"/>
      <c r="BV4" s="21"/>
      <c r="BW4" s="79">
        <f>SUM(AS4:BV4)</f>
        <v>0</v>
      </c>
      <c r="BX4" s="58">
        <f>AQ4-BW4</f>
        <v>0</v>
      </c>
      <c r="BY4" s="26"/>
      <c r="BZ4" s="27"/>
      <c r="CA4" s="50" t="s">
        <v>336</v>
      </c>
      <c r="CB4" s="50" t="b">
        <f t="shared" ref="CB4:CB27" si="10">CC4=CA4</f>
        <v>1</v>
      </c>
      <c r="CC4" s="53" t="s">
        <v>336</v>
      </c>
      <c r="CD4" s="19" t="s">
        <v>506</v>
      </c>
      <c r="CE4" s="19" t="s">
        <v>507</v>
      </c>
      <c r="CF4" s="19" t="s">
        <v>508</v>
      </c>
      <c r="CG4" s="19" t="s">
        <v>509</v>
      </c>
      <c r="CH4" s="19" t="s">
        <v>510</v>
      </c>
      <c r="CI4" s="19" t="s">
        <v>511</v>
      </c>
      <c r="CJ4" s="19" t="s">
        <v>512</v>
      </c>
      <c r="CK4" s="19" t="s">
        <v>513</v>
      </c>
      <c r="CL4" s="19" t="s">
        <v>514</v>
      </c>
      <c r="CM4" s="19" t="s">
        <v>515</v>
      </c>
      <c r="CN4" s="19" t="s">
        <v>516</v>
      </c>
      <c r="CO4" s="19" t="s">
        <v>517</v>
      </c>
      <c r="CP4" s="19" t="s">
        <v>518</v>
      </c>
      <c r="CQ4" s="19" t="s">
        <v>519</v>
      </c>
      <c r="CR4" s="19" t="s">
        <v>520</v>
      </c>
      <c r="CS4" s="19" t="s">
        <v>521</v>
      </c>
      <c r="CT4" s="19" t="s">
        <v>522</v>
      </c>
      <c r="CU4" s="19" t="s">
        <v>523</v>
      </c>
      <c r="CV4" s="19" t="s">
        <v>524</v>
      </c>
      <c r="CW4" s="19"/>
      <c r="CX4" s="19"/>
      <c r="CY4" s="19"/>
      <c r="CZ4" s="19"/>
      <c r="DA4" s="19"/>
      <c r="DB4" s="19"/>
      <c r="DC4" s="19"/>
      <c r="DD4" s="19"/>
      <c r="DE4" s="19"/>
      <c r="DF4" s="19"/>
    </row>
    <row r="5" spans="1:110" s="7" customFormat="1" x14ac:dyDescent="0.25">
      <c r="A5" s="19" t="s">
        <v>81</v>
      </c>
      <c r="B5" s="19" t="s">
        <v>88</v>
      </c>
      <c r="C5" s="19" t="str">
        <f t="shared" si="5"/>
        <v>85850240SRI LANKA</v>
      </c>
      <c r="D5" s="19">
        <v>85850240</v>
      </c>
      <c r="E5" s="19" t="s">
        <v>346</v>
      </c>
      <c r="F5" s="19" t="s">
        <v>261</v>
      </c>
      <c r="G5" s="20" t="s">
        <v>346</v>
      </c>
      <c r="H5" s="19"/>
      <c r="I5" s="19" t="s">
        <v>230</v>
      </c>
      <c r="J5" s="19" t="s">
        <v>347</v>
      </c>
      <c r="K5" s="19" t="s">
        <v>348</v>
      </c>
      <c r="L5" s="19" t="s">
        <v>332</v>
      </c>
      <c r="M5" s="19" t="s">
        <v>234</v>
      </c>
      <c r="N5" s="19" t="s">
        <v>247</v>
      </c>
      <c r="O5" s="19" t="s">
        <v>335</v>
      </c>
      <c r="P5" s="23" t="s">
        <v>237</v>
      </c>
      <c r="Q5" s="19" t="s">
        <v>349</v>
      </c>
      <c r="R5" s="19">
        <v>80</v>
      </c>
      <c r="S5" s="19" t="s">
        <v>239</v>
      </c>
      <c r="T5" s="19" t="s">
        <v>263</v>
      </c>
      <c r="U5" s="20" t="s">
        <v>263</v>
      </c>
      <c r="V5" s="19" t="s">
        <v>128</v>
      </c>
      <c r="W5" s="19" t="s">
        <v>219</v>
      </c>
      <c r="X5" s="35">
        <v>2</v>
      </c>
      <c r="Y5" s="35">
        <v>2</v>
      </c>
      <c r="Z5" s="32"/>
      <c r="AA5" s="22"/>
      <c r="AB5" s="22"/>
      <c r="AC5" s="22"/>
      <c r="AD5" s="22"/>
      <c r="AE5" s="61">
        <f t="shared" si="6"/>
        <v>0</v>
      </c>
      <c r="AF5" s="22"/>
      <c r="AG5" s="40">
        <f t="shared" si="7"/>
        <v>0</v>
      </c>
      <c r="AH5" s="24"/>
      <c r="AI5" s="24"/>
      <c r="AJ5" s="24"/>
      <c r="AK5" s="24"/>
      <c r="AL5" s="23">
        <f t="shared" si="8"/>
        <v>0</v>
      </c>
      <c r="AM5" s="25"/>
      <c r="AN5" s="25"/>
      <c r="AO5" s="25"/>
      <c r="AP5" s="25"/>
      <c r="AQ5" s="25">
        <f t="shared" si="9"/>
        <v>0</v>
      </c>
      <c r="AR5" s="13"/>
      <c r="AS5" s="21"/>
      <c r="AT5" s="21"/>
      <c r="AU5" s="21"/>
      <c r="AV5" s="77"/>
      <c r="AW5" s="21"/>
      <c r="AX5" s="21"/>
      <c r="AY5" s="21"/>
      <c r="AZ5" s="21"/>
      <c r="BA5" s="21"/>
      <c r="BB5" s="21"/>
      <c r="BC5" s="77"/>
      <c r="BD5" s="21"/>
      <c r="BE5" s="21"/>
      <c r="BF5" s="21"/>
      <c r="BG5" s="21"/>
      <c r="BH5" s="21"/>
      <c r="BI5" s="21"/>
      <c r="BJ5" s="77"/>
      <c r="BK5" s="21"/>
      <c r="BL5" s="21"/>
      <c r="BM5" s="21"/>
      <c r="BN5" s="21"/>
      <c r="BO5" s="21"/>
      <c r="BP5" s="21"/>
      <c r="BQ5" s="77"/>
      <c r="BR5" s="21"/>
      <c r="BS5" s="21"/>
      <c r="BT5" s="21"/>
      <c r="BU5" s="21"/>
      <c r="BV5" s="21"/>
      <c r="BW5" s="79">
        <f t="shared" ref="BW5:BW68" si="11">SUM(AS5:BV5)</f>
        <v>0</v>
      </c>
      <c r="BX5" s="58">
        <f t="shared" ref="BX5:BX68" si="12">AQ5-BW5</f>
        <v>0</v>
      </c>
      <c r="BY5" s="26"/>
      <c r="BZ5" s="27"/>
      <c r="CA5" s="50" t="s">
        <v>346</v>
      </c>
      <c r="CB5" s="50" t="b">
        <f t="shared" si="10"/>
        <v>1</v>
      </c>
      <c r="CC5" s="52" t="s">
        <v>346</v>
      </c>
      <c r="CD5" s="19" t="s">
        <v>527</v>
      </c>
      <c r="CE5" s="19" t="s">
        <v>507</v>
      </c>
      <c r="CF5" s="19" t="s">
        <v>508</v>
      </c>
      <c r="CG5" s="19" t="s">
        <v>528</v>
      </c>
      <c r="CH5" s="19" t="s">
        <v>529</v>
      </c>
      <c r="CI5" s="19" t="s">
        <v>530</v>
      </c>
      <c r="CJ5" s="19" t="s">
        <v>531</v>
      </c>
      <c r="CK5" s="19" t="s">
        <v>532</v>
      </c>
      <c r="CL5" s="19" t="s">
        <v>533</v>
      </c>
      <c r="CM5" s="19" t="s">
        <v>534</v>
      </c>
      <c r="CN5" s="19" t="s">
        <v>535</v>
      </c>
      <c r="CO5" s="19" t="s">
        <v>536</v>
      </c>
      <c r="CP5" s="19" t="s">
        <v>537</v>
      </c>
      <c r="CQ5" s="19" t="s">
        <v>519</v>
      </c>
      <c r="CR5" s="19" t="s">
        <v>520</v>
      </c>
      <c r="CS5" s="19" t="s">
        <v>538</v>
      </c>
      <c r="CT5" s="19" t="s">
        <v>539</v>
      </c>
      <c r="CU5" s="19" t="s">
        <v>540</v>
      </c>
      <c r="CV5" s="19" t="s">
        <v>541</v>
      </c>
      <c r="CW5" s="19"/>
      <c r="CX5" s="19"/>
      <c r="CY5" s="19"/>
      <c r="CZ5" s="19"/>
      <c r="DA5" s="19"/>
      <c r="DB5" s="19"/>
      <c r="DC5" s="19"/>
      <c r="DD5" s="19"/>
      <c r="DE5" s="19"/>
      <c r="DF5" s="19"/>
    </row>
    <row r="6" spans="1:110" s="7" customFormat="1" x14ac:dyDescent="0.25">
      <c r="A6" s="19" t="s">
        <v>81</v>
      </c>
      <c r="B6" s="19" t="s">
        <v>87</v>
      </c>
      <c r="C6" s="19" t="str">
        <f t="shared" si="5"/>
        <v>85855569BANGLADESH</v>
      </c>
      <c r="D6" s="19">
        <v>85855569</v>
      </c>
      <c r="E6" s="19" t="s">
        <v>378</v>
      </c>
      <c r="F6" s="19" t="s">
        <v>261</v>
      </c>
      <c r="G6" s="20" t="s">
        <v>378</v>
      </c>
      <c r="H6" s="19"/>
      <c r="I6" s="19" t="s">
        <v>230</v>
      </c>
      <c r="J6" s="19" t="s">
        <v>337</v>
      </c>
      <c r="K6" s="19" t="s">
        <v>348</v>
      </c>
      <c r="L6" s="19" t="s">
        <v>332</v>
      </c>
      <c r="M6" s="19" t="s">
        <v>345</v>
      </c>
      <c r="N6" s="19" t="s">
        <v>247</v>
      </c>
      <c r="O6" s="19" t="s">
        <v>335</v>
      </c>
      <c r="P6" s="23" t="s">
        <v>237</v>
      </c>
      <c r="Q6" s="19" t="s">
        <v>349</v>
      </c>
      <c r="R6" s="19">
        <v>80</v>
      </c>
      <c r="S6" s="19" t="s">
        <v>239</v>
      </c>
      <c r="T6" s="19" t="s">
        <v>263</v>
      </c>
      <c r="U6" s="20" t="s">
        <v>263</v>
      </c>
      <c r="V6" s="19" t="s">
        <v>133</v>
      </c>
      <c r="W6" s="19" t="s">
        <v>221</v>
      </c>
      <c r="X6" s="35">
        <v>10</v>
      </c>
      <c r="Y6" s="35">
        <v>10</v>
      </c>
      <c r="Z6" s="32"/>
      <c r="AA6" s="22"/>
      <c r="AB6" s="22"/>
      <c r="AC6" s="22"/>
      <c r="AD6" s="22"/>
      <c r="AE6" s="61">
        <f t="shared" si="6"/>
        <v>0</v>
      </c>
      <c r="AF6" s="22"/>
      <c r="AG6" s="40">
        <f t="shared" si="7"/>
        <v>0</v>
      </c>
      <c r="AH6" s="24"/>
      <c r="AI6" s="24"/>
      <c r="AJ6" s="24"/>
      <c r="AK6" s="24"/>
      <c r="AL6" s="23">
        <f t="shared" si="8"/>
        <v>0</v>
      </c>
      <c r="AM6" s="25"/>
      <c r="AN6" s="25"/>
      <c r="AO6" s="25"/>
      <c r="AP6" s="25"/>
      <c r="AQ6" s="25">
        <f t="shared" si="9"/>
        <v>0</v>
      </c>
      <c r="AR6" s="13"/>
      <c r="AS6" s="21"/>
      <c r="AT6" s="21"/>
      <c r="AU6" s="21"/>
      <c r="AV6" s="77"/>
      <c r="AW6" s="21"/>
      <c r="AX6" s="21"/>
      <c r="AY6" s="21"/>
      <c r="AZ6" s="21"/>
      <c r="BA6" s="21"/>
      <c r="BB6" s="21"/>
      <c r="BC6" s="77"/>
      <c r="BD6" s="21"/>
      <c r="BE6" s="21"/>
      <c r="BF6" s="21"/>
      <c r="BG6" s="21"/>
      <c r="BH6" s="21"/>
      <c r="BI6" s="21"/>
      <c r="BJ6" s="77"/>
      <c r="BK6" s="21"/>
      <c r="BL6" s="21"/>
      <c r="BM6" s="21"/>
      <c r="BN6" s="21"/>
      <c r="BO6" s="21"/>
      <c r="BP6" s="21"/>
      <c r="BQ6" s="77"/>
      <c r="BR6" s="21"/>
      <c r="BS6" s="21"/>
      <c r="BT6" s="21"/>
      <c r="BU6" s="21"/>
      <c r="BV6" s="21"/>
      <c r="BW6" s="79">
        <f t="shared" si="11"/>
        <v>0</v>
      </c>
      <c r="BX6" s="58">
        <f t="shared" si="12"/>
        <v>0</v>
      </c>
      <c r="BY6" s="26"/>
      <c r="BZ6" s="27"/>
      <c r="CA6" s="50" t="s">
        <v>378</v>
      </c>
      <c r="CB6" s="50" t="b">
        <f t="shared" si="10"/>
        <v>1</v>
      </c>
      <c r="CC6" s="50" t="s">
        <v>378</v>
      </c>
      <c r="CD6" s="19" t="s">
        <v>546</v>
      </c>
      <c r="CE6" s="19" t="s">
        <v>507</v>
      </c>
      <c r="CF6" s="19" t="s">
        <v>508</v>
      </c>
      <c r="CG6" s="19" t="s">
        <v>547</v>
      </c>
      <c r="CH6" s="19" t="s">
        <v>548</v>
      </c>
      <c r="CI6" s="19" t="s">
        <v>549</v>
      </c>
      <c r="CJ6" s="19" t="s">
        <v>550</v>
      </c>
      <c r="CK6" s="19" t="s">
        <v>551</v>
      </c>
      <c r="CL6" s="19" t="s">
        <v>552</v>
      </c>
      <c r="CM6" s="19" t="s">
        <v>553</v>
      </c>
      <c r="CN6" s="19" t="s">
        <v>535</v>
      </c>
      <c r="CO6" s="19" t="s">
        <v>554</v>
      </c>
      <c r="CP6" s="19" t="s">
        <v>555</v>
      </c>
      <c r="CQ6" s="19" t="s">
        <v>519</v>
      </c>
      <c r="CR6" s="19" t="s">
        <v>520</v>
      </c>
      <c r="CS6" s="19" t="s">
        <v>525</v>
      </c>
      <c r="CT6" s="19" t="s">
        <v>526</v>
      </c>
      <c r="CU6" s="19" t="s">
        <v>556</v>
      </c>
      <c r="CV6" s="19" t="s">
        <v>557</v>
      </c>
      <c r="CW6" s="19"/>
      <c r="CX6" s="19"/>
      <c r="CY6" s="19"/>
      <c r="CZ6" s="19"/>
      <c r="DA6" s="19"/>
      <c r="DB6" s="19"/>
      <c r="DC6" s="19"/>
      <c r="DD6" s="19"/>
      <c r="DE6" s="19"/>
      <c r="DF6" s="19"/>
    </row>
    <row r="7" spans="1:110" s="7" customFormat="1" x14ac:dyDescent="0.25">
      <c r="A7" s="19" t="s">
        <v>81</v>
      </c>
      <c r="B7" s="19" t="s">
        <v>89</v>
      </c>
      <c r="C7" s="19" t="str">
        <f t="shared" si="5"/>
        <v>85850240MAURITIUS</v>
      </c>
      <c r="D7" s="19">
        <v>85850240</v>
      </c>
      <c r="E7" s="19" t="s">
        <v>346</v>
      </c>
      <c r="F7" s="19" t="s">
        <v>261</v>
      </c>
      <c r="G7" s="20" t="s">
        <v>346</v>
      </c>
      <c r="H7" s="19"/>
      <c r="I7" s="19" t="s">
        <v>230</v>
      </c>
      <c r="J7" s="19" t="s">
        <v>347</v>
      </c>
      <c r="K7" s="19" t="s">
        <v>348</v>
      </c>
      <c r="L7" s="19" t="s">
        <v>332</v>
      </c>
      <c r="M7" s="19" t="s">
        <v>234</v>
      </c>
      <c r="N7" s="19" t="s">
        <v>247</v>
      </c>
      <c r="O7" s="19" t="s">
        <v>335</v>
      </c>
      <c r="P7" s="23" t="s">
        <v>237</v>
      </c>
      <c r="Q7" s="19" t="s">
        <v>349</v>
      </c>
      <c r="R7" s="19">
        <v>80</v>
      </c>
      <c r="S7" s="19" t="s">
        <v>239</v>
      </c>
      <c r="T7" s="19" t="s">
        <v>263</v>
      </c>
      <c r="U7" s="20" t="s">
        <v>263</v>
      </c>
      <c r="V7" s="19" t="s">
        <v>128</v>
      </c>
      <c r="W7" s="19" t="s">
        <v>221</v>
      </c>
      <c r="X7" s="35">
        <v>2</v>
      </c>
      <c r="Y7" s="35"/>
      <c r="Z7" s="32"/>
      <c r="AA7" s="22"/>
      <c r="AB7" s="22"/>
      <c r="AC7" s="22"/>
      <c r="AD7" s="22"/>
      <c r="AE7" s="61">
        <f t="shared" si="6"/>
        <v>0</v>
      </c>
      <c r="AF7" s="22"/>
      <c r="AG7" s="40">
        <f t="shared" si="7"/>
        <v>0</v>
      </c>
      <c r="AH7" s="24"/>
      <c r="AI7" s="24"/>
      <c r="AJ7" s="24"/>
      <c r="AK7" s="24"/>
      <c r="AL7" s="23">
        <f t="shared" si="8"/>
        <v>0</v>
      </c>
      <c r="AM7" s="25"/>
      <c r="AN7" s="25"/>
      <c r="AO7" s="25"/>
      <c r="AP7" s="25"/>
      <c r="AQ7" s="25">
        <f t="shared" si="9"/>
        <v>0</v>
      </c>
      <c r="AR7" s="13"/>
      <c r="AS7" s="21"/>
      <c r="AT7" s="21"/>
      <c r="AU7" s="21"/>
      <c r="AV7" s="77"/>
      <c r="AW7" s="21"/>
      <c r="AX7" s="21"/>
      <c r="AY7" s="21"/>
      <c r="AZ7" s="21"/>
      <c r="BA7" s="21"/>
      <c r="BB7" s="21"/>
      <c r="BC7" s="77"/>
      <c r="BD7" s="21"/>
      <c r="BE7" s="21"/>
      <c r="BF7" s="21"/>
      <c r="BG7" s="21"/>
      <c r="BH7" s="21"/>
      <c r="BI7" s="21"/>
      <c r="BJ7" s="77"/>
      <c r="BK7" s="21"/>
      <c r="BL7" s="21"/>
      <c r="BM7" s="21"/>
      <c r="BN7" s="21"/>
      <c r="BO7" s="21"/>
      <c r="BP7" s="21"/>
      <c r="BQ7" s="77"/>
      <c r="BR7" s="21"/>
      <c r="BS7" s="21"/>
      <c r="BT7" s="21"/>
      <c r="BU7" s="21"/>
      <c r="BV7" s="21"/>
      <c r="BW7" s="79">
        <f t="shared" si="11"/>
        <v>0</v>
      </c>
      <c r="BX7" s="58">
        <f t="shared" si="12"/>
        <v>0</v>
      </c>
      <c r="BY7" s="26"/>
      <c r="BZ7" s="27"/>
      <c r="CA7" s="50" t="s">
        <v>346</v>
      </c>
      <c r="CB7" s="50" t="b">
        <f t="shared" si="10"/>
        <v>1</v>
      </c>
      <c r="CC7" s="53" t="s">
        <v>346</v>
      </c>
      <c r="CD7" s="19" t="s">
        <v>527</v>
      </c>
      <c r="CE7" s="19" t="s">
        <v>507</v>
      </c>
      <c r="CF7" s="19" t="s">
        <v>508</v>
      </c>
      <c r="CG7" s="19" t="s">
        <v>528</v>
      </c>
      <c r="CH7" s="19" t="s">
        <v>529</v>
      </c>
      <c r="CI7" s="19" t="s">
        <v>530</v>
      </c>
      <c r="CJ7" s="19" t="s">
        <v>531</v>
      </c>
      <c r="CK7" s="19" t="s">
        <v>532</v>
      </c>
      <c r="CL7" s="19" t="s">
        <v>533</v>
      </c>
      <c r="CM7" s="19" t="s">
        <v>534</v>
      </c>
      <c r="CN7" s="19" t="s">
        <v>535</v>
      </c>
      <c r="CO7" s="19" t="s">
        <v>536</v>
      </c>
      <c r="CP7" s="19" t="s">
        <v>537</v>
      </c>
      <c r="CQ7" s="19" t="s">
        <v>519</v>
      </c>
      <c r="CR7" s="19" t="s">
        <v>520</v>
      </c>
      <c r="CS7" s="19" t="s">
        <v>538</v>
      </c>
      <c r="CT7" s="19" t="s">
        <v>539</v>
      </c>
      <c r="CU7" s="19" t="s">
        <v>540</v>
      </c>
      <c r="CV7" s="19" t="s">
        <v>541</v>
      </c>
      <c r="CW7" s="19"/>
      <c r="CX7" s="19"/>
      <c r="CY7" s="19"/>
      <c r="CZ7" s="19"/>
      <c r="DA7" s="19"/>
      <c r="DB7" s="19"/>
      <c r="DC7" s="19"/>
      <c r="DD7" s="19"/>
      <c r="DE7" s="19"/>
      <c r="DF7" s="19"/>
    </row>
    <row r="8" spans="1:110" s="7" customFormat="1" x14ac:dyDescent="0.25">
      <c r="A8" s="19" t="s">
        <v>81</v>
      </c>
      <c r="B8" s="19" t="s">
        <v>91</v>
      </c>
      <c r="C8" s="19" t="str">
        <f t="shared" si="5"/>
        <v>80752508Sri Lanka</v>
      </c>
      <c r="D8" s="19">
        <v>80752508</v>
      </c>
      <c r="E8" s="19" t="s">
        <v>363</v>
      </c>
      <c r="F8" s="19" t="s">
        <v>261</v>
      </c>
      <c r="G8" s="20" t="s">
        <v>363</v>
      </c>
      <c r="H8" s="19"/>
      <c r="I8" s="19" t="s">
        <v>230</v>
      </c>
      <c r="J8" s="19" t="s">
        <v>347</v>
      </c>
      <c r="K8" s="19" t="s">
        <v>364</v>
      </c>
      <c r="L8" s="19" t="s">
        <v>233</v>
      </c>
      <c r="M8" s="19" t="s">
        <v>268</v>
      </c>
      <c r="N8" s="19" t="s">
        <v>247</v>
      </c>
      <c r="O8" s="19" t="s">
        <v>270</v>
      </c>
      <c r="P8" s="23" t="s">
        <v>237</v>
      </c>
      <c r="Q8" s="19" t="s">
        <v>365</v>
      </c>
      <c r="R8" s="19">
        <v>150</v>
      </c>
      <c r="S8" s="19" t="s">
        <v>272</v>
      </c>
      <c r="T8" s="19" t="s">
        <v>263</v>
      </c>
      <c r="U8" s="20" t="s">
        <v>263</v>
      </c>
      <c r="V8" s="19" t="s">
        <v>129</v>
      </c>
      <c r="W8" s="19" t="s">
        <v>219</v>
      </c>
      <c r="X8" s="35">
        <v>10</v>
      </c>
      <c r="Y8" s="35">
        <v>10</v>
      </c>
      <c r="Z8" s="32"/>
      <c r="AA8" s="22">
        <v>40</v>
      </c>
      <c r="AB8" s="22"/>
      <c r="AC8" s="22"/>
      <c r="AD8" s="22"/>
      <c r="AE8" s="61">
        <f t="shared" si="6"/>
        <v>40</v>
      </c>
      <c r="AF8" s="22"/>
      <c r="AG8" s="40">
        <f t="shared" si="7"/>
        <v>40</v>
      </c>
      <c r="AH8" s="24">
        <v>30</v>
      </c>
      <c r="AI8" s="24"/>
      <c r="AJ8" s="24"/>
      <c r="AK8" s="24"/>
      <c r="AL8" s="23">
        <f t="shared" si="8"/>
        <v>10</v>
      </c>
      <c r="AM8" s="25"/>
      <c r="AN8" s="25"/>
      <c r="AO8" s="25"/>
      <c r="AP8" s="25"/>
      <c r="AQ8" s="25">
        <f t="shared" si="9"/>
        <v>0</v>
      </c>
      <c r="AR8" s="13">
        <v>30</v>
      </c>
      <c r="AS8" s="83">
        <v>10</v>
      </c>
      <c r="AT8" s="83">
        <v>10</v>
      </c>
      <c r="AU8" s="83">
        <v>10</v>
      </c>
      <c r="AV8" s="77"/>
      <c r="AW8" s="21"/>
      <c r="AX8" s="21"/>
      <c r="AY8" s="21"/>
      <c r="AZ8" s="21"/>
      <c r="BA8" s="21"/>
      <c r="BB8" s="21"/>
      <c r="BC8" s="77"/>
      <c r="BD8" s="21"/>
      <c r="BE8" s="21"/>
      <c r="BF8" s="21"/>
      <c r="BG8" s="21"/>
      <c r="BH8" s="21"/>
      <c r="BI8" s="21"/>
      <c r="BJ8" s="77"/>
      <c r="BK8" s="21"/>
      <c r="BL8" s="21"/>
      <c r="BM8" s="21"/>
      <c r="BN8" s="21"/>
      <c r="BO8" s="21"/>
      <c r="BP8" s="21"/>
      <c r="BQ8" s="77"/>
      <c r="BR8" s="21"/>
      <c r="BS8" s="21"/>
      <c r="BT8" s="21"/>
      <c r="BU8" s="21"/>
      <c r="BV8" s="21"/>
      <c r="BW8" s="79">
        <f t="shared" si="11"/>
        <v>30</v>
      </c>
      <c r="BX8" s="58">
        <f t="shared" si="12"/>
        <v>-30</v>
      </c>
      <c r="BY8" s="26" t="s">
        <v>1723</v>
      </c>
      <c r="BZ8" s="27"/>
      <c r="CA8" s="50" t="s">
        <v>363</v>
      </c>
      <c r="CB8" s="50" t="b">
        <f t="shared" si="10"/>
        <v>1</v>
      </c>
      <c r="CC8" s="53" t="s">
        <v>363</v>
      </c>
      <c r="CD8" s="19" t="s">
        <v>560</v>
      </c>
      <c r="CE8" s="19" t="s">
        <v>561</v>
      </c>
      <c r="CF8" s="19" t="s">
        <v>562</v>
      </c>
      <c r="CG8" s="19" t="s">
        <v>563</v>
      </c>
      <c r="CH8" s="19" t="s">
        <v>564</v>
      </c>
      <c r="CI8" s="19" t="s">
        <v>542</v>
      </c>
      <c r="CJ8" s="19" t="s">
        <v>543</v>
      </c>
      <c r="CK8" s="19" t="s">
        <v>544</v>
      </c>
      <c r="CL8" s="19" t="s">
        <v>545</v>
      </c>
      <c r="CM8" s="19" t="s">
        <v>565</v>
      </c>
      <c r="CN8" s="19" t="s">
        <v>566</v>
      </c>
      <c r="CO8" s="19" t="s">
        <v>567</v>
      </c>
      <c r="CP8" s="19" t="s">
        <v>568</v>
      </c>
      <c r="CQ8" s="19"/>
      <c r="CR8" s="19"/>
      <c r="CS8" s="19" t="s">
        <v>538</v>
      </c>
      <c r="CT8" s="19" t="s">
        <v>539</v>
      </c>
      <c r="CU8" s="19" t="s">
        <v>569</v>
      </c>
      <c r="CV8" s="19" t="s">
        <v>570</v>
      </c>
      <c r="CW8" s="19"/>
      <c r="CX8" s="19"/>
      <c r="CY8" s="19"/>
      <c r="CZ8" s="19"/>
      <c r="DA8" s="19"/>
      <c r="DB8" s="19"/>
      <c r="DC8" s="19"/>
      <c r="DD8" s="19"/>
      <c r="DE8" s="19"/>
      <c r="DF8" s="19"/>
    </row>
    <row r="9" spans="1:110" s="7" customFormat="1" x14ac:dyDescent="0.25">
      <c r="A9" s="19" t="s">
        <v>81</v>
      </c>
      <c r="B9" s="19" t="s">
        <v>95</v>
      </c>
      <c r="C9" s="19" t="str">
        <f t="shared" si="5"/>
        <v>80756835Tanzania</v>
      </c>
      <c r="D9" s="19">
        <v>80756835</v>
      </c>
      <c r="E9" s="19" t="s">
        <v>1591</v>
      </c>
      <c r="F9" s="19" t="s">
        <v>261</v>
      </c>
      <c r="G9" s="20" t="s">
        <v>1591</v>
      </c>
      <c r="H9" s="19"/>
      <c r="I9" s="19" t="s">
        <v>230</v>
      </c>
      <c r="J9" s="19" t="s">
        <v>337</v>
      </c>
      <c r="K9" s="19" t="s">
        <v>364</v>
      </c>
      <c r="L9" s="19" t="s">
        <v>233</v>
      </c>
      <c r="M9" s="19" t="s">
        <v>268</v>
      </c>
      <c r="N9" s="19" t="s">
        <v>247</v>
      </c>
      <c r="O9" s="19" t="s">
        <v>275</v>
      </c>
      <c r="P9" s="23" t="s">
        <v>237</v>
      </c>
      <c r="Q9" s="19" t="s">
        <v>365</v>
      </c>
      <c r="R9" s="19">
        <v>150</v>
      </c>
      <c r="S9" s="19" t="s">
        <v>272</v>
      </c>
      <c r="T9" s="19" t="s">
        <v>263</v>
      </c>
      <c r="U9" s="20" t="s">
        <v>263</v>
      </c>
      <c r="V9" s="19" t="s">
        <v>1547</v>
      </c>
      <c r="W9" s="19" t="s">
        <v>221</v>
      </c>
      <c r="X9" s="35"/>
      <c r="Y9" s="35"/>
      <c r="Z9" s="32"/>
      <c r="AA9" s="22">
        <v>10</v>
      </c>
      <c r="AB9" s="22"/>
      <c r="AC9" s="22"/>
      <c r="AD9" s="22"/>
      <c r="AE9" s="61">
        <f t="shared" si="6"/>
        <v>10</v>
      </c>
      <c r="AF9" s="22"/>
      <c r="AG9" s="40">
        <f t="shared" si="7"/>
        <v>10</v>
      </c>
      <c r="AH9" s="24"/>
      <c r="AI9" s="24"/>
      <c r="AJ9" s="24"/>
      <c r="AK9" s="24"/>
      <c r="AL9" s="23">
        <f t="shared" si="8"/>
        <v>10</v>
      </c>
      <c r="AM9" s="25"/>
      <c r="AN9" s="25"/>
      <c r="AO9" s="25"/>
      <c r="AP9" s="25"/>
      <c r="AQ9" s="25">
        <f t="shared" si="9"/>
        <v>0</v>
      </c>
      <c r="AR9" s="13"/>
      <c r="AS9" s="21"/>
      <c r="AT9" s="21"/>
      <c r="AU9" s="21"/>
      <c r="AV9" s="77"/>
      <c r="AW9" s="21"/>
      <c r="AX9" s="21"/>
      <c r="AY9" s="21"/>
      <c r="AZ9" s="21"/>
      <c r="BA9" s="21"/>
      <c r="BB9" s="21"/>
      <c r="BC9" s="77"/>
      <c r="BD9" s="21"/>
      <c r="BE9" s="21"/>
      <c r="BF9" s="21"/>
      <c r="BG9" s="21"/>
      <c r="BH9" s="21"/>
      <c r="BI9" s="21"/>
      <c r="BJ9" s="77"/>
      <c r="BK9" s="21"/>
      <c r="BL9" s="21"/>
      <c r="BM9" s="21"/>
      <c r="BN9" s="21"/>
      <c r="BO9" s="21"/>
      <c r="BP9" s="21"/>
      <c r="BQ9" s="77"/>
      <c r="BR9" s="21"/>
      <c r="BS9" s="21"/>
      <c r="BT9" s="21"/>
      <c r="BU9" s="21"/>
      <c r="BV9" s="21"/>
      <c r="BW9" s="79">
        <f t="shared" si="11"/>
        <v>0</v>
      </c>
      <c r="BX9" s="58">
        <f t="shared" si="12"/>
        <v>0</v>
      </c>
      <c r="BY9" s="26" t="s">
        <v>1723</v>
      </c>
      <c r="BZ9" s="27"/>
      <c r="CA9" s="50" t="s">
        <v>1591</v>
      </c>
      <c r="CB9" s="50" t="b">
        <f t="shared" si="10"/>
        <v>1</v>
      </c>
      <c r="CC9" s="53" t="s">
        <v>1591</v>
      </c>
      <c r="CD9" s="19" t="s">
        <v>1623</v>
      </c>
      <c r="CE9" s="19" t="s">
        <v>1624</v>
      </c>
      <c r="CF9" s="19" t="s">
        <v>1625</v>
      </c>
      <c r="CG9" s="19" t="s">
        <v>1626</v>
      </c>
      <c r="CH9" s="19" t="s">
        <v>503</v>
      </c>
      <c r="CI9" s="19" t="s">
        <v>1627</v>
      </c>
      <c r="CJ9" s="19" t="s">
        <v>1628</v>
      </c>
      <c r="CK9" s="19" t="s">
        <v>591</v>
      </c>
      <c r="CL9" s="19" t="s">
        <v>592</v>
      </c>
      <c r="CM9" s="19" t="s">
        <v>1629</v>
      </c>
      <c r="CN9" s="19" t="s">
        <v>1630</v>
      </c>
      <c r="CO9" s="19" t="s">
        <v>1631</v>
      </c>
      <c r="CP9" s="19" t="s">
        <v>1632</v>
      </c>
      <c r="CQ9" s="19"/>
      <c r="CR9" s="19"/>
      <c r="CS9" s="19" t="s">
        <v>504</v>
      </c>
      <c r="CT9" s="19" t="s">
        <v>505</v>
      </c>
      <c r="CU9" s="19" t="s">
        <v>1633</v>
      </c>
      <c r="CV9" s="19" t="s">
        <v>1634</v>
      </c>
      <c r="CW9" s="19"/>
      <c r="CX9" s="19"/>
      <c r="CY9" s="19"/>
      <c r="CZ9" s="19"/>
      <c r="DA9" s="19"/>
      <c r="DB9" s="19"/>
      <c r="DC9" s="19"/>
      <c r="DD9" s="19"/>
      <c r="DE9" s="19"/>
      <c r="DF9" s="19"/>
    </row>
    <row r="10" spans="1:110" s="7" customFormat="1" x14ac:dyDescent="0.25">
      <c r="A10" s="19" t="s">
        <v>81</v>
      </c>
      <c r="B10" s="19" t="s">
        <v>91</v>
      </c>
      <c r="C10" s="19" t="str">
        <f t="shared" si="5"/>
        <v>80750493Sri Lanka</v>
      </c>
      <c r="D10" s="19">
        <v>80750493</v>
      </c>
      <c r="E10" s="19" t="s">
        <v>388</v>
      </c>
      <c r="F10" s="19" t="s">
        <v>261</v>
      </c>
      <c r="G10" s="20" t="s">
        <v>388</v>
      </c>
      <c r="H10" s="19"/>
      <c r="I10" s="19" t="s">
        <v>230</v>
      </c>
      <c r="J10" s="19" t="s">
        <v>347</v>
      </c>
      <c r="K10" s="19" t="s">
        <v>364</v>
      </c>
      <c r="L10" s="19" t="s">
        <v>252</v>
      </c>
      <c r="M10" s="19" t="s">
        <v>268</v>
      </c>
      <c r="N10" s="19" t="s">
        <v>247</v>
      </c>
      <c r="O10" s="19" t="s">
        <v>275</v>
      </c>
      <c r="P10" s="23" t="s">
        <v>237</v>
      </c>
      <c r="Q10" s="19" t="s">
        <v>365</v>
      </c>
      <c r="R10" s="19">
        <v>150</v>
      </c>
      <c r="S10" s="19" t="s">
        <v>272</v>
      </c>
      <c r="T10" s="19" t="s">
        <v>263</v>
      </c>
      <c r="U10" s="20" t="s">
        <v>263</v>
      </c>
      <c r="V10" s="19" t="s">
        <v>140</v>
      </c>
      <c r="W10" s="19" t="s">
        <v>219</v>
      </c>
      <c r="X10" s="35">
        <v>4</v>
      </c>
      <c r="Y10" s="35">
        <v>4</v>
      </c>
      <c r="Z10" s="32"/>
      <c r="AA10" s="22">
        <v>8</v>
      </c>
      <c r="AB10" s="22"/>
      <c r="AC10" s="22"/>
      <c r="AD10" s="22"/>
      <c r="AE10" s="61">
        <f t="shared" si="6"/>
        <v>8</v>
      </c>
      <c r="AF10" s="22"/>
      <c r="AG10" s="40">
        <f t="shared" si="7"/>
        <v>8</v>
      </c>
      <c r="AH10" s="24"/>
      <c r="AI10" s="24"/>
      <c r="AJ10" s="24"/>
      <c r="AK10" s="24"/>
      <c r="AL10" s="23">
        <f t="shared" si="8"/>
        <v>8</v>
      </c>
      <c r="AM10" s="25"/>
      <c r="AN10" s="25"/>
      <c r="AO10" s="25"/>
      <c r="AP10" s="25"/>
      <c r="AQ10" s="25">
        <f t="shared" si="9"/>
        <v>0</v>
      </c>
      <c r="AR10" s="13"/>
      <c r="AS10" s="21"/>
      <c r="AT10" s="21"/>
      <c r="AU10" s="21"/>
      <c r="AV10" s="77"/>
      <c r="AW10" s="21"/>
      <c r="AX10" s="21"/>
      <c r="AY10" s="21"/>
      <c r="AZ10" s="21"/>
      <c r="BA10" s="21"/>
      <c r="BB10" s="21"/>
      <c r="BC10" s="77"/>
      <c r="BD10" s="21"/>
      <c r="BE10" s="21"/>
      <c r="BF10" s="21"/>
      <c r="BG10" s="21"/>
      <c r="BH10" s="21"/>
      <c r="BI10" s="21"/>
      <c r="BJ10" s="77"/>
      <c r="BK10" s="21"/>
      <c r="BL10" s="21"/>
      <c r="BM10" s="21"/>
      <c r="BN10" s="21"/>
      <c r="BO10" s="21"/>
      <c r="BP10" s="21"/>
      <c r="BQ10" s="77"/>
      <c r="BR10" s="21"/>
      <c r="BS10" s="21"/>
      <c r="BT10" s="21"/>
      <c r="BU10" s="21"/>
      <c r="BV10" s="21"/>
      <c r="BW10" s="79">
        <f t="shared" si="11"/>
        <v>0</v>
      </c>
      <c r="BX10" s="58">
        <f t="shared" si="12"/>
        <v>0</v>
      </c>
      <c r="BY10" s="26" t="s">
        <v>1723</v>
      </c>
      <c r="BZ10" s="27"/>
      <c r="CA10" s="50" t="s">
        <v>388</v>
      </c>
      <c r="CB10" s="50" t="b">
        <f t="shared" si="10"/>
        <v>1</v>
      </c>
      <c r="CC10" s="53" t="s">
        <v>388</v>
      </c>
      <c r="CD10" s="19" t="s">
        <v>571</v>
      </c>
      <c r="CE10" s="19" t="s">
        <v>561</v>
      </c>
      <c r="CF10" s="19" t="s">
        <v>562</v>
      </c>
      <c r="CG10" s="19" t="s">
        <v>563</v>
      </c>
      <c r="CH10" s="19" t="s">
        <v>564</v>
      </c>
      <c r="CI10" s="19" t="s">
        <v>542</v>
      </c>
      <c r="CJ10" s="19" t="s">
        <v>543</v>
      </c>
      <c r="CK10" s="19" t="s">
        <v>544</v>
      </c>
      <c r="CL10" s="19" t="s">
        <v>545</v>
      </c>
      <c r="CM10" s="19" t="s">
        <v>572</v>
      </c>
      <c r="CN10" s="19" t="s">
        <v>573</v>
      </c>
      <c r="CO10" s="19" t="s">
        <v>567</v>
      </c>
      <c r="CP10" s="19" t="s">
        <v>568</v>
      </c>
      <c r="CQ10" s="19"/>
      <c r="CR10" s="19"/>
      <c r="CS10" s="19" t="s">
        <v>538</v>
      </c>
      <c r="CT10" s="19" t="s">
        <v>539</v>
      </c>
      <c r="CU10" s="19" t="s">
        <v>569</v>
      </c>
      <c r="CV10" s="19" t="s">
        <v>570</v>
      </c>
      <c r="CW10" s="19"/>
      <c r="CX10" s="19"/>
      <c r="CY10" s="19"/>
      <c r="CZ10" s="19"/>
      <c r="DA10" s="19"/>
      <c r="DB10" s="19"/>
      <c r="DC10" s="19"/>
      <c r="DD10" s="19"/>
      <c r="DE10" s="19"/>
      <c r="DF10" s="19"/>
    </row>
    <row r="11" spans="1:110" s="7" customFormat="1" x14ac:dyDescent="0.25">
      <c r="A11" s="19" t="s">
        <v>81</v>
      </c>
      <c r="B11" s="19" t="s">
        <v>84</v>
      </c>
      <c r="C11" s="19" t="str">
        <f t="shared" si="5"/>
        <v>80451232TANZANIA</v>
      </c>
      <c r="D11" s="19">
        <v>80451232</v>
      </c>
      <c r="E11" s="19" t="s">
        <v>389</v>
      </c>
      <c r="F11" s="19" t="s">
        <v>261</v>
      </c>
      <c r="G11" s="20" t="s">
        <v>389</v>
      </c>
      <c r="H11" s="19"/>
      <c r="I11" s="19" t="s">
        <v>230</v>
      </c>
      <c r="J11" s="19" t="s">
        <v>337</v>
      </c>
      <c r="K11" s="19" t="s">
        <v>390</v>
      </c>
      <c r="L11" s="19" t="s">
        <v>279</v>
      </c>
      <c r="M11" s="19" t="s">
        <v>268</v>
      </c>
      <c r="N11" s="19" t="s">
        <v>247</v>
      </c>
      <c r="O11" s="19" t="s">
        <v>275</v>
      </c>
      <c r="P11" s="23" t="s">
        <v>237</v>
      </c>
      <c r="Q11" s="19" t="s">
        <v>391</v>
      </c>
      <c r="R11" s="19">
        <v>200</v>
      </c>
      <c r="S11" s="19" t="s">
        <v>272</v>
      </c>
      <c r="T11" s="19" t="s">
        <v>263</v>
      </c>
      <c r="U11" s="20" t="s">
        <v>263</v>
      </c>
      <c r="V11" s="19" t="s">
        <v>141</v>
      </c>
      <c r="W11" s="19" t="s">
        <v>221</v>
      </c>
      <c r="X11" s="35"/>
      <c r="Y11" s="35">
        <v>2</v>
      </c>
      <c r="Z11" s="32"/>
      <c r="AA11" s="22"/>
      <c r="AB11" s="22"/>
      <c r="AC11" s="22"/>
      <c r="AD11" s="22"/>
      <c r="AE11" s="61">
        <f t="shared" si="6"/>
        <v>0</v>
      </c>
      <c r="AF11" s="22"/>
      <c r="AG11" s="40">
        <f t="shared" si="7"/>
        <v>0</v>
      </c>
      <c r="AH11" s="24"/>
      <c r="AI11" s="24"/>
      <c r="AJ11" s="24"/>
      <c r="AK11" s="24"/>
      <c r="AL11" s="23">
        <f t="shared" si="8"/>
        <v>0</v>
      </c>
      <c r="AM11" s="25"/>
      <c r="AN11" s="25"/>
      <c r="AO11" s="25"/>
      <c r="AP11" s="25"/>
      <c r="AQ11" s="25">
        <f t="shared" si="9"/>
        <v>0</v>
      </c>
      <c r="AR11" s="13"/>
      <c r="AS11" s="21"/>
      <c r="AT11" s="21"/>
      <c r="AU11" s="21"/>
      <c r="AV11" s="77"/>
      <c r="AW11" s="21"/>
      <c r="AX11" s="21"/>
      <c r="AY11" s="21"/>
      <c r="AZ11" s="21"/>
      <c r="BA11" s="21"/>
      <c r="BB11" s="21"/>
      <c r="BC11" s="77"/>
      <c r="BD11" s="21"/>
      <c r="BE11" s="21"/>
      <c r="BF11" s="21"/>
      <c r="BG11" s="21"/>
      <c r="BH11" s="21"/>
      <c r="BI11" s="21"/>
      <c r="BJ11" s="77"/>
      <c r="BK11" s="21"/>
      <c r="BL11" s="21"/>
      <c r="BM11" s="21"/>
      <c r="BN11" s="21"/>
      <c r="BO11" s="21"/>
      <c r="BP11" s="21"/>
      <c r="BQ11" s="77"/>
      <c r="BR11" s="21"/>
      <c r="BS11" s="21"/>
      <c r="BT11" s="21"/>
      <c r="BU11" s="21"/>
      <c r="BV11" s="21"/>
      <c r="BW11" s="79">
        <f t="shared" si="11"/>
        <v>0</v>
      </c>
      <c r="BX11" s="58">
        <f t="shared" si="12"/>
        <v>0</v>
      </c>
      <c r="BY11" s="26"/>
      <c r="BZ11" s="27"/>
      <c r="CA11" s="50" t="s">
        <v>389</v>
      </c>
      <c r="CB11" s="50" t="b">
        <f t="shared" si="10"/>
        <v>1</v>
      </c>
      <c r="CC11" s="52" t="s">
        <v>389</v>
      </c>
      <c r="CD11" s="19" t="s">
        <v>574</v>
      </c>
      <c r="CE11" s="19" t="s">
        <v>561</v>
      </c>
      <c r="CF11" s="19" t="s">
        <v>562</v>
      </c>
      <c r="CG11" s="19" t="s">
        <v>575</v>
      </c>
      <c r="CH11" s="19" t="s">
        <v>576</v>
      </c>
      <c r="CI11" s="19" t="s">
        <v>577</v>
      </c>
      <c r="CJ11" s="19" t="s">
        <v>578</v>
      </c>
      <c r="CK11" s="19" t="s">
        <v>579</v>
      </c>
      <c r="CL11" s="19" t="s">
        <v>580</v>
      </c>
      <c r="CM11" s="19" t="s">
        <v>581</v>
      </c>
      <c r="CN11" s="19" t="s">
        <v>582</v>
      </c>
      <c r="CO11" s="19" t="s">
        <v>583</v>
      </c>
      <c r="CP11" s="19" t="s">
        <v>584</v>
      </c>
      <c r="CQ11" s="19"/>
      <c r="CR11" s="19"/>
      <c r="CS11" s="19" t="s">
        <v>585</v>
      </c>
      <c r="CT11" s="19" t="s">
        <v>586</v>
      </c>
      <c r="CU11" s="19" t="s">
        <v>587</v>
      </c>
      <c r="CV11" s="19" t="s">
        <v>588</v>
      </c>
      <c r="CW11" s="19"/>
      <c r="CX11" s="19"/>
      <c r="CY11" s="19"/>
      <c r="CZ11" s="19"/>
      <c r="DA11" s="19"/>
      <c r="DB11" s="19"/>
      <c r="DC11" s="19"/>
      <c r="DD11" s="19"/>
      <c r="DE11" s="19"/>
      <c r="DF11" s="19"/>
    </row>
    <row r="12" spans="1:110" s="7" customFormat="1" x14ac:dyDescent="0.25">
      <c r="A12" s="19" t="s">
        <v>81</v>
      </c>
      <c r="B12" s="19" t="s">
        <v>84</v>
      </c>
      <c r="C12" s="19" t="str">
        <f t="shared" si="5"/>
        <v>80456640TANZANIA</v>
      </c>
      <c r="D12" s="19">
        <v>80456640</v>
      </c>
      <c r="E12" s="19" t="s">
        <v>392</v>
      </c>
      <c r="F12" s="19" t="s">
        <v>261</v>
      </c>
      <c r="G12" s="20" t="s">
        <v>392</v>
      </c>
      <c r="H12" s="19"/>
      <c r="I12" s="19" t="s">
        <v>230</v>
      </c>
      <c r="J12" s="19" t="s">
        <v>337</v>
      </c>
      <c r="K12" s="19" t="s">
        <v>390</v>
      </c>
      <c r="L12" s="19" t="s">
        <v>279</v>
      </c>
      <c r="M12" s="19" t="s">
        <v>268</v>
      </c>
      <c r="N12" s="19" t="s">
        <v>247</v>
      </c>
      <c r="O12" s="19" t="s">
        <v>275</v>
      </c>
      <c r="P12" s="23" t="s">
        <v>237</v>
      </c>
      <c r="Q12" s="19" t="s">
        <v>391</v>
      </c>
      <c r="R12" s="19">
        <v>200</v>
      </c>
      <c r="S12" s="19" t="s">
        <v>272</v>
      </c>
      <c r="T12" s="19" t="s">
        <v>263</v>
      </c>
      <c r="U12" s="20" t="s">
        <v>263</v>
      </c>
      <c r="V12" s="19" t="s">
        <v>142</v>
      </c>
      <c r="W12" s="19" t="s">
        <v>221</v>
      </c>
      <c r="X12" s="35"/>
      <c r="Y12" s="35">
        <v>2</v>
      </c>
      <c r="Z12" s="32"/>
      <c r="AA12" s="22"/>
      <c r="AB12" s="22"/>
      <c r="AC12" s="22"/>
      <c r="AD12" s="22"/>
      <c r="AE12" s="61">
        <f t="shared" si="6"/>
        <v>0</v>
      </c>
      <c r="AF12" s="22"/>
      <c r="AG12" s="40">
        <f t="shared" si="7"/>
        <v>0</v>
      </c>
      <c r="AH12" s="24"/>
      <c r="AI12" s="24"/>
      <c r="AJ12" s="24"/>
      <c r="AK12" s="24"/>
      <c r="AL12" s="23">
        <f t="shared" si="8"/>
        <v>0</v>
      </c>
      <c r="AM12" s="25"/>
      <c r="AN12" s="25"/>
      <c r="AO12" s="25"/>
      <c r="AP12" s="25"/>
      <c r="AQ12" s="25">
        <f t="shared" si="9"/>
        <v>0</v>
      </c>
      <c r="AR12" s="13"/>
      <c r="AS12" s="21"/>
      <c r="AT12" s="21"/>
      <c r="AU12" s="21"/>
      <c r="AV12" s="77"/>
      <c r="AW12" s="21"/>
      <c r="AX12" s="21"/>
      <c r="AY12" s="21"/>
      <c r="AZ12" s="21"/>
      <c r="BA12" s="21"/>
      <c r="BB12" s="21"/>
      <c r="BC12" s="77"/>
      <c r="BD12" s="21"/>
      <c r="BE12" s="21"/>
      <c r="BF12" s="21"/>
      <c r="BG12" s="21"/>
      <c r="BH12" s="21"/>
      <c r="BI12" s="21"/>
      <c r="BJ12" s="77"/>
      <c r="BK12" s="21"/>
      <c r="BL12" s="21"/>
      <c r="BM12" s="21"/>
      <c r="BN12" s="21"/>
      <c r="BO12" s="21"/>
      <c r="BP12" s="21"/>
      <c r="BQ12" s="77"/>
      <c r="BR12" s="21"/>
      <c r="BS12" s="21"/>
      <c r="BT12" s="21"/>
      <c r="BU12" s="21"/>
      <c r="BV12" s="21"/>
      <c r="BW12" s="79">
        <f t="shared" si="11"/>
        <v>0</v>
      </c>
      <c r="BX12" s="58">
        <f t="shared" si="12"/>
        <v>0</v>
      </c>
      <c r="BY12" s="26"/>
      <c r="BZ12" s="27"/>
      <c r="CA12" s="50" t="s">
        <v>392</v>
      </c>
      <c r="CB12" s="50" t="b">
        <f t="shared" si="10"/>
        <v>1</v>
      </c>
      <c r="CC12" s="50" t="s">
        <v>392</v>
      </c>
      <c r="CD12" s="19" t="s">
        <v>589</v>
      </c>
      <c r="CE12" s="19" t="s">
        <v>561</v>
      </c>
      <c r="CF12" s="19" t="s">
        <v>562</v>
      </c>
      <c r="CG12" s="19" t="s">
        <v>590</v>
      </c>
      <c r="CH12" s="19" t="s">
        <v>503</v>
      </c>
      <c r="CI12" s="19" t="s">
        <v>558</v>
      </c>
      <c r="CJ12" s="19" t="s">
        <v>559</v>
      </c>
      <c r="CK12" s="19" t="s">
        <v>591</v>
      </c>
      <c r="CL12" s="19" t="s">
        <v>592</v>
      </c>
      <c r="CM12" s="19" t="s">
        <v>593</v>
      </c>
      <c r="CN12" s="19" t="s">
        <v>594</v>
      </c>
      <c r="CO12" s="19" t="s">
        <v>583</v>
      </c>
      <c r="CP12" s="19" t="s">
        <v>584</v>
      </c>
      <c r="CQ12" s="19"/>
      <c r="CR12" s="19"/>
      <c r="CS12" s="19" t="s">
        <v>585</v>
      </c>
      <c r="CT12" s="19" t="s">
        <v>586</v>
      </c>
      <c r="CU12" s="19" t="s">
        <v>595</v>
      </c>
      <c r="CV12" s="19" t="s">
        <v>596</v>
      </c>
      <c r="CW12" s="19"/>
      <c r="CX12" s="19"/>
      <c r="CY12" s="19"/>
      <c r="CZ12" s="19"/>
      <c r="DA12" s="19"/>
      <c r="DB12" s="19"/>
      <c r="DC12" s="19"/>
      <c r="DD12" s="19"/>
      <c r="DE12" s="19"/>
      <c r="DF12" s="19"/>
    </row>
    <row r="13" spans="1:110" s="7" customFormat="1" x14ac:dyDescent="0.25">
      <c r="A13" s="19" t="s">
        <v>81</v>
      </c>
      <c r="B13" s="19" t="s">
        <v>85</v>
      </c>
      <c r="C13" s="19" t="str">
        <f t="shared" si="5"/>
        <v>87154796ZIMBABWE</v>
      </c>
      <c r="D13" s="19">
        <v>87154796</v>
      </c>
      <c r="E13" s="19" t="s">
        <v>375</v>
      </c>
      <c r="F13" s="19" t="s">
        <v>261</v>
      </c>
      <c r="G13" s="20" t="s">
        <v>375</v>
      </c>
      <c r="H13" s="19"/>
      <c r="I13" s="19" t="s">
        <v>230</v>
      </c>
      <c r="J13" s="19" t="s">
        <v>358</v>
      </c>
      <c r="K13" s="19" t="s">
        <v>376</v>
      </c>
      <c r="L13" s="19" t="s">
        <v>233</v>
      </c>
      <c r="M13" s="19" t="s">
        <v>268</v>
      </c>
      <c r="N13" s="19" t="s">
        <v>247</v>
      </c>
      <c r="O13" s="19" t="s">
        <v>275</v>
      </c>
      <c r="P13" s="23" t="s">
        <v>237</v>
      </c>
      <c r="Q13" s="19" t="s">
        <v>377</v>
      </c>
      <c r="R13" s="19">
        <v>600</v>
      </c>
      <c r="S13" s="19" t="s">
        <v>272</v>
      </c>
      <c r="T13" s="19" t="s">
        <v>263</v>
      </c>
      <c r="U13" s="20" t="s">
        <v>263</v>
      </c>
      <c r="V13" s="19" t="s">
        <v>132</v>
      </c>
      <c r="W13" s="19" t="s">
        <v>219</v>
      </c>
      <c r="X13" s="35">
        <v>1</v>
      </c>
      <c r="Y13" s="35"/>
      <c r="Z13" s="32"/>
      <c r="AA13" s="22">
        <v>3</v>
      </c>
      <c r="AB13" s="22"/>
      <c r="AC13" s="22"/>
      <c r="AD13" s="22"/>
      <c r="AE13" s="61">
        <f t="shared" si="6"/>
        <v>3</v>
      </c>
      <c r="AF13" s="22"/>
      <c r="AG13" s="40">
        <f t="shared" si="7"/>
        <v>3</v>
      </c>
      <c r="AH13" s="24"/>
      <c r="AI13" s="24"/>
      <c r="AJ13" s="24"/>
      <c r="AK13" s="24"/>
      <c r="AL13" s="23">
        <f t="shared" si="8"/>
        <v>3</v>
      </c>
      <c r="AM13" s="25"/>
      <c r="AN13" s="25"/>
      <c r="AO13" s="25">
        <v>3</v>
      </c>
      <c r="AP13" s="25"/>
      <c r="AQ13" s="25">
        <f t="shared" si="9"/>
        <v>3</v>
      </c>
      <c r="AR13" s="13"/>
      <c r="AS13" s="21"/>
      <c r="AT13" s="21"/>
      <c r="AU13" s="21"/>
      <c r="AV13" s="77"/>
      <c r="AW13" s="21"/>
      <c r="AX13" s="21"/>
      <c r="AY13" s="21"/>
      <c r="AZ13" s="21"/>
      <c r="BA13" s="21"/>
      <c r="BB13" s="21"/>
      <c r="BC13" s="77"/>
      <c r="BD13" s="21"/>
      <c r="BE13" s="21"/>
      <c r="BF13" s="21"/>
      <c r="BG13" s="21"/>
      <c r="BH13" s="21"/>
      <c r="BI13" s="21"/>
      <c r="BJ13" s="77"/>
      <c r="BK13" s="21"/>
      <c r="BL13" s="21"/>
      <c r="BM13" s="21">
        <v>1</v>
      </c>
      <c r="BN13" s="21">
        <v>1</v>
      </c>
      <c r="BO13" s="21">
        <v>1</v>
      </c>
      <c r="BP13" s="21"/>
      <c r="BQ13" s="77"/>
      <c r="BR13" s="21"/>
      <c r="BS13" s="21"/>
      <c r="BT13" s="21"/>
      <c r="BU13" s="21"/>
      <c r="BV13" s="21"/>
      <c r="BW13" s="79">
        <f t="shared" si="11"/>
        <v>3</v>
      </c>
      <c r="BX13" s="58">
        <f t="shared" si="12"/>
        <v>0</v>
      </c>
      <c r="BY13" s="26"/>
      <c r="BZ13" s="27"/>
      <c r="CA13" s="50" t="s">
        <v>375</v>
      </c>
      <c r="CB13" s="50" t="b">
        <f t="shared" si="10"/>
        <v>1</v>
      </c>
      <c r="CC13" s="53" t="s">
        <v>375</v>
      </c>
      <c r="CD13" s="19" t="s">
        <v>597</v>
      </c>
      <c r="CE13" s="19" t="s">
        <v>598</v>
      </c>
      <c r="CF13" s="19" t="s">
        <v>599</v>
      </c>
      <c r="CG13" s="19" t="s">
        <v>600</v>
      </c>
      <c r="CH13" s="19" t="s">
        <v>601</v>
      </c>
      <c r="CI13" s="19" t="s">
        <v>602</v>
      </c>
      <c r="CJ13" s="19" t="s">
        <v>603</v>
      </c>
      <c r="CK13" s="19" t="s">
        <v>604</v>
      </c>
      <c r="CL13" s="19" t="s">
        <v>605</v>
      </c>
      <c r="CM13" s="19" t="s">
        <v>606</v>
      </c>
      <c r="CN13" s="19" t="s">
        <v>607</v>
      </c>
      <c r="CO13" s="19" t="s">
        <v>608</v>
      </c>
      <c r="CP13" s="19" t="s">
        <v>609</v>
      </c>
      <c r="CQ13" s="19"/>
      <c r="CR13" s="19"/>
      <c r="CS13" s="19" t="s">
        <v>610</v>
      </c>
      <c r="CT13" s="19" t="s">
        <v>611</v>
      </c>
      <c r="CU13" s="19" t="s">
        <v>612</v>
      </c>
      <c r="CV13" s="19" t="s">
        <v>613</v>
      </c>
      <c r="CW13" s="19"/>
      <c r="CX13" s="19"/>
      <c r="CY13" s="19"/>
      <c r="CZ13" s="19"/>
      <c r="DA13" s="19"/>
      <c r="DB13" s="19"/>
      <c r="DC13" s="19"/>
      <c r="DD13" s="19"/>
      <c r="DE13" s="19"/>
      <c r="DF13" s="19"/>
    </row>
    <row r="14" spans="1:110" s="7" customFormat="1" x14ac:dyDescent="0.25">
      <c r="A14" s="19" t="s">
        <v>81</v>
      </c>
      <c r="B14" s="19" t="s">
        <v>86</v>
      </c>
      <c r="C14" s="19" t="str">
        <f t="shared" si="5"/>
        <v>87154796MOZAMBIQUE</v>
      </c>
      <c r="D14" s="19">
        <v>87154796</v>
      </c>
      <c r="E14" s="19" t="s">
        <v>375</v>
      </c>
      <c r="F14" s="19" t="s">
        <v>261</v>
      </c>
      <c r="G14" s="20" t="s">
        <v>375</v>
      </c>
      <c r="H14" s="19"/>
      <c r="I14" s="19" t="s">
        <v>230</v>
      </c>
      <c r="J14" s="19" t="s">
        <v>358</v>
      </c>
      <c r="K14" s="19" t="s">
        <v>376</v>
      </c>
      <c r="L14" s="19" t="s">
        <v>233</v>
      </c>
      <c r="M14" s="19" t="s">
        <v>268</v>
      </c>
      <c r="N14" s="19" t="s">
        <v>247</v>
      </c>
      <c r="O14" s="19" t="s">
        <v>275</v>
      </c>
      <c r="P14" s="23" t="s">
        <v>237</v>
      </c>
      <c r="Q14" s="19" t="s">
        <v>377</v>
      </c>
      <c r="R14" s="19">
        <v>600</v>
      </c>
      <c r="S14" s="19" t="s">
        <v>272</v>
      </c>
      <c r="T14" s="19" t="s">
        <v>263</v>
      </c>
      <c r="U14" s="20" t="s">
        <v>263</v>
      </c>
      <c r="V14" s="19" t="s">
        <v>132</v>
      </c>
      <c r="W14" s="19" t="s">
        <v>220</v>
      </c>
      <c r="X14" s="35">
        <v>2</v>
      </c>
      <c r="Y14" s="35">
        <v>1</v>
      </c>
      <c r="Z14" s="32"/>
      <c r="AA14" s="22"/>
      <c r="AB14" s="22"/>
      <c r="AC14" s="22"/>
      <c r="AD14" s="22"/>
      <c r="AE14" s="61">
        <f t="shared" si="6"/>
        <v>0</v>
      </c>
      <c r="AF14" s="22"/>
      <c r="AG14" s="40">
        <f t="shared" si="7"/>
        <v>0</v>
      </c>
      <c r="AH14" s="24"/>
      <c r="AI14" s="24"/>
      <c r="AJ14" s="24"/>
      <c r="AK14" s="24"/>
      <c r="AL14" s="23">
        <f t="shared" si="8"/>
        <v>0</v>
      </c>
      <c r="AM14" s="25"/>
      <c r="AN14" s="25"/>
      <c r="AO14" s="25"/>
      <c r="AP14" s="25"/>
      <c r="AQ14" s="25">
        <f t="shared" si="9"/>
        <v>0</v>
      </c>
      <c r="AR14" s="13"/>
      <c r="AS14" s="21"/>
      <c r="AT14" s="21"/>
      <c r="AU14" s="21"/>
      <c r="AV14" s="77"/>
      <c r="AW14" s="21"/>
      <c r="AX14" s="21"/>
      <c r="AY14" s="21"/>
      <c r="AZ14" s="21"/>
      <c r="BA14" s="21"/>
      <c r="BB14" s="21"/>
      <c r="BC14" s="77"/>
      <c r="BD14" s="21"/>
      <c r="BE14" s="21"/>
      <c r="BF14" s="21"/>
      <c r="BG14" s="21"/>
      <c r="BH14" s="21"/>
      <c r="BI14" s="21"/>
      <c r="BJ14" s="77"/>
      <c r="BK14" s="21"/>
      <c r="BL14" s="21"/>
      <c r="BM14" s="21"/>
      <c r="BN14" s="21"/>
      <c r="BO14" s="21"/>
      <c r="BP14" s="21"/>
      <c r="BQ14" s="77"/>
      <c r="BR14" s="21"/>
      <c r="BS14" s="21"/>
      <c r="BT14" s="21"/>
      <c r="BU14" s="21"/>
      <c r="BV14" s="21"/>
      <c r="BW14" s="79">
        <f t="shared" si="11"/>
        <v>0</v>
      </c>
      <c r="BX14" s="58">
        <f t="shared" si="12"/>
        <v>0</v>
      </c>
      <c r="BY14" s="26"/>
      <c r="BZ14" s="27"/>
      <c r="CA14" s="50" t="s">
        <v>375</v>
      </c>
      <c r="CB14" s="50" t="b">
        <f t="shared" si="10"/>
        <v>1</v>
      </c>
      <c r="CC14" s="53" t="s">
        <v>375</v>
      </c>
      <c r="CD14" s="19" t="s">
        <v>597</v>
      </c>
      <c r="CE14" s="19" t="s">
        <v>598</v>
      </c>
      <c r="CF14" s="19" t="s">
        <v>599</v>
      </c>
      <c r="CG14" s="19" t="s">
        <v>600</v>
      </c>
      <c r="CH14" s="19" t="s">
        <v>601</v>
      </c>
      <c r="CI14" s="19" t="s">
        <v>602</v>
      </c>
      <c r="CJ14" s="19" t="s">
        <v>603</v>
      </c>
      <c r="CK14" s="19" t="s">
        <v>604</v>
      </c>
      <c r="CL14" s="19" t="s">
        <v>605</v>
      </c>
      <c r="CM14" s="19" t="s">
        <v>606</v>
      </c>
      <c r="CN14" s="19" t="s">
        <v>607</v>
      </c>
      <c r="CO14" s="19" t="s">
        <v>608</v>
      </c>
      <c r="CP14" s="19" t="s">
        <v>609</v>
      </c>
      <c r="CQ14" s="19"/>
      <c r="CR14" s="19"/>
      <c r="CS14" s="19" t="s">
        <v>610</v>
      </c>
      <c r="CT14" s="19" t="s">
        <v>611</v>
      </c>
      <c r="CU14" s="19" t="s">
        <v>612</v>
      </c>
      <c r="CV14" s="19" t="s">
        <v>613</v>
      </c>
      <c r="CW14" s="19"/>
      <c r="CX14" s="19"/>
      <c r="CY14" s="19"/>
      <c r="CZ14" s="19"/>
      <c r="DA14" s="19"/>
      <c r="DB14" s="19"/>
      <c r="DC14" s="19"/>
      <c r="DD14" s="19"/>
      <c r="DE14" s="19"/>
      <c r="DF14" s="19"/>
    </row>
    <row r="15" spans="1:110" s="7" customFormat="1" x14ac:dyDescent="0.25">
      <c r="A15" s="19" t="s">
        <v>81</v>
      </c>
      <c r="B15" s="19" t="s">
        <v>88</v>
      </c>
      <c r="C15" s="19" t="str">
        <f t="shared" si="5"/>
        <v>87150500SRI LANKA</v>
      </c>
      <c r="D15" s="19">
        <v>87150500</v>
      </c>
      <c r="E15" s="19" t="s">
        <v>387</v>
      </c>
      <c r="F15" s="19" t="s">
        <v>261</v>
      </c>
      <c r="G15" s="20" t="s">
        <v>387</v>
      </c>
      <c r="H15" s="19"/>
      <c r="I15" s="19" t="s">
        <v>230</v>
      </c>
      <c r="J15" s="19" t="s">
        <v>360</v>
      </c>
      <c r="K15" s="19" t="s">
        <v>376</v>
      </c>
      <c r="L15" s="19" t="s">
        <v>233</v>
      </c>
      <c r="M15" s="19" t="s">
        <v>268</v>
      </c>
      <c r="N15" s="19" t="s">
        <v>247</v>
      </c>
      <c r="O15" s="19" t="s">
        <v>275</v>
      </c>
      <c r="P15" s="23" t="s">
        <v>237</v>
      </c>
      <c r="Q15" s="19" t="s">
        <v>377</v>
      </c>
      <c r="R15" s="19">
        <v>600</v>
      </c>
      <c r="S15" s="19" t="s">
        <v>272</v>
      </c>
      <c r="T15" s="19" t="s">
        <v>263</v>
      </c>
      <c r="U15" s="20" t="s">
        <v>263</v>
      </c>
      <c r="V15" s="19" t="s">
        <v>139</v>
      </c>
      <c r="W15" s="19" t="s">
        <v>219</v>
      </c>
      <c r="X15" s="35">
        <v>10</v>
      </c>
      <c r="Y15" s="35">
        <v>5</v>
      </c>
      <c r="Z15" s="32"/>
      <c r="AA15" s="22">
        <v>2</v>
      </c>
      <c r="AB15" s="22"/>
      <c r="AC15" s="22"/>
      <c r="AD15" s="22"/>
      <c r="AE15" s="61">
        <f t="shared" si="6"/>
        <v>2</v>
      </c>
      <c r="AF15" s="22"/>
      <c r="AG15" s="40">
        <f t="shared" si="7"/>
        <v>2</v>
      </c>
      <c r="AH15" s="24">
        <v>2</v>
      </c>
      <c r="AI15" s="24"/>
      <c r="AJ15" s="24"/>
      <c r="AK15" s="24"/>
      <c r="AL15" s="23">
        <f t="shared" si="8"/>
        <v>0</v>
      </c>
      <c r="AM15" s="25"/>
      <c r="AN15" s="25"/>
      <c r="AO15" s="25"/>
      <c r="AP15" s="25"/>
      <c r="AQ15" s="25">
        <f t="shared" si="9"/>
        <v>0</v>
      </c>
      <c r="AR15" s="13">
        <v>2</v>
      </c>
      <c r="AS15" s="21"/>
      <c r="AT15" s="21"/>
      <c r="AU15" s="83">
        <v>2</v>
      </c>
      <c r="AV15" s="77"/>
      <c r="AW15" s="21"/>
      <c r="AX15" s="21"/>
      <c r="AY15" s="21"/>
      <c r="AZ15" s="21"/>
      <c r="BA15" s="21"/>
      <c r="BB15" s="21"/>
      <c r="BC15" s="77"/>
      <c r="BD15" s="21"/>
      <c r="BE15" s="21"/>
      <c r="BF15" s="21"/>
      <c r="BG15" s="21"/>
      <c r="BH15" s="21"/>
      <c r="BI15" s="21"/>
      <c r="BJ15" s="77"/>
      <c r="BK15" s="21"/>
      <c r="BL15" s="21"/>
      <c r="BM15" s="21"/>
      <c r="BN15" s="21"/>
      <c r="BO15" s="21"/>
      <c r="BP15" s="21"/>
      <c r="BQ15" s="77"/>
      <c r="BR15" s="21"/>
      <c r="BS15" s="21"/>
      <c r="BT15" s="21"/>
      <c r="BU15" s="21"/>
      <c r="BV15" s="21"/>
      <c r="BW15" s="79">
        <f t="shared" si="11"/>
        <v>2</v>
      </c>
      <c r="BX15" s="58">
        <f t="shared" si="12"/>
        <v>-2</v>
      </c>
      <c r="BY15" s="26"/>
      <c r="BZ15" s="27"/>
      <c r="CA15" s="50" t="s">
        <v>387</v>
      </c>
      <c r="CB15" s="50" t="b">
        <f t="shared" si="10"/>
        <v>1</v>
      </c>
      <c r="CC15" s="53" t="s">
        <v>387</v>
      </c>
      <c r="CD15" s="19" t="s">
        <v>614</v>
      </c>
      <c r="CE15" s="19" t="s">
        <v>615</v>
      </c>
      <c r="CF15" s="19" t="s">
        <v>616</v>
      </c>
      <c r="CG15" s="19" t="s">
        <v>617</v>
      </c>
      <c r="CH15" s="19" t="s">
        <v>618</v>
      </c>
      <c r="CI15" s="19" t="s">
        <v>619</v>
      </c>
      <c r="CJ15" s="19" t="s">
        <v>620</v>
      </c>
      <c r="CK15" s="19" t="s">
        <v>621</v>
      </c>
      <c r="CL15" s="19" t="s">
        <v>622</v>
      </c>
      <c r="CM15" s="19" t="s">
        <v>623</v>
      </c>
      <c r="CN15" s="19" t="s">
        <v>624</v>
      </c>
      <c r="CO15" s="19" t="s">
        <v>625</v>
      </c>
      <c r="CP15" s="19" t="s">
        <v>626</v>
      </c>
      <c r="CQ15" s="19"/>
      <c r="CR15" s="19"/>
      <c r="CS15" s="19" t="s">
        <v>627</v>
      </c>
      <c r="CT15" s="19" t="s">
        <v>628</v>
      </c>
      <c r="CU15" s="19" t="s">
        <v>629</v>
      </c>
      <c r="CV15" s="19" t="s">
        <v>630</v>
      </c>
      <c r="CW15" s="19"/>
      <c r="CX15" s="19"/>
      <c r="CY15" s="19"/>
      <c r="CZ15" s="19"/>
      <c r="DA15" s="19"/>
      <c r="DB15" s="19"/>
      <c r="DC15" s="19"/>
      <c r="DD15" s="19"/>
      <c r="DE15" s="19"/>
      <c r="DF15" s="19"/>
    </row>
    <row r="16" spans="1:110" s="7" customFormat="1" x14ac:dyDescent="0.25">
      <c r="A16" s="19" t="s">
        <v>81</v>
      </c>
      <c r="B16" s="19" t="s">
        <v>82</v>
      </c>
      <c r="C16" s="19" t="str">
        <f t="shared" si="5"/>
        <v>87157645Saudi Arabia</v>
      </c>
      <c r="D16" s="19">
        <v>87157645</v>
      </c>
      <c r="E16" s="19" t="s">
        <v>323</v>
      </c>
      <c r="F16" s="19" t="s">
        <v>261</v>
      </c>
      <c r="G16" s="20" t="s">
        <v>323</v>
      </c>
      <c r="H16" s="19"/>
      <c r="I16" s="19" t="s">
        <v>230</v>
      </c>
      <c r="J16" s="19" t="s">
        <v>324</v>
      </c>
      <c r="K16" s="19" t="s">
        <v>325</v>
      </c>
      <c r="L16" s="19" t="s">
        <v>233</v>
      </c>
      <c r="M16" s="19" t="s">
        <v>268</v>
      </c>
      <c r="N16" s="19" t="s">
        <v>247</v>
      </c>
      <c r="O16" s="19" t="s">
        <v>275</v>
      </c>
      <c r="P16" s="23" t="s">
        <v>237</v>
      </c>
      <c r="Q16" s="19" t="s">
        <v>325</v>
      </c>
      <c r="R16" s="19">
        <v>700</v>
      </c>
      <c r="S16" s="19" t="s">
        <v>272</v>
      </c>
      <c r="T16" s="19" t="s">
        <v>263</v>
      </c>
      <c r="U16" s="20" t="s">
        <v>263</v>
      </c>
      <c r="V16" s="19" t="s">
        <v>1586</v>
      </c>
      <c r="W16" s="19" t="s">
        <v>219</v>
      </c>
      <c r="X16" s="35">
        <v>10</v>
      </c>
      <c r="Y16" s="35"/>
      <c r="Z16" s="32"/>
      <c r="AA16" s="22"/>
      <c r="AB16" s="22"/>
      <c r="AC16" s="22"/>
      <c r="AD16" s="22"/>
      <c r="AE16" s="61">
        <f t="shared" si="6"/>
        <v>0</v>
      </c>
      <c r="AF16" s="22"/>
      <c r="AG16" s="40">
        <f t="shared" si="7"/>
        <v>0</v>
      </c>
      <c r="AH16" s="24"/>
      <c r="AI16" s="24"/>
      <c r="AJ16" s="24"/>
      <c r="AK16" s="24"/>
      <c r="AL16" s="23">
        <f t="shared" si="8"/>
        <v>0</v>
      </c>
      <c r="AM16" s="25"/>
      <c r="AN16" s="25"/>
      <c r="AO16" s="25"/>
      <c r="AP16" s="25"/>
      <c r="AQ16" s="25">
        <f t="shared" si="9"/>
        <v>0</v>
      </c>
      <c r="AR16" s="13"/>
      <c r="AS16" s="21"/>
      <c r="AT16" s="21"/>
      <c r="AU16" s="21"/>
      <c r="AV16" s="77"/>
      <c r="AW16" s="21"/>
      <c r="AX16" s="21"/>
      <c r="AY16" s="21"/>
      <c r="AZ16" s="21"/>
      <c r="BA16" s="21"/>
      <c r="BB16" s="21"/>
      <c r="BC16" s="77"/>
      <c r="BD16" s="21"/>
      <c r="BE16" s="21"/>
      <c r="BF16" s="21"/>
      <c r="BG16" s="21"/>
      <c r="BH16" s="21"/>
      <c r="BI16" s="21"/>
      <c r="BJ16" s="77"/>
      <c r="BK16" s="21"/>
      <c r="BL16" s="21"/>
      <c r="BM16" s="21"/>
      <c r="BN16" s="21"/>
      <c r="BO16" s="21"/>
      <c r="BP16" s="21"/>
      <c r="BQ16" s="77"/>
      <c r="BR16" s="21"/>
      <c r="BS16" s="21"/>
      <c r="BT16" s="21"/>
      <c r="BU16" s="21"/>
      <c r="BV16" s="21"/>
      <c r="BW16" s="79">
        <f t="shared" si="11"/>
        <v>0</v>
      </c>
      <c r="BX16" s="58">
        <f t="shared" si="12"/>
        <v>0</v>
      </c>
      <c r="BY16" s="26"/>
      <c r="BZ16" s="27"/>
      <c r="CA16" s="50" t="s">
        <v>323</v>
      </c>
      <c r="CB16" s="50" t="b">
        <f t="shared" si="10"/>
        <v>1</v>
      </c>
      <c r="CC16" s="53" t="s">
        <v>323</v>
      </c>
      <c r="CD16" s="19" t="s">
        <v>631</v>
      </c>
      <c r="CE16" s="19" t="s">
        <v>632</v>
      </c>
      <c r="CF16" s="19" t="s">
        <v>633</v>
      </c>
      <c r="CG16" s="19" t="s">
        <v>634</v>
      </c>
      <c r="CH16" s="19" t="s">
        <v>635</v>
      </c>
      <c r="CI16" s="19" t="s">
        <v>636</v>
      </c>
      <c r="CJ16" s="19" t="s">
        <v>637</v>
      </c>
      <c r="CK16" s="19" t="s">
        <v>638</v>
      </c>
      <c r="CL16" s="19" t="s">
        <v>639</v>
      </c>
      <c r="CM16" s="19" t="s">
        <v>640</v>
      </c>
      <c r="CN16" s="19" t="s">
        <v>641</v>
      </c>
      <c r="CO16" s="19" t="s">
        <v>642</v>
      </c>
      <c r="CP16" s="19" t="s">
        <v>643</v>
      </c>
      <c r="CQ16" s="19"/>
      <c r="CR16" s="19"/>
      <c r="CS16" s="19" t="s">
        <v>644</v>
      </c>
      <c r="CT16" s="19" t="s">
        <v>645</v>
      </c>
      <c r="CU16" s="19" t="s">
        <v>646</v>
      </c>
      <c r="CV16" s="19" t="s">
        <v>647</v>
      </c>
      <c r="CW16" s="19"/>
      <c r="CX16" s="19"/>
      <c r="CY16" s="19"/>
      <c r="CZ16" s="19"/>
      <c r="DA16" s="19"/>
      <c r="DB16" s="19"/>
      <c r="DC16" s="19"/>
      <c r="DD16" s="19"/>
      <c r="DE16" s="19"/>
      <c r="DF16" s="19"/>
    </row>
    <row r="17" spans="1:110" s="7" customFormat="1" x14ac:dyDescent="0.25">
      <c r="A17" s="19" t="s">
        <v>81</v>
      </c>
      <c r="B17" s="19" t="s">
        <v>99</v>
      </c>
      <c r="C17" s="19" t="str">
        <f t="shared" si="5"/>
        <v>87151666OMAN</v>
      </c>
      <c r="D17" s="19">
        <v>87151666</v>
      </c>
      <c r="E17" s="19" t="s">
        <v>384</v>
      </c>
      <c r="F17" s="19" t="s">
        <v>261</v>
      </c>
      <c r="G17" s="20" t="s">
        <v>384</v>
      </c>
      <c r="H17" s="19"/>
      <c r="I17" s="19" t="s">
        <v>230</v>
      </c>
      <c r="J17" s="19" t="s">
        <v>358</v>
      </c>
      <c r="K17" s="19" t="s">
        <v>325</v>
      </c>
      <c r="L17" s="19" t="s">
        <v>233</v>
      </c>
      <c r="M17" s="19" t="s">
        <v>268</v>
      </c>
      <c r="N17" s="19" t="s">
        <v>247</v>
      </c>
      <c r="O17" s="19" t="s">
        <v>275</v>
      </c>
      <c r="P17" s="23" t="s">
        <v>237</v>
      </c>
      <c r="Q17" s="19" t="s">
        <v>325</v>
      </c>
      <c r="R17" s="19">
        <v>700</v>
      </c>
      <c r="S17" s="19" t="s">
        <v>272</v>
      </c>
      <c r="T17" s="19" t="s">
        <v>263</v>
      </c>
      <c r="U17" s="20" t="s">
        <v>263</v>
      </c>
      <c r="V17" s="19" t="s">
        <v>137</v>
      </c>
      <c r="W17" s="19" t="s">
        <v>219</v>
      </c>
      <c r="X17" s="35">
        <v>4</v>
      </c>
      <c r="Y17" s="35"/>
      <c r="Z17" s="32"/>
      <c r="AA17" s="22"/>
      <c r="AB17" s="22"/>
      <c r="AC17" s="22"/>
      <c r="AD17" s="22"/>
      <c r="AE17" s="61">
        <f t="shared" si="6"/>
        <v>0</v>
      </c>
      <c r="AF17" s="22"/>
      <c r="AG17" s="40">
        <f t="shared" si="7"/>
        <v>0</v>
      </c>
      <c r="AH17" s="24"/>
      <c r="AI17" s="24"/>
      <c r="AJ17" s="24"/>
      <c r="AK17" s="24"/>
      <c r="AL17" s="23">
        <f t="shared" si="8"/>
        <v>0</v>
      </c>
      <c r="AM17" s="25"/>
      <c r="AN17" s="25"/>
      <c r="AO17" s="25"/>
      <c r="AP17" s="25"/>
      <c r="AQ17" s="25">
        <f t="shared" si="9"/>
        <v>0</v>
      </c>
      <c r="AR17" s="13"/>
      <c r="AS17" s="21"/>
      <c r="AT17" s="21"/>
      <c r="AU17" s="21"/>
      <c r="AV17" s="77"/>
      <c r="AW17" s="21"/>
      <c r="AX17" s="21"/>
      <c r="AY17" s="21"/>
      <c r="AZ17" s="21"/>
      <c r="BA17" s="21"/>
      <c r="BB17" s="21"/>
      <c r="BC17" s="77"/>
      <c r="BD17" s="21"/>
      <c r="BE17" s="21"/>
      <c r="BF17" s="21"/>
      <c r="BG17" s="21"/>
      <c r="BH17" s="21"/>
      <c r="BI17" s="21"/>
      <c r="BJ17" s="77"/>
      <c r="BK17" s="21"/>
      <c r="BL17" s="21"/>
      <c r="BM17" s="21"/>
      <c r="BN17" s="21"/>
      <c r="BO17" s="21"/>
      <c r="BP17" s="21"/>
      <c r="BQ17" s="77"/>
      <c r="BR17" s="21"/>
      <c r="BS17" s="21"/>
      <c r="BT17" s="21"/>
      <c r="BU17" s="21"/>
      <c r="BV17" s="21"/>
      <c r="BW17" s="79">
        <f t="shared" si="11"/>
        <v>0</v>
      </c>
      <c r="BX17" s="58">
        <f t="shared" si="12"/>
        <v>0</v>
      </c>
      <c r="BY17" s="26"/>
      <c r="BZ17" s="27"/>
      <c r="CA17" s="50" t="s">
        <v>384</v>
      </c>
      <c r="CB17" s="50" t="b">
        <f t="shared" si="10"/>
        <v>1</v>
      </c>
      <c r="CC17" s="53" t="s">
        <v>384</v>
      </c>
      <c r="CD17" s="19" t="s">
        <v>655</v>
      </c>
      <c r="CE17" s="19" t="s">
        <v>632</v>
      </c>
      <c r="CF17" s="19" t="s">
        <v>633</v>
      </c>
      <c r="CG17" s="19" t="s">
        <v>656</v>
      </c>
      <c r="CH17" s="19" t="s">
        <v>648</v>
      </c>
      <c r="CI17" s="19" t="s">
        <v>649</v>
      </c>
      <c r="CJ17" s="19" t="s">
        <v>650</v>
      </c>
      <c r="CK17" s="19" t="s">
        <v>638</v>
      </c>
      <c r="CL17" s="19" t="s">
        <v>639</v>
      </c>
      <c r="CM17" s="19" t="s">
        <v>651</v>
      </c>
      <c r="CN17" s="19" t="s">
        <v>652</v>
      </c>
      <c r="CO17" s="19" t="s">
        <v>653</v>
      </c>
      <c r="CP17" s="19" t="s">
        <v>654</v>
      </c>
      <c r="CQ17" s="19"/>
      <c r="CR17" s="19"/>
      <c r="CS17" s="19" t="s">
        <v>644</v>
      </c>
      <c r="CT17" s="19" t="s">
        <v>645</v>
      </c>
      <c r="CU17" s="19" t="s">
        <v>657</v>
      </c>
      <c r="CV17" s="19" t="s">
        <v>658</v>
      </c>
      <c r="CW17" s="19"/>
      <c r="CX17" s="19"/>
      <c r="CY17" s="19"/>
      <c r="CZ17" s="19"/>
      <c r="DA17" s="19"/>
      <c r="DB17" s="19"/>
      <c r="DC17" s="19"/>
      <c r="DD17" s="19"/>
      <c r="DE17" s="19"/>
      <c r="DF17" s="19"/>
    </row>
    <row r="18" spans="1:110" s="7" customFormat="1" x14ac:dyDescent="0.25">
      <c r="A18" s="19" t="s">
        <v>81</v>
      </c>
      <c r="B18" s="19" t="s">
        <v>84</v>
      </c>
      <c r="C18" s="19" t="str">
        <f t="shared" si="5"/>
        <v>87153317TANZANIA</v>
      </c>
      <c r="D18" s="19">
        <v>87153317</v>
      </c>
      <c r="E18" s="19" t="s">
        <v>341</v>
      </c>
      <c r="F18" s="19" t="s">
        <v>261</v>
      </c>
      <c r="G18" s="20" t="s">
        <v>341</v>
      </c>
      <c r="H18" s="19"/>
      <c r="I18" s="19" t="s">
        <v>230</v>
      </c>
      <c r="J18" s="19" t="s">
        <v>337</v>
      </c>
      <c r="K18" s="19" t="s">
        <v>342</v>
      </c>
      <c r="L18" s="19" t="s">
        <v>279</v>
      </c>
      <c r="M18" s="19" t="s">
        <v>268</v>
      </c>
      <c r="N18" s="19" t="s">
        <v>247</v>
      </c>
      <c r="O18" s="19" t="s">
        <v>275</v>
      </c>
      <c r="P18" s="23" t="s">
        <v>237</v>
      </c>
      <c r="Q18" s="19" t="s">
        <v>343</v>
      </c>
      <c r="R18" s="19">
        <v>800</v>
      </c>
      <c r="S18" s="19" t="s">
        <v>272</v>
      </c>
      <c r="T18" s="19" t="s">
        <v>263</v>
      </c>
      <c r="U18" s="20" t="s">
        <v>263</v>
      </c>
      <c r="V18" s="19" t="s">
        <v>1588</v>
      </c>
      <c r="W18" s="19" t="s">
        <v>219</v>
      </c>
      <c r="X18" s="35">
        <v>2</v>
      </c>
      <c r="Y18" s="35">
        <v>2</v>
      </c>
      <c r="Z18" s="32"/>
      <c r="AA18" s="22"/>
      <c r="AB18" s="22"/>
      <c r="AC18" s="22"/>
      <c r="AD18" s="22"/>
      <c r="AE18" s="61">
        <f t="shared" si="6"/>
        <v>0</v>
      </c>
      <c r="AF18" s="22"/>
      <c r="AG18" s="40">
        <f t="shared" si="7"/>
        <v>0</v>
      </c>
      <c r="AH18" s="24"/>
      <c r="AI18" s="24"/>
      <c r="AJ18" s="24"/>
      <c r="AK18" s="24"/>
      <c r="AL18" s="23">
        <f t="shared" si="8"/>
        <v>0</v>
      </c>
      <c r="AM18" s="25"/>
      <c r="AN18" s="25"/>
      <c r="AO18" s="25"/>
      <c r="AP18" s="25"/>
      <c r="AQ18" s="25">
        <f t="shared" si="9"/>
        <v>0</v>
      </c>
      <c r="AR18" s="13"/>
      <c r="AS18" s="21"/>
      <c r="AT18" s="21"/>
      <c r="AU18" s="21"/>
      <c r="AV18" s="77"/>
      <c r="AW18" s="21"/>
      <c r="AX18" s="21"/>
      <c r="AY18" s="21"/>
      <c r="AZ18" s="21"/>
      <c r="BA18" s="21"/>
      <c r="BB18" s="21"/>
      <c r="BC18" s="77"/>
      <c r="BD18" s="21"/>
      <c r="BE18" s="21"/>
      <c r="BF18" s="21"/>
      <c r="BG18" s="21"/>
      <c r="BH18" s="21"/>
      <c r="BI18" s="21"/>
      <c r="BJ18" s="77"/>
      <c r="BK18" s="21"/>
      <c r="BL18" s="21"/>
      <c r="BM18" s="21"/>
      <c r="BN18" s="21"/>
      <c r="BO18" s="21"/>
      <c r="BP18" s="21"/>
      <c r="BQ18" s="77"/>
      <c r="BR18" s="21"/>
      <c r="BS18" s="21"/>
      <c r="BT18" s="21"/>
      <c r="BU18" s="21"/>
      <c r="BV18" s="21"/>
      <c r="BW18" s="79">
        <f t="shared" si="11"/>
        <v>0</v>
      </c>
      <c r="BX18" s="58">
        <f t="shared" si="12"/>
        <v>0</v>
      </c>
      <c r="BY18" s="26"/>
      <c r="BZ18" s="27"/>
      <c r="CA18" s="50" t="s">
        <v>341</v>
      </c>
      <c r="CB18" s="50" t="b">
        <f t="shared" si="10"/>
        <v>1</v>
      </c>
      <c r="CC18" s="53" t="s">
        <v>341</v>
      </c>
      <c r="CD18" s="19" t="s">
        <v>659</v>
      </c>
      <c r="CE18" s="19" t="s">
        <v>660</v>
      </c>
      <c r="CF18" s="19" t="s">
        <v>661</v>
      </c>
      <c r="CG18" s="19" t="s">
        <v>662</v>
      </c>
      <c r="CH18" s="19" t="s">
        <v>663</v>
      </c>
      <c r="CI18" s="19" t="s">
        <v>664</v>
      </c>
      <c r="CJ18" s="19" t="s">
        <v>665</v>
      </c>
      <c r="CK18" s="19" t="s">
        <v>666</v>
      </c>
      <c r="CL18" s="19" t="s">
        <v>667</v>
      </c>
      <c r="CM18" s="19" t="s">
        <v>668</v>
      </c>
      <c r="CN18" s="19" t="s">
        <v>669</v>
      </c>
      <c r="CO18" s="19" t="s">
        <v>670</v>
      </c>
      <c r="CP18" s="19" t="s">
        <v>671</v>
      </c>
      <c r="CQ18" s="19"/>
      <c r="CR18" s="19"/>
      <c r="CS18" s="19" t="s">
        <v>672</v>
      </c>
      <c r="CT18" s="19" t="s">
        <v>673</v>
      </c>
      <c r="CU18" s="19" t="s">
        <v>674</v>
      </c>
      <c r="CV18" s="19" t="s">
        <v>675</v>
      </c>
      <c r="CW18" s="19"/>
      <c r="CX18" s="19"/>
      <c r="CY18" s="19"/>
      <c r="CZ18" s="19"/>
      <c r="DA18" s="19"/>
      <c r="DB18" s="19"/>
      <c r="DC18" s="19"/>
      <c r="DD18" s="19"/>
      <c r="DE18" s="19"/>
      <c r="DF18" s="19"/>
    </row>
    <row r="19" spans="1:110" s="7" customFormat="1" x14ac:dyDescent="0.25">
      <c r="A19" s="19" t="s">
        <v>81</v>
      </c>
      <c r="B19" s="19" t="s">
        <v>86</v>
      </c>
      <c r="C19" s="19" t="str">
        <f t="shared" si="5"/>
        <v>87154898MOZAMBIQUE</v>
      </c>
      <c r="D19" s="19">
        <v>87154898</v>
      </c>
      <c r="E19" s="19" t="s">
        <v>344</v>
      </c>
      <c r="F19" s="19" t="s">
        <v>261</v>
      </c>
      <c r="G19" s="20" t="s">
        <v>344</v>
      </c>
      <c r="H19" s="19"/>
      <c r="I19" s="19" t="s">
        <v>230</v>
      </c>
      <c r="J19" s="19" t="s">
        <v>340</v>
      </c>
      <c r="K19" s="19" t="s">
        <v>342</v>
      </c>
      <c r="L19" s="19" t="s">
        <v>233</v>
      </c>
      <c r="M19" s="19" t="s">
        <v>268</v>
      </c>
      <c r="N19" s="19" t="s">
        <v>247</v>
      </c>
      <c r="O19" s="19" t="s">
        <v>275</v>
      </c>
      <c r="P19" s="23" t="s">
        <v>237</v>
      </c>
      <c r="Q19" s="19" t="s">
        <v>343</v>
      </c>
      <c r="R19" s="19">
        <v>800</v>
      </c>
      <c r="S19" s="19" t="s">
        <v>272</v>
      </c>
      <c r="T19" s="19" t="s">
        <v>263</v>
      </c>
      <c r="U19" s="20" t="s">
        <v>263</v>
      </c>
      <c r="V19" s="19" t="s">
        <v>127</v>
      </c>
      <c r="W19" s="19" t="s">
        <v>221</v>
      </c>
      <c r="X19" s="35">
        <v>2</v>
      </c>
      <c r="Y19" s="35">
        <v>1</v>
      </c>
      <c r="Z19" s="32"/>
      <c r="AA19" s="22"/>
      <c r="AB19" s="22"/>
      <c r="AC19" s="22"/>
      <c r="AD19" s="22"/>
      <c r="AE19" s="61">
        <f t="shared" si="6"/>
        <v>0</v>
      </c>
      <c r="AF19" s="22"/>
      <c r="AG19" s="40">
        <f t="shared" si="7"/>
        <v>0</v>
      </c>
      <c r="AH19" s="24"/>
      <c r="AI19" s="24"/>
      <c r="AJ19" s="24"/>
      <c r="AK19" s="24"/>
      <c r="AL19" s="23">
        <f t="shared" si="8"/>
        <v>0</v>
      </c>
      <c r="AM19" s="25"/>
      <c r="AN19" s="25"/>
      <c r="AO19" s="25"/>
      <c r="AP19" s="25"/>
      <c r="AQ19" s="25">
        <f t="shared" si="9"/>
        <v>0</v>
      </c>
      <c r="AR19" s="13"/>
      <c r="AS19" s="21"/>
      <c r="AT19" s="21"/>
      <c r="AU19" s="21"/>
      <c r="AV19" s="77"/>
      <c r="AW19" s="21"/>
      <c r="AX19" s="21"/>
      <c r="AY19" s="21"/>
      <c r="AZ19" s="21"/>
      <c r="BA19" s="21"/>
      <c r="BB19" s="21"/>
      <c r="BC19" s="77"/>
      <c r="BD19" s="21"/>
      <c r="BE19" s="21"/>
      <c r="BF19" s="21"/>
      <c r="BG19" s="21"/>
      <c r="BH19" s="21"/>
      <c r="BI19" s="21"/>
      <c r="BJ19" s="77"/>
      <c r="BK19" s="21"/>
      <c r="BL19" s="21"/>
      <c r="BM19" s="21"/>
      <c r="BN19" s="21"/>
      <c r="BO19" s="21"/>
      <c r="BP19" s="21"/>
      <c r="BQ19" s="77"/>
      <c r="BR19" s="21"/>
      <c r="BS19" s="21"/>
      <c r="BT19" s="21"/>
      <c r="BU19" s="21"/>
      <c r="BV19" s="21"/>
      <c r="BW19" s="79">
        <f t="shared" si="11"/>
        <v>0</v>
      </c>
      <c r="BX19" s="58">
        <f t="shared" si="12"/>
        <v>0</v>
      </c>
      <c r="BY19" s="26"/>
      <c r="BZ19" s="27"/>
      <c r="CA19" s="50" t="s">
        <v>344</v>
      </c>
      <c r="CB19" s="50" t="b">
        <f t="shared" si="10"/>
        <v>1</v>
      </c>
      <c r="CC19" s="53" t="s">
        <v>344</v>
      </c>
      <c r="CD19" s="19" t="s">
        <v>676</v>
      </c>
      <c r="CE19" s="19" t="s">
        <v>632</v>
      </c>
      <c r="CF19" s="19" t="s">
        <v>677</v>
      </c>
      <c r="CG19" s="19" t="s">
        <v>678</v>
      </c>
      <c r="CH19" s="19" t="s">
        <v>679</v>
      </c>
      <c r="CI19" s="19" t="s">
        <v>680</v>
      </c>
      <c r="CJ19" s="19" t="s">
        <v>681</v>
      </c>
      <c r="CK19" s="19" t="s">
        <v>682</v>
      </c>
      <c r="CL19" s="19" t="s">
        <v>667</v>
      </c>
      <c r="CM19" s="19" t="s">
        <v>683</v>
      </c>
      <c r="CN19" s="19" t="s">
        <v>127</v>
      </c>
      <c r="CO19" s="19" t="s">
        <v>684</v>
      </c>
      <c r="CP19" s="19" t="s">
        <v>685</v>
      </c>
      <c r="CQ19" s="19"/>
      <c r="CR19" s="19"/>
      <c r="CS19" s="19" t="s">
        <v>686</v>
      </c>
      <c r="CT19" s="19" t="s">
        <v>687</v>
      </c>
      <c r="CU19" s="19" t="s">
        <v>688</v>
      </c>
      <c r="CV19" s="19" t="s">
        <v>689</v>
      </c>
      <c r="CW19" s="19"/>
      <c r="CX19" s="19"/>
      <c r="CY19" s="19"/>
      <c r="CZ19" s="19"/>
      <c r="DA19" s="19"/>
      <c r="DB19" s="19"/>
      <c r="DC19" s="19"/>
      <c r="DD19" s="19"/>
      <c r="DE19" s="19"/>
      <c r="DF19" s="19"/>
    </row>
    <row r="20" spans="1:110" s="7" customFormat="1" x14ac:dyDescent="0.25">
      <c r="A20" s="19" t="s">
        <v>81</v>
      </c>
      <c r="B20" s="19" t="s">
        <v>98</v>
      </c>
      <c r="C20" s="19" t="str">
        <f t="shared" si="5"/>
        <v>87154898South Africa</v>
      </c>
      <c r="D20" s="19">
        <v>87154898</v>
      </c>
      <c r="E20" s="19" t="s">
        <v>344</v>
      </c>
      <c r="F20" s="19" t="s">
        <v>261</v>
      </c>
      <c r="G20" s="20" t="s">
        <v>344</v>
      </c>
      <c r="H20" s="19"/>
      <c r="I20" s="19" t="s">
        <v>230</v>
      </c>
      <c r="J20" s="19" t="s">
        <v>340</v>
      </c>
      <c r="K20" s="19" t="s">
        <v>342</v>
      </c>
      <c r="L20" s="19" t="s">
        <v>233</v>
      </c>
      <c r="M20" s="19" t="s">
        <v>268</v>
      </c>
      <c r="N20" s="19" t="s">
        <v>247</v>
      </c>
      <c r="O20" s="19" t="s">
        <v>275</v>
      </c>
      <c r="P20" s="23" t="s">
        <v>237</v>
      </c>
      <c r="Q20" s="19" t="s">
        <v>343</v>
      </c>
      <c r="R20" s="19">
        <v>800</v>
      </c>
      <c r="S20" s="19" t="s">
        <v>272</v>
      </c>
      <c r="T20" s="19" t="s">
        <v>263</v>
      </c>
      <c r="U20" s="20" t="s">
        <v>263</v>
      </c>
      <c r="V20" s="19" t="s">
        <v>127</v>
      </c>
      <c r="W20" s="19" t="s">
        <v>219</v>
      </c>
      <c r="X20" s="35"/>
      <c r="Y20" s="35"/>
      <c r="Z20" s="32"/>
      <c r="AA20" s="22">
        <v>20</v>
      </c>
      <c r="AB20" s="22"/>
      <c r="AC20" s="22"/>
      <c r="AD20" s="22"/>
      <c r="AE20" s="61">
        <f t="shared" si="6"/>
        <v>20</v>
      </c>
      <c r="AF20" s="22"/>
      <c r="AG20" s="40">
        <f t="shared" si="7"/>
        <v>20</v>
      </c>
      <c r="AH20" s="24">
        <v>10</v>
      </c>
      <c r="AI20" s="24"/>
      <c r="AJ20" s="24"/>
      <c r="AK20" s="24"/>
      <c r="AL20" s="23">
        <f t="shared" si="8"/>
        <v>10</v>
      </c>
      <c r="AM20" s="25"/>
      <c r="AN20" s="25">
        <v>5</v>
      </c>
      <c r="AO20" s="25">
        <v>5</v>
      </c>
      <c r="AP20" s="25"/>
      <c r="AQ20" s="25">
        <f t="shared" si="9"/>
        <v>10</v>
      </c>
      <c r="AR20" s="13">
        <v>10</v>
      </c>
      <c r="AS20" s="83">
        <v>3</v>
      </c>
      <c r="AT20" s="83">
        <v>3</v>
      </c>
      <c r="AU20" s="83">
        <v>4</v>
      </c>
      <c r="AV20" s="77"/>
      <c r="AW20" s="21"/>
      <c r="AX20" s="21"/>
      <c r="AY20" s="21"/>
      <c r="AZ20" s="21"/>
      <c r="BA20" s="21"/>
      <c r="BB20" s="21"/>
      <c r="BC20" s="77"/>
      <c r="BD20" s="21"/>
      <c r="BE20" s="21"/>
      <c r="BF20" s="21">
        <v>2</v>
      </c>
      <c r="BG20" s="21"/>
      <c r="BH20" s="21">
        <v>3</v>
      </c>
      <c r="BI20" s="21"/>
      <c r="BJ20" s="77"/>
      <c r="BK20" s="21">
        <v>1</v>
      </c>
      <c r="BL20" s="21">
        <v>1</v>
      </c>
      <c r="BM20" s="21">
        <v>1</v>
      </c>
      <c r="BN20" s="21">
        <v>1</v>
      </c>
      <c r="BO20" s="21">
        <v>1</v>
      </c>
      <c r="BP20" s="21"/>
      <c r="BQ20" s="77"/>
      <c r="BR20" s="21"/>
      <c r="BS20" s="21"/>
      <c r="BT20" s="21"/>
      <c r="BU20" s="21"/>
      <c r="BV20" s="21"/>
      <c r="BW20" s="79">
        <f t="shared" si="11"/>
        <v>20</v>
      </c>
      <c r="BX20" s="58">
        <f t="shared" si="12"/>
        <v>-10</v>
      </c>
      <c r="BY20" s="26"/>
      <c r="BZ20" s="27"/>
      <c r="CA20" s="50" t="s">
        <v>344</v>
      </c>
      <c r="CB20" s="50" t="b">
        <f t="shared" si="10"/>
        <v>1</v>
      </c>
      <c r="CC20" s="50" t="s">
        <v>344</v>
      </c>
      <c r="CD20" s="19" t="s">
        <v>676</v>
      </c>
      <c r="CE20" s="19" t="s">
        <v>632</v>
      </c>
      <c r="CF20" s="19" t="s">
        <v>677</v>
      </c>
      <c r="CG20" s="19" t="s">
        <v>678</v>
      </c>
      <c r="CH20" s="19" t="s">
        <v>679</v>
      </c>
      <c r="CI20" s="19" t="s">
        <v>680</v>
      </c>
      <c r="CJ20" s="19" t="s">
        <v>681</v>
      </c>
      <c r="CK20" s="19" t="s">
        <v>682</v>
      </c>
      <c r="CL20" s="19" t="s">
        <v>667</v>
      </c>
      <c r="CM20" s="19" t="s">
        <v>683</v>
      </c>
      <c r="CN20" s="19" t="s">
        <v>127</v>
      </c>
      <c r="CO20" s="19" t="s">
        <v>684</v>
      </c>
      <c r="CP20" s="19" t="s">
        <v>685</v>
      </c>
      <c r="CQ20" s="19"/>
      <c r="CR20" s="19"/>
      <c r="CS20" s="19" t="s">
        <v>686</v>
      </c>
      <c r="CT20" s="19" t="s">
        <v>687</v>
      </c>
      <c r="CU20" s="19" t="s">
        <v>688</v>
      </c>
      <c r="CV20" s="19" t="s">
        <v>689</v>
      </c>
      <c r="CW20" s="19"/>
      <c r="CX20" s="19"/>
      <c r="CY20" s="19"/>
      <c r="CZ20" s="19"/>
      <c r="DA20" s="19"/>
      <c r="DB20" s="19"/>
      <c r="DC20" s="19"/>
      <c r="DD20" s="19"/>
      <c r="DE20" s="19"/>
      <c r="DF20" s="19"/>
    </row>
    <row r="21" spans="1:110" s="7" customFormat="1" x14ac:dyDescent="0.25">
      <c r="A21" s="19" t="s">
        <v>81</v>
      </c>
      <c r="B21" s="19" t="s">
        <v>85</v>
      </c>
      <c r="C21" s="19" t="str">
        <f t="shared" si="5"/>
        <v>87154898ZIMBABWE</v>
      </c>
      <c r="D21" s="19">
        <v>87154898</v>
      </c>
      <c r="E21" s="19" t="s">
        <v>344</v>
      </c>
      <c r="F21" s="19" t="s">
        <v>261</v>
      </c>
      <c r="G21" s="20" t="s">
        <v>344</v>
      </c>
      <c r="H21" s="19"/>
      <c r="I21" s="19" t="s">
        <v>230</v>
      </c>
      <c r="J21" s="19" t="s">
        <v>340</v>
      </c>
      <c r="K21" s="19" t="s">
        <v>342</v>
      </c>
      <c r="L21" s="19" t="s">
        <v>233</v>
      </c>
      <c r="M21" s="19" t="s">
        <v>268</v>
      </c>
      <c r="N21" s="19" t="s">
        <v>247</v>
      </c>
      <c r="O21" s="19" t="s">
        <v>275</v>
      </c>
      <c r="P21" s="23" t="s">
        <v>237</v>
      </c>
      <c r="Q21" s="19" t="s">
        <v>343</v>
      </c>
      <c r="R21" s="19">
        <v>800</v>
      </c>
      <c r="S21" s="19" t="s">
        <v>272</v>
      </c>
      <c r="T21" s="19" t="s">
        <v>263</v>
      </c>
      <c r="U21" s="20" t="s">
        <v>263</v>
      </c>
      <c r="V21" s="19" t="s">
        <v>127</v>
      </c>
      <c r="W21" s="19" t="s">
        <v>219</v>
      </c>
      <c r="X21" s="35">
        <v>3</v>
      </c>
      <c r="Y21" s="35">
        <v>15</v>
      </c>
      <c r="Z21" s="32"/>
      <c r="AA21" s="22">
        <v>20</v>
      </c>
      <c r="AB21" s="22"/>
      <c r="AC21" s="22"/>
      <c r="AD21" s="22"/>
      <c r="AE21" s="61">
        <f t="shared" si="6"/>
        <v>20</v>
      </c>
      <c r="AF21" s="22"/>
      <c r="AG21" s="40">
        <f t="shared" si="7"/>
        <v>20</v>
      </c>
      <c r="AH21" s="24"/>
      <c r="AI21" s="24"/>
      <c r="AJ21" s="24"/>
      <c r="AK21" s="24"/>
      <c r="AL21" s="23">
        <f t="shared" si="8"/>
        <v>20</v>
      </c>
      <c r="AM21" s="25"/>
      <c r="AN21" s="25"/>
      <c r="AO21" s="25">
        <v>5</v>
      </c>
      <c r="AP21" s="25"/>
      <c r="AQ21" s="25">
        <f t="shared" si="9"/>
        <v>5</v>
      </c>
      <c r="AR21" s="13"/>
      <c r="AS21" s="21"/>
      <c r="AT21" s="21"/>
      <c r="AU21" s="21"/>
      <c r="AV21" s="77"/>
      <c r="AW21" s="21"/>
      <c r="AX21" s="21"/>
      <c r="AY21" s="21"/>
      <c r="AZ21" s="21"/>
      <c r="BA21" s="21"/>
      <c r="BB21" s="21"/>
      <c r="BC21" s="77"/>
      <c r="BD21" s="21"/>
      <c r="BE21" s="21"/>
      <c r="BF21" s="21"/>
      <c r="BG21" s="21"/>
      <c r="BH21" s="21"/>
      <c r="BI21" s="21"/>
      <c r="BJ21" s="77"/>
      <c r="BK21" s="21">
        <v>1</v>
      </c>
      <c r="BL21" s="21">
        <v>1</v>
      </c>
      <c r="BM21" s="21">
        <v>1</v>
      </c>
      <c r="BN21" s="21">
        <v>1</v>
      </c>
      <c r="BO21" s="21">
        <v>1</v>
      </c>
      <c r="BP21" s="21"/>
      <c r="BQ21" s="77"/>
      <c r="BR21" s="21"/>
      <c r="BS21" s="21"/>
      <c r="BT21" s="21"/>
      <c r="BU21" s="21"/>
      <c r="BV21" s="21"/>
      <c r="BW21" s="79">
        <f t="shared" si="11"/>
        <v>5</v>
      </c>
      <c r="BX21" s="58">
        <f t="shared" si="12"/>
        <v>0</v>
      </c>
      <c r="BY21" s="26" t="s">
        <v>1724</v>
      </c>
      <c r="BZ21" s="27"/>
      <c r="CA21" s="50" t="s">
        <v>344</v>
      </c>
      <c r="CB21" s="50" t="b">
        <f t="shared" si="10"/>
        <v>1</v>
      </c>
      <c r="CC21" s="53" t="s">
        <v>344</v>
      </c>
      <c r="CD21" s="19" t="s">
        <v>676</v>
      </c>
      <c r="CE21" s="19" t="s">
        <v>632</v>
      </c>
      <c r="CF21" s="19" t="s">
        <v>677</v>
      </c>
      <c r="CG21" s="19" t="s">
        <v>678</v>
      </c>
      <c r="CH21" s="19" t="s">
        <v>679</v>
      </c>
      <c r="CI21" s="19" t="s">
        <v>680</v>
      </c>
      <c r="CJ21" s="19" t="s">
        <v>681</v>
      </c>
      <c r="CK21" s="19" t="s">
        <v>682</v>
      </c>
      <c r="CL21" s="19" t="s">
        <v>667</v>
      </c>
      <c r="CM21" s="19" t="s">
        <v>683</v>
      </c>
      <c r="CN21" s="19" t="s">
        <v>127</v>
      </c>
      <c r="CO21" s="19" t="s">
        <v>684</v>
      </c>
      <c r="CP21" s="19" t="s">
        <v>685</v>
      </c>
      <c r="CQ21" s="19"/>
      <c r="CR21" s="19"/>
      <c r="CS21" s="19" t="s">
        <v>686</v>
      </c>
      <c r="CT21" s="19" t="s">
        <v>687</v>
      </c>
      <c r="CU21" s="19" t="s">
        <v>688</v>
      </c>
      <c r="CV21" s="19" t="s">
        <v>689</v>
      </c>
      <c r="CW21" s="19"/>
      <c r="CX21" s="19"/>
      <c r="CY21" s="19"/>
      <c r="CZ21" s="19"/>
      <c r="DA21" s="19"/>
      <c r="DB21" s="19"/>
      <c r="DC21" s="19"/>
      <c r="DD21" s="19"/>
      <c r="DE21" s="19"/>
      <c r="DF21" s="19"/>
    </row>
    <row r="22" spans="1:110" s="7" customFormat="1" x14ac:dyDescent="0.25">
      <c r="A22" s="19" t="s">
        <v>228</v>
      </c>
      <c r="B22" s="19" t="s">
        <v>80</v>
      </c>
      <c r="C22" s="19" t="str">
        <f t="shared" si="5"/>
        <v>96509256India</v>
      </c>
      <c r="D22" s="19">
        <v>96509256</v>
      </c>
      <c r="E22" s="19" t="s">
        <v>479</v>
      </c>
      <c r="F22" s="19" t="s">
        <v>261</v>
      </c>
      <c r="G22" s="20" t="s">
        <v>479</v>
      </c>
      <c r="H22" s="19"/>
      <c r="I22" s="19" t="s">
        <v>230</v>
      </c>
      <c r="J22" s="19" t="s">
        <v>243</v>
      </c>
      <c r="K22" s="19" t="s">
        <v>342</v>
      </c>
      <c r="L22" s="19" t="s">
        <v>233</v>
      </c>
      <c r="M22" s="19" t="s">
        <v>268</v>
      </c>
      <c r="N22" s="19" t="s">
        <v>269</v>
      </c>
      <c r="O22" s="19" t="s">
        <v>275</v>
      </c>
      <c r="P22" s="23" t="s">
        <v>237</v>
      </c>
      <c r="Q22" s="19" t="s">
        <v>343</v>
      </c>
      <c r="R22" s="19">
        <v>800</v>
      </c>
      <c r="S22" s="19" t="s">
        <v>272</v>
      </c>
      <c r="T22" s="19" t="s">
        <v>263</v>
      </c>
      <c r="U22" s="20" t="s">
        <v>263</v>
      </c>
      <c r="V22" s="19" t="s">
        <v>1556</v>
      </c>
      <c r="W22" s="19" t="s">
        <v>219</v>
      </c>
      <c r="X22" s="35">
        <v>4</v>
      </c>
      <c r="Y22" s="35">
        <v>2</v>
      </c>
      <c r="Z22" s="32"/>
      <c r="AA22" s="22">
        <v>2</v>
      </c>
      <c r="AB22" s="22">
        <v>4</v>
      </c>
      <c r="AC22" s="22">
        <v>2</v>
      </c>
      <c r="AD22" s="22">
        <v>2</v>
      </c>
      <c r="AE22" s="61">
        <f t="shared" si="6"/>
        <v>10</v>
      </c>
      <c r="AF22" s="22">
        <v>10</v>
      </c>
      <c r="AG22" s="40">
        <f t="shared" si="7"/>
        <v>20</v>
      </c>
      <c r="AH22" s="24">
        <v>5</v>
      </c>
      <c r="AI22" s="24"/>
      <c r="AJ22" s="24"/>
      <c r="AK22" s="24">
        <v>4</v>
      </c>
      <c r="AL22" s="23">
        <f t="shared" si="8"/>
        <v>19</v>
      </c>
      <c r="AM22" s="25">
        <v>2</v>
      </c>
      <c r="AN22" s="25">
        <v>4</v>
      </c>
      <c r="AO22" s="25">
        <v>2</v>
      </c>
      <c r="AP22" s="25">
        <v>2</v>
      </c>
      <c r="AQ22" s="80">
        <f t="shared" si="9"/>
        <v>10</v>
      </c>
      <c r="AR22" s="13">
        <v>5</v>
      </c>
      <c r="AS22" s="21"/>
      <c r="AT22" s="83">
        <v>2</v>
      </c>
      <c r="AU22" s="83">
        <v>3</v>
      </c>
      <c r="AV22" s="77"/>
      <c r="AW22" s="21">
        <v>2</v>
      </c>
      <c r="AX22" s="21"/>
      <c r="AY22" s="21"/>
      <c r="AZ22" s="21"/>
      <c r="BA22" s="21"/>
      <c r="BB22" s="21"/>
      <c r="BC22" s="77"/>
      <c r="BD22" s="21">
        <v>2</v>
      </c>
      <c r="BE22" s="21">
        <v>2</v>
      </c>
      <c r="BF22" s="21"/>
      <c r="BG22" s="21"/>
      <c r="BH22" s="21">
        <v>2</v>
      </c>
      <c r="BI22" s="21"/>
      <c r="BJ22" s="77"/>
      <c r="BK22" s="21"/>
      <c r="BL22" s="21"/>
      <c r="BM22" s="21"/>
      <c r="BN22" s="21"/>
      <c r="BO22" s="21">
        <v>2</v>
      </c>
      <c r="BP22" s="21"/>
      <c r="BQ22" s="77"/>
      <c r="BR22" s="21"/>
      <c r="BS22" s="21"/>
      <c r="BT22" s="21"/>
      <c r="BU22" s="21"/>
      <c r="BV22" s="21"/>
      <c r="BW22" s="79">
        <f t="shared" si="11"/>
        <v>15</v>
      </c>
      <c r="BX22" s="58">
        <f t="shared" si="12"/>
        <v>-5</v>
      </c>
      <c r="BY22" s="26"/>
      <c r="BZ22" s="27"/>
      <c r="CA22" s="50" t="s">
        <v>479</v>
      </c>
      <c r="CB22" s="50" t="b">
        <f t="shared" si="10"/>
        <v>1</v>
      </c>
      <c r="CC22" s="50" t="s">
        <v>479</v>
      </c>
      <c r="CD22" s="19" t="s">
        <v>704</v>
      </c>
      <c r="CE22" s="19" t="s">
        <v>696</v>
      </c>
      <c r="CF22" s="19" t="s">
        <v>705</v>
      </c>
      <c r="CG22" s="19" t="s">
        <v>706</v>
      </c>
      <c r="CH22" s="19" t="s">
        <v>707</v>
      </c>
      <c r="CI22" s="19" t="s">
        <v>708</v>
      </c>
      <c r="CJ22" s="19" t="s">
        <v>709</v>
      </c>
      <c r="CK22" s="19" t="s">
        <v>710</v>
      </c>
      <c r="CL22" s="19" t="s">
        <v>667</v>
      </c>
      <c r="CM22" s="19" t="s">
        <v>711</v>
      </c>
      <c r="CN22" s="19" t="s">
        <v>712</v>
      </c>
      <c r="CO22" s="19" t="s">
        <v>713</v>
      </c>
      <c r="CP22" s="19" t="s">
        <v>714</v>
      </c>
      <c r="CQ22" s="19"/>
      <c r="CR22" s="19"/>
      <c r="CS22" s="19" t="s">
        <v>715</v>
      </c>
      <c r="CT22" s="19" t="s">
        <v>687</v>
      </c>
      <c r="CU22" s="19" t="s">
        <v>716</v>
      </c>
      <c r="CV22" s="19" t="s">
        <v>717</v>
      </c>
      <c r="CW22" s="19"/>
      <c r="CX22" s="19"/>
      <c r="CY22" s="19"/>
      <c r="CZ22" s="19"/>
      <c r="DA22" s="19"/>
      <c r="DB22" s="19"/>
      <c r="DC22" s="19"/>
      <c r="DD22" s="19"/>
      <c r="DE22" s="19"/>
      <c r="DF22" s="19"/>
    </row>
    <row r="23" spans="1:110" s="7" customFormat="1" x14ac:dyDescent="0.25">
      <c r="A23" s="19" t="s">
        <v>228</v>
      </c>
      <c r="B23" s="19" t="s">
        <v>80</v>
      </c>
      <c r="C23" s="19" t="str">
        <f t="shared" si="5"/>
        <v>96509259India</v>
      </c>
      <c r="D23" s="19">
        <v>96509259</v>
      </c>
      <c r="E23" s="19" t="s">
        <v>1611</v>
      </c>
      <c r="F23" s="19" t="s">
        <v>261</v>
      </c>
      <c r="G23" s="20" t="s">
        <v>1611</v>
      </c>
      <c r="H23" s="19"/>
      <c r="I23" s="19" t="s">
        <v>230</v>
      </c>
      <c r="J23" s="19" t="s">
        <v>231</v>
      </c>
      <c r="K23" s="19" t="s">
        <v>342</v>
      </c>
      <c r="L23" s="19" t="s">
        <v>233</v>
      </c>
      <c r="M23" s="19" t="s">
        <v>268</v>
      </c>
      <c r="N23" s="19" t="s">
        <v>247</v>
      </c>
      <c r="O23" s="19" t="s">
        <v>275</v>
      </c>
      <c r="P23" s="23" t="s">
        <v>237</v>
      </c>
      <c r="Q23" s="19" t="s">
        <v>343</v>
      </c>
      <c r="R23" s="19">
        <v>800</v>
      </c>
      <c r="S23" s="19" t="s">
        <v>272</v>
      </c>
      <c r="T23" s="19" t="s">
        <v>263</v>
      </c>
      <c r="U23" s="20" t="s">
        <v>263</v>
      </c>
      <c r="V23" s="19" t="s">
        <v>1562</v>
      </c>
      <c r="W23" s="19" t="s">
        <v>219</v>
      </c>
      <c r="X23" s="35">
        <v>1</v>
      </c>
      <c r="Y23" s="35">
        <v>1</v>
      </c>
      <c r="Z23" s="32"/>
      <c r="AA23" s="22"/>
      <c r="AB23" s="22"/>
      <c r="AC23" s="22"/>
      <c r="AD23" s="22"/>
      <c r="AE23" s="61">
        <f t="shared" si="6"/>
        <v>0</v>
      </c>
      <c r="AF23" s="22"/>
      <c r="AG23" s="40">
        <f t="shared" si="7"/>
        <v>0</v>
      </c>
      <c r="AH23" s="24"/>
      <c r="AI23" s="24"/>
      <c r="AJ23" s="24"/>
      <c r="AK23" s="24">
        <v>1</v>
      </c>
      <c r="AL23" s="23">
        <f t="shared" si="8"/>
        <v>1</v>
      </c>
      <c r="AM23" s="25"/>
      <c r="AN23" s="25"/>
      <c r="AO23" s="25">
        <v>1</v>
      </c>
      <c r="AP23" s="25"/>
      <c r="AQ23" s="25">
        <f t="shared" si="9"/>
        <v>1</v>
      </c>
      <c r="AR23" s="13"/>
      <c r="AS23" s="21"/>
      <c r="AT23" s="21"/>
      <c r="AU23" s="21"/>
      <c r="AV23" s="77"/>
      <c r="AW23" s="21"/>
      <c r="AX23" s="21"/>
      <c r="AY23" s="21"/>
      <c r="AZ23" s="21"/>
      <c r="BA23" s="21"/>
      <c r="BB23" s="21"/>
      <c r="BC23" s="77"/>
      <c r="BD23" s="21"/>
      <c r="BE23" s="21"/>
      <c r="BF23" s="21"/>
      <c r="BG23" s="21"/>
      <c r="BH23" s="21"/>
      <c r="BI23" s="21"/>
      <c r="BJ23" s="77"/>
      <c r="BK23" s="21"/>
      <c r="BL23" s="21"/>
      <c r="BM23" s="21"/>
      <c r="BN23" s="21"/>
      <c r="BO23" s="21"/>
      <c r="BP23" s="21"/>
      <c r="BQ23" s="77"/>
      <c r="BR23" s="21"/>
      <c r="BS23" s="21"/>
      <c r="BT23" s="21"/>
      <c r="BU23" s="21"/>
      <c r="BV23" s="21"/>
      <c r="BW23" s="79">
        <f t="shared" si="11"/>
        <v>0</v>
      </c>
      <c r="BX23" s="58">
        <f t="shared" si="12"/>
        <v>1</v>
      </c>
      <c r="BY23" s="26"/>
      <c r="BZ23" s="27"/>
      <c r="CA23" s="50" t="s">
        <v>1611</v>
      </c>
      <c r="CB23" s="50" t="b">
        <f t="shared" si="10"/>
        <v>1</v>
      </c>
      <c r="CC23" s="53" t="s">
        <v>1611</v>
      </c>
      <c r="CD23" s="19" t="s">
        <v>1635</v>
      </c>
      <c r="CE23" s="19" t="s">
        <v>696</v>
      </c>
      <c r="CF23" s="19" t="s">
        <v>697</v>
      </c>
      <c r="CG23" s="19" t="s">
        <v>698</v>
      </c>
      <c r="CH23" s="19" t="s">
        <v>699</v>
      </c>
      <c r="CI23" s="19" t="s">
        <v>691</v>
      </c>
      <c r="CJ23" s="19" t="s">
        <v>692</v>
      </c>
      <c r="CK23" s="19" t="s">
        <v>720</v>
      </c>
      <c r="CL23" s="19" t="s">
        <v>721</v>
      </c>
      <c r="CM23" s="19" t="s">
        <v>1636</v>
      </c>
      <c r="CN23" s="19" t="s">
        <v>1637</v>
      </c>
      <c r="CO23" s="19" t="s">
        <v>1638</v>
      </c>
      <c r="CP23" s="19" t="s">
        <v>1639</v>
      </c>
      <c r="CQ23" s="19"/>
      <c r="CR23" s="19"/>
      <c r="CS23" s="19" t="s">
        <v>686</v>
      </c>
      <c r="CT23" s="19" t="s">
        <v>687</v>
      </c>
      <c r="CU23" s="19" t="s">
        <v>702</v>
      </c>
      <c r="CV23" s="19" t="s">
        <v>703</v>
      </c>
      <c r="CW23" s="19"/>
      <c r="CX23" s="19"/>
      <c r="CY23" s="19"/>
      <c r="CZ23" s="19"/>
      <c r="DA23" s="19"/>
      <c r="DB23" s="19"/>
      <c r="DC23" s="19"/>
      <c r="DD23" s="19"/>
      <c r="DE23" s="19"/>
      <c r="DF23" s="19"/>
    </row>
    <row r="24" spans="1:110" s="7" customFormat="1" x14ac:dyDescent="0.25">
      <c r="A24" s="19" t="s">
        <v>228</v>
      </c>
      <c r="B24" s="19" t="s">
        <v>80</v>
      </c>
      <c r="C24" s="19" t="str">
        <f t="shared" si="5"/>
        <v>96559243India</v>
      </c>
      <c r="D24" s="19">
        <v>96559243</v>
      </c>
      <c r="E24" s="19" t="s">
        <v>426</v>
      </c>
      <c r="F24" s="19" t="s">
        <v>261</v>
      </c>
      <c r="G24" s="20" t="s">
        <v>426</v>
      </c>
      <c r="H24" s="19"/>
      <c r="I24" s="19" t="s">
        <v>230</v>
      </c>
      <c r="J24" s="19" t="s">
        <v>231</v>
      </c>
      <c r="K24" s="19" t="s">
        <v>427</v>
      </c>
      <c r="L24" s="19" t="s">
        <v>279</v>
      </c>
      <c r="M24" s="19" t="s">
        <v>268</v>
      </c>
      <c r="N24" s="19" t="s">
        <v>247</v>
      </c>
      <c r="O24" s="19" t="s">
        <v>275</v>
      </c>
      <c r="P24" s="23" t="s">
        <v>237</v>
      </c>
      <c r="Q24" s="19" t="s">
        <v>428</v>
      </c>
      <c r="R24" s="19">
        <v>900</v>
      </c>
      <c r="S24" s="19" t="s">
        <v>272</v>
      </c>
      <c r="T24" s="19" t="s">
        <v>263</v>
      </c>
      <c r="U24" s="20" t="s">
        <v>263</v>
      </c>
      <c r="V24" s="19" t="s">
        <v>161</v>
      </c>
      <c r="W24" s="19" t="s">
        <v>221</v>
      </c>
      <c r="X24" s="35">
        <v>9</v>
      </c>
      <c r="Y24" s="35">
        <v>9</v>
      </c>
      <c r="Z24" s="32"/>
      <c r="AA24" s="22"/>
      <c r="AB24" s="22">
        <v>2</v>
      </c>
      <c r="AC24" s="22">
        <v>7</v>
      </c>
      <c r="AD24" s="22"/>
      <c r="AE24" s="61">
        <f t="shared" si="6"/>
        <v>9</v>
      </c>
      <c r="AF24" s="22"/>
      <c r="AG24" s="40">
        <f t="shared" si="7"/>
        <v>9</v>
      </c>
      <c r="AH24" s="24">
        <v>7</v>
      </c>
      <c r="AI24" s="24"/>
      <c r="AJ24" s="24"/>
      <c r="AK24" s="24">
        <v>9</v>
      </c>
      <c r="AL24" s="23">
        <f t="shared" si="8"/>
        <v>11</v>
      </c>
      <c r="AM24" s="25"/>
      <c r="AN24" s="25">
        <v>2</v>
      </c>
      <c r="AO24" s="25">
        <v>7</v>
      </c>
      <c r="AP24" s="25">
        <v>2</v>
      </c>
      <c r="AQ24" s="25">
        <f t="shared" si="9"/>
        <v>11</v>
      </c>
      <c r="AR24" s="13">
        <v>7</v>
      </c>
      <c r="AS24" s="21"/>
      <c r="AT24" s="83">
        <v>3</v>
      </c>
      <c r="AU24" s="83">
        <v>4</v>
      </c>
      <c r="AV24" s="77"/>
      <c r="AW24" s="21"/>
      <c r="AX24" s="21"/>
      <c r="AY24" s="21"/>
      <c r="AZ24" s="21"/>
      <c r="BA24" s="21">
        <v>2</v>
      </c>
      <c r="BB24" s="21"/>
      <c r="BC24" s="77"/>
      <c r="BD24" s="21"/>
      <c r="BE24" s="21"/>
      <c r="BF24" s="21"/>
      <c r="BG24" s="21"/>
      <c r="BH24" s="21"/>
      <c r="BI24" s="21"/>
      <c r="BJ24" s="77"/>
      <c r="BK24" s="21"/>
      <c r="BL24" s="21"/>
      <c r="BM24" s="21"/>
      <c r="BN24" s="21"/>
      <c r="BO24" s="21"/>
      <c r="BP24" s="21"/>
      <c r="BQ24" s="77"/>
      <c r="BR24" s="21"/>
      <c r="BS24" s="21"/>
      <c r="BT24" s="21"/>
      <c r="BU24" s="21"/>
      <c r="BV24" s="21"/>
      <c r="BW24" s="79">
        <f t="shared" si="11"/>
        <v>9</v>
      </c>
      <c r="BX24" s="58">
        <f t="shared" si="12"/>
        <v>2</v>
      </c>
      <c r="BY24" s="26"/>
      <c r="BZ24" s="27"/>
      <c r="CA24" s="50" t="s">
        <v>426</v>
      </c>
      <c r="CB24" s="50" t="b">
        <f t="shared" si="10"/>
        <v>1</v>
      </c>
      <c r="CC24" s="53" t="s">
        <v>426</v>
      </c>
      <c r="CD24" s="19" t="s">
        <v>724</v>
      </c>
      <c r="CE24" s="19" t="s">
        <v>696</v>
      </c>
      <c r="CF24" s="19" t="s">
        <v>697</v>
      </c>
      <c r="CG24" s="19" t="s">
        <v>698</v>
      </c>
      <c r="CH24" s="19" t="s">
        <v>699</v>
      </c>
      <c r="CI24" s="19" t="s">
        <v>691</v>
      </c>
      <c r="CJ24" s="19" t="s">
        <v>692</v>
      </c>
      <c r="CK24" s="19" t="s">
        <v>700</v>
      </c>
      <c r="CL24" s="19" t="s">
        <v>701</v>
      </c>
      <c r="CM24" s="19" t="s">
        <v>725</v>
      </c>
      <c r="CN24" s="19" t="s">
        <v>726</v>
      </c>
      <c r="CO24" s="19" t="s">
        <v>727</v>
      </c>
      <c r="CP24" s="19" t="s">
        <v>728</v>
      </c>
      <c r="CQ24" s="19"/>
      <c r="CR24" s="19"/>
      <c r="CS24" s="19" t="s">
        <v>686</v>
      </c>
      <c r="CT24" s="19" t="s">
        <v>687</v>
      </c>
      <c r="CU24" s="19" t="s">
        <v>702</v>
      </c>
      <c r="CV24" s="19" t="s">
        <v>703</v>
      </c>
      <c r="CW24" s="19"/>
      <c r="CX24" s="19"/>
      <c r="CY24" s="19"/>
      <c r="CZ24" s="19"/>
      <c r="DA24" s="19"/>
      <c r="DB24" s="19"/>
      <c r="DC24" s="19"/>
      <c r="DD24" s="19"/>
      <c r="DE24" s="19"/>
      <c r="DF24" s="19"/>
    </row>
    <row r="25" spans="1:110" s="7" customFormat="1" x14ac:dyDescent="0.25">
      <c r="A25" s="19" t="s">
        <v>228</v>
      </c>
      <c r="B25" s="19" t="s">
        <v>80</v>
      </c>
      <c r="C25" s="19" t="str">
        <f t="shared" si="5"/>
        <v>96551089India</v>
      </c>
      <c r="D25" s="19">
        <v>96551089</v>
      </c>
      <c r="E25" s="19" t="s">
        <v>455</v>
      </c>
      <c r="F25" s="19" t="s">
        <v>261</v>
      </c>
      <c r="G25" s="20" t="s">
        <v>455</v>
      </c>
      <c r="H25" s="19"/>
      <c r="I25" s="19" t="s">
        <v>230</v>
      </c>
      <c r="J25" s="19" t="s">
        <v>231</v>
      </c>
      <c r="K25" s="19" t="s">
        <v>427</v>
      </c>
      <c r="L25" s="19" t="s">
        <v>279</v>
      </c>
      <c r="M25" s="19" t="s">
        <v>268</v>
      </c>
      <c r="N25" s="19" t="s">
        <v>269</v>
      </c>
      <c r="O25" s="19" t="s">
        <v>275</v>
      </c>
      <c r="P25" s="23" t="s">
        <v>237</v>
      </c>
      <c r="Q25" s="19" t="s">
        <v>428</v>
      </c>
      <c r="R25" s="19">
        <v>900</v>
      </c>
      <c r="S25" s="19" t="s">
        <v>272</v>
      </c>
      <c r="T25" s="19" t="s">
        <v>263</v>
      </c>
      <c r="U25" s="20" t="s">
        <v>263</v>
      </c>
      <c r="V25" s="19" t="s">
        <v>1601</v>
      </c>
      <c r="W25" s="19" t="s">
        <v>221</v>
      </c>
      <c r="X25" s="35">
        <v>19</v>
      </c>
      <c r="Y25" s="35">
        <v>17</v>
      </c>
      <c r="Z25" s="32"/>
      <c r="AA25" s="22">
        <v>2</v>
      </c>
      <c r="AB25" s="22"/>
      <c r="AC25" s="22">
        <v>2</v>
      </c>
      <c r="AD25" s="22">
        <v>13</v>
      </c>
      <c r="AE25" s="61">
        <f t="shared" si="6"/>
        <v>17</v>
      </c>
      <c r="AF25" s="22">
        <v>20</v>
      </c>
      <c r="AG25" s="40">
        <f t="shared" si="7"/>
        <v>37</v>
      </c>
      <c r="AH25" s="24">
        <v>29</v>
      </c>
      <c r="AI25" s="24"/>
      <c r="AJ25" s="24"/>
      <c r="AK25" s="24"/>
      <c r="AL25" s="23">
        <f t="shared" si="8"/>
        <v>8</v>
      </c>
      <c r="AM25" s="25"/>
      <c r="AN25" s="25"/>
      <c r="AO25" s="25">
        <v>2</v>
      </c>
      <c r="AP25" s="25">
        <v>6</v>
      </c>
      <c r="AQ25" s="25">
        <f t="shared" si="9"/>
        <v>8</v>
      </c>
      <c r="AR25" s="13">
        <v>29</v>
      </c>
      <c r="AS25" s="83">
        <v>9</v>
      </c>
      <c r="AT25" s="83">
        <v>10</v>
      </c>
      <c r="AU25" s="83">
        <v>10</v>
      </c>
      <c r="AV25" s="77"/>
      <c r="AW25" s="21"/>
      <c r="AX25" s="21"/>
      <c r="AY25" s="21"/>
      <c r="AZ25" s="21"/>
      <c r="BA25" s="21"/>
      <c r="BB25" s="21"/>
      <c r="BC25" s="77"/>
      <c r="BD25" s="21"/>
      <c r="BE25" s="21"/>
      <c r="BF25" s="21"/>
      <c r="BG25" s="21"/>
      <c r="BH25" s="21"/>
      <c r="BI25" s="21"/>
      <c r="BJ25" s="77"/>
      <c r="BK25" s="21"/>
      <c r="BL25" s="21"/>
      <c r="BM25" s="21"/>
      <c r="BN25" s="21"/>
      <c r="BO25" s="21"/>
      <c r="BP25" s="21"/>
      <c r="BQ25" s="77"/>
      <c r="BR25" s="21"/>
      <c r="BS25" s="21"/>
      <c r="BT25" s="21"/>
      <c r="BU25" s="21"/>
      <c r="BV25" s="21"/>
      <c r="BW25" s="79">
        <f t="shared" si="11"/>
        <v>29</v>
      </c>
      <c r="BX25" s="58">
        <f t="shared" si="12"/>
        <v>-21</v>
      </c>
      <c r="BY25" s="26" t="s">
        <v>1725</v>
      </c>
      <c r="BZ25" s="27"/>
      <c r="CA25" s="50" t="s">
        <v>455</v>
      </c>
      <c r="CB25" s="50" t="b">
        <f t="shared" si="10"/>
        <v>1</v>
      </c>
      <c r="CC25" s="52" t="s">
        <v>455</v>
      </c>
      <c r="CD25" s="19" t="s">
        <v>735</v>
      </c>
      <c r="CE25" s="19" t="s">
        <v>696</v>
      </c>
      <c r="CF25" s="19" t="s">
        <v>697</v>
      </c>
      <c r="CG25" s="19" t="s">
        <v>730</v>
      </c>
      <c r="CH25" s="19" t="s">
        <v>690</v>
      </c>
      <c r="CI25" s="19" t="s">
        <v>691</v>
      </c>
      <c r="CJ25" s="19" t="s">
        <v>692</v>
      </c>
      <c r="CK25" s="19" t="s">
        <v>695</v>
      </c>
      <c r="CL25" s="19" t="s">
        <v>694</v>
      </c>
      <c r="CM25" s="19" t="s">
        <v>736</v>
      </c>
      <c r="CN25" s="19" t="s">
        <v>726</v>
      </c>
      <c r="CO25" s="19" t="s">
        <v>731</v>
      </c>
      <c r="CP25" s="19" t="s">
        <v>732</v>
      </c>
      <c r="CQ25" s="19"/>
      <c r="CR25" s="19"/>
      <c r="CS25" s="19" t="s">
        <v>686</v>
      </c>
      <c r="CT25" s="19" t="s">
        <v>687</v>
      </c>
      <c r="CU25" s="19" t="s">
        <v>733</v>
      </c>
      <c r="CV25" s="19" t="s">
        <v>734</v>
      </c>
      <c r="CW25" s="19"/>
      <c r="CX25" s="19"/>
      <c r="CY25" s="19"/>
      <c r="CZ25" s="19"/>
      <c r="DA25" s="19"/>
      <c r="DB25" s="19"/>
      <c r="DC25" s="19"/>
      <c r="DD25" s="19"/>
      <c r="DE25" s="19"/>
      <c r="DF25" s="19"/>
    </row>
    <row r="26" spans="1:110" s="7" customFormat="1" x14ac:dyDescent="0.25">
      <c r="A26" s="19" t="s">
        <v>228</v>
      </c>
      <c r="B26" s="19" t="s">
        <v>80</v>
      </c>
      <c r="C26" s="19" t="str">
        <f t="shared" si="5"/>
        <v>96559470India</v>
      </c>
      <c r="D26" s="19">
        <v>96559470</v>
      </c>
      <c r="E26" s="19" t="s">
        <v>463</v>
      </c>
      <c r="F26" s="19" t="s">
        <v>261</v>
      </c>
      <c r="G26" s="20" t="s">
        <v>463</v>
      </c>
      <c r="H26" s="19"/>
      <c r="I26" s="19" t="s">
        <v>230</v>
      </c>
      <c r="J26" s="19" t="s">
        <v>231</v>
      </c>
      <c r="K26" s="19" t="s">
        <v>427</v>
      </c>
      <c r="L26" s="19" t="s">
        <v>279</v>
      </c>
      <c r="M26" s="19" t="s">
        <v>268</v>
      </c>
      <c r="N26" s="19" t="s">
        <v>269</v>
      </c>
      <c r="O26" s="19" t="s">
        <v>275</v>
      </c>
      <c r="P26" s="23" t="s">
        <v>237</v>
      </c>
      <c r="Q26" s="19" t="s">
        <v>428</v>
      </c>
      <c r="R26" s="19">
        <v>900</v>
      </c>
      <c r="S26" s="19" t="s">
        <v>272</v>
      </c>
      <c r="T26" s="19" t="s">
        <v>263</v>
      </c>
      <c r="U26" s="20" t="s">
        <v>263</v>
      </c>
      <c r="V26" s="19" t="s">
        <v>1604</v>
      </c>
      <c r="W26" s="19" t="s">
        <v>219</v>
      </c>
      <c r="X26" s="35"/>
      <c r="Y26" s="35"/>
      <c r="Z26" s="32"/>
      <c r="AA26" s="22"/>
      <c r="AB26" s="22"/>
      <c r="AC26" s="22"/>
      <c r="AD26" s="22"/>
      <c r="AE26" s="61">
        <f t="shared" si="6"/>
        <v>0</v>
      </c>
      <c r="AF26" s="22">
        <v>2</v>
      </c>
      <c r="AG26" s="40">
        <f t="shared" si="7"/>
        <v>2</v>
      </c>
      <c r="AH26" s="24"/>
      <c r="AI26" s="24"/>
      <c r="AJ26" s="24"/>
      <c r="AK26" s="24"/>
      <c r="AL26" s="23">
        <f t="shared" si="8"/>
        <v>2</v>
      </c>
      <c r="AM26" s="25"/>
      <c r="AN26" s="25"/>
      <c r="AO26" s="25"/>
      <c r="AP26" s="25">
        <v>2</v>
      </c>
      <c r="AQ26" s="25">
        <f t="shared" si="9"/>
        <v>2</v>
      </c>
      <c r="AR26" s="13"/>
      <c r="AS26" s="21"/>
      <c r="AT26" s="21"/>
      <c r="AU26" s="21"/>
      <c r="AV26" s="77"/>
      <c r="AW26" s="21"/>
      <c r="AX26" s="21"/>
      <c r="AY26" s="21"/>
      <c r="AZ26" s="21"/>
      <c r="BA26" s="21"/>
      <c r="BB26" s="21"/>
      <c r="BC26" s="77"/>
      <c r="BD26" s="21"/>
      <c r="BE26" s="21"/>
      <c r="BF26" s="21"/>
      <c r="BG26" s="21"/>
      <c r="BH26" s="21"/>
      <c r="BI26" s="21"/>
      <c r="BJ26" s="77"/>
      <c r="BK26" s="21"/>
      <c r="BL26" s="21"/>
      <c r="BM26" s="21"/>
      <c r="BN26" s="21"/>
      <c r="BO26" s="21"/>
      <c r="BP26" s="21"/>
      <c r="BQ26" s="77"/>
      <c r="BR26" s="21"/>
      <c r="BS26" s="21"/>
      <c r="BT26" s="21"/>
      <c r="BU26" s="21"/>
      <c r="BV26" s="21"/>
      <c r="BW26" s="79">
        <f t="shared" si="11"/>
        <v>0</v>
      </c>
      <c r="BX26" s="58">
        <f t="shared" si="12"/>
        <v>2</v>
      </c>
      <c r="BY26" s="26" t="s">
        <v>1725</v>
      </c>
      <c r="BZ26" s="27"/>
      <c r="CA26" s="50" t="s">
        <v>463</v>
      </c>
      <c r="CB26" s="50" t="b">
        <f t="shared" si="10"/>
        <v>1</v>
      </c>
      <c r="CC26" s="51" t="s">
        <v>463</v>
      </c>
      <c r="CD26" s="19" t="s">
        <v>737</v>
      </c>
      <c r="CE26" s="19" t="s">
        <v>696</v>
      </c>
      <c r="CF26" s="19" t="s">
        <v>697</v>
      </c>
      <c r="CG26" s="19" t="s">
        <v>738</v>
      </c>
      <c r="CH26" s="19" t="s">
        <v>690</v>
      </c>
      <c r="CI26" s="19" t="s">
        <v>691</v>
      </c>
      <c r="CJ26" s="19" t="s">
        <v>692</v>
      </c>
      <c r="CK26" s="19" t="s">
        <v>693</v>
      </c>
      <c r="CL26" s="19" t="s">
        <v>694</v>
      </c>
      <c r="CM26" s="19" t="s">
        <v>739</v>
      </c>
      <c r="CN26" s="19" t="s">
        <v>740</v>
      </c>
      <c r="CO26" s="19" t="s">
        <v>731</v>
      </c>
      <c r="CP26" s="19" t="s">
        <v>732</v>
      </c>
      <c r="CQ26" s="19"/>
      <c r="CR26" s="19"/>
      <c r="CS26" s="19" t="s">
        <v>686</v>
      </c>
      <c r="CT26" s="19" t="s">
        <v>687</v>
      </c>
      <c r="CU26" s="19" t="s">
        <v>741</v>
      </c>
      <c r="CV26" s="19" t="s">
        <v>742</v>
      </c>
      <c r="CW26" s="19"/>
      <c r="CX26" s="19"/>
      <c r="CY26" s="19"/>
      <c r="CZ26" s="19"/>
      <c r="DA26" s="19"/>
      <c r="DB26" s="19"/>
      <c r="DC26" s="19"/>
      <c r="DD26" s="19"/>
      <c r="DE26" s="19"/>
      <c r="DF26" s="19"/>
    </row>
    <row r="27" spans="1:110" s="7" customFormat="1" x14ac:dyDescent="0.25">
      <c r="A27" s="19" t="s">
        <v>228</v>
      </c>
      <c r="B27" s="19" t="s">
        <v>80</v>
      </c>
      <c r="C27" s="19" t="str">
        <f t="shared" si="5"/>
        <v>96559257India</v>
      </c>
      <c r="D27" s="19">
        <v>96559257</v>
      </c>
      <c r="E27" s="19" t="s">
        <v>464</v>
      </c>
      <c r="F27" s="19" t="s">
        <v>261</v>
      </c>
      <c r="G27" s="20" t="s">
        <v>464</v>
      </c>
      <c r="H27" s="19"/>
      <c r="I27" s="19" t="s">
        <v>230</v>
      </c>
      <c r="J27" s="19" t="s">
        <v>243</v>
      </c>
      <c r="K27" s="19" t="s">
        <v>427</v>
      </c>
      <c r="L27" s="19" t="s">
        <v>279</v>
      </c>
      <c r="M27" s="19" t="s">
        <v>268</v>
      </c>
      <c r="N27" s="19" t="s">
        <v>247</v>
      </c>
      <c r="O27" s="19" t="s">
        <v>275</v>
      </c>
      <c r="P27" s="23" t="s">
        <v>237</v>
      </c>
      <c r="Q27" s="19" t="s">
        <v>428</v>
      </c>
      <c r="R27" s="19">
        <v>900</v>
      </c>
      <c r="S27" s="19" t="s">
        <v>272</v>
      </c>
      <c r="T27" s="19" t="s">
        <v>263</v>
      </c>
      <c r="U27" s="20" t="s">
        <v>263</v>
      </c>
      <c r="V27" s="19" t="s">
        <v>186</v>
      </c>
      <c r="W27" s="19" t="s">
        <v>219</v>
      </c>
      <c r="X27" s="35">
        <v>2</v>
      </c>
      <c r="Y27" s="35">
        <v>2</v>
      </c>
      <c r="Z27" s="32"/>
      <c r="AA27" s="22"/>
      <c r="AB27" s="22">
        <v>5</v>
      </c>
      <c r="AC27" s="22"/>
      <c r="AD27" s="22"/>
      <c r="AE27" s="61">
        <f t="shared" ref="AE27:AE47" si="13">SUM(AA27:AD27)</f>
        <v>5</v>
      </c>
      <c r="AF27" s="22"/>
      <c r="AG27" s="40">
        <f t="shared" ref="AG27:AG47" si="14">AF27+AE27</f>
        <v>5</v>
      </c>
      <c r="AH27" s="24"/>
      <c r="AI27" s="24"/>
      <c r="AJ27" s="24"/>
      <c r="AK27" s="24"/>
      <c r="AL27" s="23">
        <f t="shared" ref="AL27:AL46" si="15">AG27-AH27-AI27-AJ27+AK27</f>
        <v>5</v>
      </c>
      <c r="AM27" s="25"/>
      <c r="AN27" s="25">
        <v>5</v>
      </c>
      <c r="AO27" s="25"/>
      <c r="AP27" s="25"/>
      <c r="AQ27" s="80">
        <f t="shared" si="9"/>
        <v>5</v>
      </c>
      <c r="AR27" s="13"/>
      <c r="AS27" s="21"/>
      <c r="AT27" s="21"/>
      <c r="AU27" s="21"/>
      <c r="AV27" s="77"/>
      <c r="AW27" s="21"/>
      <c r="AX27" s="21"/>
      <c r="AY27" s="21"/>
      <c r="AZ27" s="21"/>
      <c r="BA27" s="21"/>
      <c r="BB27" s="21"/>
      <c r="BC27" s="77"/>
      <c r="BD27" s="21">
        <v>2</v>
      </c>
      <c r="BE27" s="21">
        <v>3</v>
      </c>
      <c r="BF27" s="21"/>
      <c r="BG27" s="21"/>
      <c r="BH27" s="21"/>
      <c r="BI27" s="21"/>
      <c r="BJ27" s="77"/>
      <c r="BK27" s="21"/>
      <c r="BL27" s="21"/>
      <c r="BM27" s="21"/>
      <c r="BN27" s="21"/>
      <c r="BO27" s="21"/>
      <c r="BP27" s="21"/>
      <c r="BQ27" s="77"/>
      <c r="BR27" s="21"/>
      <c r="BS27" s="21"/>
      <c r="BT27" s="21"/>
      <c r="BU27" s="21"/>
      <c r="BV27" s="21"/>
      <c r="BW27" s="79">
        <f t="shared" si="11"/>
        <v>5</v>
      </c>
      <c r="BX27" s="58">
        <f t="shared" si="12"/>
        <v>0</v>
      </c>
      <c r="BY27" s="26"/>
      <c r="BZ27" s="27"/>
      <c r="CA27" s="50" t="s">
        <v>464</v>
      </c>
      <c r="CB27" s="50" t="b">
        <f t="shared" si="10"/>
        <v>1</v>
      </c>
      <c r="CC27" s="51" t="s">
        <v>464</v>
      </c>
      <c r="CD27" s="19" t="s">
        <v>743</v>
      </c>
      <c r="CE27" s="19" t="s">
        <v>696</v>
      </c>
      <c r="CF27" s="19" t="s">
        <v>705</v>
      </c>
      <c r="CG27" s="19" t="s">
        <v>706</v>
      </c>
      <c r="CH27" s="19" t="s">
        <v>707</v>
      </c>
      <c r="CI27" s="19" t="s">
        <v>708</v>
      </c>
      <c r="CJ27" s="19" t="s">
        <v>709</v>
      </c>
      <c r="CK27" s="19" t="s">
        <v>710</v>
      </c>
      <c r="CL27" s="19" t="s">
        <v>667</v>
      </c>
      <c r="CM27" s="19" t="s">
        <v>744</v>
      </c>
      <c r="CN27" s="19" t="s">
        <v>745</v>
      </c>
      <c r="CO27" s="19" t="s">
        <v>713</v>
      </c>
      <c r="CP27" s="19" t="s">
        <v>714</v>
      </c>
      <c r="CQ27" s="19"/>
      <c r="CR27" s="19"/>
      <c r="CS27" s="19" t="s">
        <v>715</v>
      </c>
      <c r="CT27" s="19" t="s">
        <v>687</v>
      </c>
      <c r="CU27" s="19" t="s">
        <v>716</v>
      </c>
      <c r="CV27" s="19" t="s">
        <v>717</v>
      </c>
      <c r="CW27" s="19"/>
      <c r="CX27" s="19"/>
      <c r="CY27" s="19"/>
      <c r="CZ27" s="19"/>
      <c r="DA27" s="19"/>
      <c r="DB27" s="19"/>
      <c r="DC27" s="19"/>
      <c r="DD27" s="19"/>
      <c r="DE27" s="19"/>
      <c r="DF27" s="19"/>
    </row>
    <row r="28" spans="1:110" s="7" customFormat="1" x14ac:dyDescent="0.25">
      <c r="A28" s="19" t="s">
        <v>228</v>
      </c>
      <c r="B28" s="19" t="s">
        <v>80</v>
      </c>
      <c r="C28" s="19" t="str">
        <f t="shared" ref="C28:C47" si="16">D28&amp;B28</f>
        <v>96559258India</v>
      </c>
      <c r="D28" s="19">
        <v>96559258</v>
      </c>
      <c r="E28" s="19" t="s">
        <v>464</v>
      </c>
      <c r="F28" s="19" t="s">
        <v>261</v>
      </c>
      <c r="G28" s="20" t="s">
        <v>464</v>
      </c>
      <c r="H28" s="19"/>
      <c r="I28" s="19" t="s">
        <v>230</v>
      </c>
      <c r="J28" s="19" t="s">
        <v>243</v>
      </c>
      <c r="K28" s="19" t="s">
        <v>427</v>
      </c>
      <c r="L28" s="19" t="s">
        <v>279</v>
      </c>
      <c r="M28" s="19" t="s">
        <v>268</v>
      </c>
      <c r="N28" s="19" t="s">
        <v>247</v>
      </c>
      <c r="O28" s="19" t="s">
        <v>275</v>
      </c>
      <c r="P28" s="23" t="s">
        <v>237</v>
      </c>
      <c r="Q28" s="19" t="s">
        <v>428</v>
      </c>
      <c r="R28" s="19">
        <v>900</v>
      </c>
      <c r="S28" s="19" t="s">
        <v>272</v>
      </c>
      <c r="T28" s="19" t="s">
        <v>263</v>
      </c>
      <c r="U28" s="20" t="s">
        <v>263</v>
      </c>
      <c r="V28" s="19" t="s">
        <v>189</v>
      </c>
      <c r="W28" s="19" t="s">
        <v>221</v>
      </c>
      <c r="X28" s="35">
        <v>30</v>
      </c>
      <c r="Y28" s="35">
        <v>30</v>
      </c>
      <c r="Z28" s="32"/>
      <c r="AA28" s="22">
        <v>7</v>
      </c>
      <c r="AB28" s="22">
        <v>15</v>
      </c>
      <c r="AC28" s="22">
        <v>23</v>
      </c>
      <c r="AD28" s="22">
        <v>10</v>
      </c>
      <c r="AE28" s="61">
        <f t="shared" si="13"/>
        <v>55</v>
      </c>
      <c r="AF28" s="22">
        <v>35</v>
      </c>
      <c r="AG28" s="40">
        <f t="shared" si="14"/>
        <v>90</v>
      </c>
      <c r="AH28" s="24">
        <v>20</v>
      </c>
      <c r="AI28" s="24"/>
      <c r="AJ28" s="24"/>
      <c r="AK28" s="24"/>
      <c r="AL28" s="23">
        <f t="shared" si="15"/>
        <v>70</v>
      </c>
      <c r="AM28" s="25">
        <v>7</v>
      </c>
      <c r="AN28" s="25">
        <v>10</v>
      </c>
      <c r="AO28" s="25">
        <v>13</v>
      </c>
      <c r="AP28" s="25">
        <v>10</v>
      </c>
      <c r="AQ28" s="80">
        <f t="shared" si="9"/>
        <v>40</v>
      </c>
      <c r="AR28" s="13">
        <v>20</v>
      </c>
      <c r="AS28" s="83">
        <v>20</v>
      </c>
      <c r="AT28" s="21">
        <v>3</v>
      </c>
      <c r="AU28" s="21">
        <v>4</v>
      </c>
      <c r="AV28" s="77"/>
      <c r="AW28" s="21"/>
      <c r="AX28" s="21"/>
      <c r="AY28" s="21"/>
      <c r="AZ28" s="21"/>
      <c r="BA28" s="21">
        <v>3</v>
      </c>
      <c r="BB28" s="21">
        <v>3</v>
      </c>
      <c r="BC28" s="77"/>
      <c r="BD28" s="21">
        <v>4</v>
      </c>
      <c r="BE28" s="21"/>
      <c r="BF28" s="21"/>
      <c r="BG28" s="21"/>
      <c r="BH28" s="21"/>
      <c r="BI28" s="21">
        <v>4</v>
      </c>
      <c r="BJ28" s="77"/>
      <c r="BK28" s="21">
        <v>4</v>
      </c>
      <c r="BL28" s="21">
        <v>5</v>
      </c>
      <c r="BM28" s="21"/>
      <c r="BN28" s="21"/>
      <c r="BO28" s="21">
        <v>5</v>
      </c>
      <c r="BP28" s="21">
        <v>5</v>
      </c>
      <c r="BQ28" s="77"/>
      <c r="BR28" s="21"/>
      <c r="BS28" s="21"/>
      <c r="BT28" s="21"/>
      <c r="BU28" s="21"/>
      <c r="BV28" s="21"/>
      <c r="BW28" s="79">
        <f t="shared" si="11"/>
        <v>60</v>
      </c>
      <c r="BX28" s="58">
        <f t="shared" si="12"/>
        <v>-20</v>
      </c>
      <c r="BY28" s="26"/>
      <c r="BZ28" s="27"/>
      <c r="CA28" s="50" t="s">
        <v>464</v>
      </c>
      <c r="CB28" s="50" t="b">
        <f t="shared" ref="CB28:CB47" si="17">CC28=CA28</f>
        <v>1</v>
      </c>
      <c r="CC28" s="51" t="s">
        <v>464</v>
      </c>
      <c r="CD28" s="19" t="s">
        <v>743</v>
      </c>
      <c r="CE28" s="19" t="s">
        <v>696</v>
      </c>
      <c r="CF28" s="19" t="s">
        <v>705</v>
      </c>
      <c r="CG28" s="19" t="s">
        <v>706</v>
      </c>
      <c r="CH28" s="19" t="s">
        <v>707</v>
      </c>
      <c r="CI28" s="19" t="s">
        <v>708</v>
      </c>
      <c r="CJ28" s="19" t="s">
        <v>709</v>
      </c>
      <c r="CK28" s="19" t="s">
        <v>710</v>
      </c>
      <c r="CL28" s="19" t="s">
        <v>667</v>
      </c>
      <c r="CM28" s="19" t="s">
        <v>744</v>
      </c>
      <c r="CN28" s="19" t="s">
        <v>745</v>
      </c>
      <c r="CO28" s="19" t="s">
        <v>713</v>
      </c>
      <c r="CP28" s="19" t="s">
        <v>714</v>
      </c>
      <c r="CQ28" s="19"/>
      <c r="CR28" s="19"/>
      <c r="CS28" s="19" t="s">
        <v>715</v>
      </c>
      <c r="CT28" s="19" t="s">
        <v>687</v>
      </c>
      <c r="CU28" s="19" t="s">
        <v>716</v>
      </c>
      <c r="CV28" s="19" t="s">
        <v>717</v>
      </c>
      <c r="CW28" s="19"/>
      <c r="CX28" s="19"/>
      <c r="CY28" s="19"/>
      <c r="CZ28" s="19"/>
      <c r="DA28" s="19"/>
      <c r="DB28" s="19"/>
      <c r="DC28" s="19"/>
      <c r="DD28" s="19"/>
      <c r="DE28" s="19"/>
      <c r="DF28" s="19"/>
    </row>
    <row r="29" spans="1:110" s="7" customFormat="1" x14ac:dyDescent="0.25">
      <c r="A29" s="19" t="s">
        <v>228</v>
      </c>
      <c r="B29" s="19" t="s">
        <v>80</v>
      </c>
      <c r="C29" s="19" t="str">
        <f t="shared" si="16"/>
        <v>96551088India</v>
      </c>
      <c r="D29" s="19">
        <v>96551088</v>
      </c>
      <c r="E29" s="19" t="s">
        <v>455</v>
      </c>
      <c r="F29" s="19" t="s">
        <v>261</v>
      </c>
      <c r="G29" s="20" t="s">
        <v>455</v>
      </c>
      <c r="H29" s="19"/>
      <c r="I29" s="19" t="s">
        <v>230</v>
      </c>
      <c r="J29" s="19" t="s">
        <v>231</v>
      </c>
      <c r="K29" s="19" t="s">
        <v>427</v>
      </c>
      <c r="L29" s="19" t="s">
        <v>279</v>
      </c>
      <c r="M29" s="19" t="s">
        <v>268</v>
      </c>
      <c r="N29" s="19" t="s">
        <v>269</v>
      </c>
      <c r="O29" s="19" t="s">
        <v>275</v>
      </c>
      <c r="P29" s="23" t="s">
        <v>237</v>
      </c>
      <c r="Q29" s="19" t="s">
        <v>428</v>
      </c>
      <c r="R29" s="19">
        <v>900</v>
      </c>
      <c r="S29" s="19" t="s">
        <v>272</v>
      </c>
      <c r="T29" s="19" t="s">
        <v>263</v>
      </c>
      <c r="U29" s="20" t="s">
        <v>263</v>
      </c>
      <c r="V29" s="19" t="s">
        <v>1605</v>
      </c>
      <c r="W29" s="19" t="s">
        <v>219</v>
      </c>
      <c r="X29" s="35">
        <v>4</v>
      </c>
      <c r="Y29" s="35">
        <v>4</v>
      </c>
      <c r="Z29" s="32"/>
      <c r="AA29" s="22">
        <v>2</v>
      </c>
      <c r="AB29" s="22"/>
      <c r="AC29" s="22"/>
      <c r="AD29" s="22">
        <v>2</v>
      </c>
      <c r="AE29" s="61">
        <f t="shared" si="13"/>
        <v>4</v>
      </c>
      <c r="AF29" s="22"/>
      <c r="AG29" s="40">
        <f t="shared" si="14"/>
        <v>4</v>
      </c>
      <c r="AH29" s="24"/>
      <c r="AI29" s="24"/>
      <c r="AJ29" s="24"/>
      <c r="AK29" s="24">
        <v>4</v>
      </c>
      <c r="AL29" s="23">
        <f t="shared" si="15"/>
        <v>8</v>
      </c>
      <c r="AM29" s="25">
        <v>2</v>
      </c>
      <c r="AN29" s="25"/>
      <c r="AO29" s="25">
        <v>2</v>
      </c>
      <c r="AP29" s="25">
        <v>4</v>
      </c>
      <c r="AQ29" s="25">
        <f t="shared" si="9"/>
        <v>8</v>
      </c>
      <c r="AR29" s="13"/>
      <c r="AS29" s="21"/>
      <c r="AT29" s="21"/>
      <c r="AU29" s="21"/>
      <c r="AV29" s="77"/>
      <c r="AW29" s="21">
        <v>2</v>
      </c>
      <c r="AX29" s="21"/>
      <c r="AY29" s="21"/>
      <c r="AZ29" s="21"/>
      <c r="BA29" s="21"/>
      <c r="BB29" s="21"/>
      <c r="BC29" s="77"/>
      <c r="BD29" s="21"/>
      <c r="BE29" s="21"/>
      <c r="BF29" s="21"/>
      <c r="BG29" s="21"/>
      <c r="BH29" s="21">
        <v>2</v>
      </c>
      <c r="BI29" s="21"/>
      <c r="BJ29" s="77"/>
      <c r="BK29" s="21"/>
      <c r="BL29" s="21"/>
      <c r="BM29" s="21"/>
      <c r="BN29" s="21"/>
      <c r="BO29" s="21"/>
      <c r="BP29" s="21"/>
      <c r="BQ29" s="77"/>
      <c r="BR29" s="21"/>
      <c r="BS29" s="21"/>
      <c r="BT29" s="21"/>
      <c r="BU29" s="21"/>
      <c r="BV29" s="21"/>
      <c r="BW29" s="79">
        <f t="shared" si="11"/>
        <v>4</v>
      </c>
      <c r="BX29" s="58">
        <f t="shared" si="12"/>
        <v>4</v>
      </c>
      <c r="BY29" s="26" t="s">
        <v>1725</v>
      </c>
      <c r="BZ29" s="27"/>
      <c r="CA29" s="50" t="s">
        <v>455</v>
      </c>
      <c r="CB29" s="50" t="b">
        <f t="shared" si="17"/>
        <v>1</v>
      </c>
      <c r="CC29" s="51" t="s">
        <v>455</v>
      </c>
      <c r="CD29" s="19" t="s">
        <v>735</v>
      </c>
      <c r="CE29" s="19" t="s">
        <v>696</v>
      </c>
      <c r="CF29" s="19" t="s">
        <v>697</v>
      </c>
      <c r="CG29" s="19" t="s">
        <v>730</v>
      </c>
      <c r="CH29" s="19" t="s">
        <v>690</v>
      </c>
      <c r="CI29" s="19" t="s">
        <v>691</v>
      </c>
      <c r="CJ29" s="19" t="s">
        <v>692</v>
      </c>
      <c r="CK29" s="19" t="s">
        <v>695</v>
      </c>
      <c r="CL29" s="19" t="s">
        <v>694</v>
      </c>
      <c r="CM29" s="19" t="s">
        <v>736</v>
      </c>
      <c r="CN29" s="19" t="s">
        <v>726</v>
      </c>
      <c r="CO29" s="19" t="s">
        <v>731</v>
      </c>
      <c r="CP29" s="19" t="s">
        <v>732</v>
      </c>
      <c r="CQ29" s="19"/>
      <c r="CR29" s="19"/>
      <c r="CS29" s="19" t="s">
        <v>686</v>
      </c>
      <c r="CT29" s="19" t="s">
        <v>687</v>
      </c>
      <c r="CU29" s="19" t="s">
        <v>733</v>
      </c>
      <c r="CV29" s="19" t="s">
        <v>734</v>
      </c>
      <c r="CW29" s="19"/>
      <c r="CX29" s="19"/>
      <c r="CY29" s="19"/>
      <c r="CZ29" s="19"/>
      <c r="DA29" s="19"/>
      <c r="DB29" s="19"/>
      <c r="DC29" s="19"/>
      <c r="DD29" s="19"/>
      <c r="DE29" s="19"/>
      <c r="DF29" s="19"/>
    </row>
    <row r="30" spans="1:110" s="7" customFormat="1" x14ac:dyDescent="0.25">
      <c r="A30" s="19" t="s">
        <v>228</v>
      </c>
      <c r="B30" s="19" t="s">
        <v>80</v>
      </c>
      <c r="C30" s="19" t="str">
        <f t="shared" si="16"/>
        <v>96556999India</v>
      </c>
      <c r="D30" s="19">
        <v>96556999</v>
      </c>
      <c r="E30" s="19" t="s">
        <v>1606</v>
      </c>
      <c r="F30" s="19" t="s">
        <v>261</v>
      </c>
      <c r="G30" s="20" t="s">
        <v>1606</v>
      </c>
      <c r="H30" s="19"/>
      <c r="I30" s="19" t="s">
        <v>230</v>
      </c>
      <c r="J30" s="19" t="s">
        <v>231</v>
      </c>
      <c r="K30" s="19" t="s">
        <v>427</v>
      </c>
      <c r="L30" s="19" t="s">
        <v>279</v>
      </c>
      <c r="M30" s="19" t="s">
        <v>268</v>
      </c>
      <c r="N30" s="19" t="s">
        <v>247</v>
      </c>
      <c r="O30" s="19" t="s">
        <v>275</v>
      </c>
      <c r="P30" s="23" t="s">
        <v>237</v>
      </c>
      <c r="Q30" s="19" t="s">
        <v>428</v>
      </c>
      <c r="R30" s="19">
        <v>900</v>
      </c>
      <c r="S30" s="19" t="s">
        <v>272</v>
      </c>
      <c r="T30" s="19" t="s">
        <v>263</v>
      </c>
      <c r="U30" s="20" t="s">
        <v>263</v>
      </c>
      <c r="V30" s="19" t="s">
        <v>1558</v>
      </c>
      <c r="W30" s="19" t="s">
        <v>219</v>
      </c>
      <c r="X30" s="35">
        <v>2</v>
      </c>
      <c r="Y30" s="35">
        <v>2</v>
      </c>
      <c r="Z30" s="32"/>
      <c r="AA30" s="22"/>
      <c r="AB30" s="22"/>
      <c r="AC30" s="22"/>
      <c r="AD30" s="22">
        <v>2</v>
      </c>
      <c r="AE30" s="61">
        <f t="shared" si="13"/>
        <v>2</v>
      </c>
      <c r="AF30" s="22"/>
      <c r="AG30" s="40">
        <f t="shared" si="14"/>
        <v>2</v>
      </c>
      <c r="AH30" s="24"/>
      <c r="AI30" s="24"/>
      <c r="AJ30" s="24"/>
      <c r="AK30" s="24">
        <v>2</v>
      </c>
      <c r="AL30" s="23">
        <f t="shared" si="15"/>
        <v>4</v>
      </c>
      <c r="AM30" s="25"/>
      <c r="AN30" s="25"/>
      <c r="AO30" s="25">
        <v>2</v>
      </c>
      <c r="AP30" s="25">
        <v>2</v>
      </c>
      <c r="AQ30" s="25">
        <f t="shared" si="9"/>
        <v>4</v>
      </c>
      <c r="AR30" s="13"/>
      <c r="AS30" s="21"/>
      <c r="AT30" s="21"/>
      <c r="AU30" s="21"/>
      <c r="AV30" s="77"/>
      <c r="AW30" s="21"/>
      <c r="AX30" s="21"/>
      <c r="AY30" s="21"/>
      <c r="AZ30" s="21"/>
      <c r="BA30" s="21"/>
      <c r="BB30" s="21"/>
      <c r="BC30" s="77"/>
      <c r="BD30" s="21"/>
      <c r="BE30" s="21"/>
      <c r="BF30" s="21"/>
      <c r="BG30" s="21"/>
      <c r="BH30" s="21">
        <v>2</v>
      </c>
      <c r="BI30" s="21"/>
      <c r="BJ30" s="77"/>
      <c r="BK30" s="21"/>
      <c r="BL30" s="21"/>
      <c r="BM30" s="21"/>
      <c r="BN30" s="21"/>
      <c r="BO30" s="21"/>
      <c r="BP30" s="21"/>
      <c r="BQ30" s="77"/>
      <c r="BR30" s="21"/>
      <c r="BS30" s="21"/>
      <c r="BT30" s="21"/>
      <c r="BU30" s="21"/>
      <c r="BV30" s="21"/>
      <c r="BW30" s="79">
        <f t="shared" si="11"/>
        <v>2</v>
      </c>
      <c r="BX30" s="58">
        <f t="shared" si="12"/>
        <v>2</v>
      </c>
      <c r="BY30" s="26"/>
      <c r="BZ30" s="27"/>
      <c r="CA30" s="50" t="s">
        <v>1606</v>
      </c>
      <c r="CB30" s="50" t="b">
        <f t="shared" si="17"/>
        <v>1</v>
      </c>
      <c r="CC30" s="52" t="s">
        <v>1606</v>
      </c>
      <c r="CD30" s="19" t="s">
        <v>724</v>
      </c>
      <c r="CE30" s="19" t="s">
        <v>696</v>
      </c>
      <c r="CF30" s="19" t="s">
        <v>697</v>
      </c>
      <c r="CG30" s="19" t="s">
        <v>698</v>
      </c>
      <c r="CH30" s="19" t="s">
        <v>699</v>
      </c>
      <c r="CI30" s="19" t="s">
        <v>691</v>
      </c>
      <c r="CJ30" s="19" t="s">
        <v>692</v>
      </c>
      <c r="CK30" s="19" t="s">
        <v>700</v>
      </c>
      <c r="CL30" s="19" t="s">
        <v>701</v>
      </c>
      <c r="CM30" s="19" t="s">
        <v>1640</v>
      </c>
      <c r="CN30" s="19" t="s">
        <v>1641</v>
      </c>
      <c r="CO30" s="19" t="s">
        <v>727</v>
      </c>
      <c r="CP30" s="19" t="s">
        <v>728</v>
      </c>
      <c r="CQ30" s="19"/>
      <c r="CR30" s="19"/>
      <c r="CS30" s="19" t="s">
        <v>686</v>
      </c>
      <c r="CT30" s="19" t="s">
        <v>687</v>
      </c>
      <c r="CU30" s="19" t="s">
        <v>702</v>
      </c>
      <c r="CV30" s="19" t="s">
        <v>703</v>
      </c>
      <c r="CW30" s="19"/>
      <c r="CX30" s="19"/>
      <c r="CY30" s="19"/>
      <c r="CZ30" s="19"/>
      <c r="DA30" s="19"/>
      <c r="DB30" s="19"/>
      <c r="DC30" s="19"/>
      <c r="DD30" s="19"/>
      <c r="DE30" s="19"/>
      <c r="DF30" s="19"/>
    </row>
    <row r="31" spans="1:110" s="7" customFormat="1" x14ac:dyDescent="0.25">
      <c r="A31" s="19" t="s">
        <v>228</v>
      </c>
      <c r="B31" s="19" t="s">
        <v>80</v>
      </c>
      <c r="C31" s="19" t="str">
        <f t="shared" si="16"/>
        <v>96559251India</v>
      </c>
      <c r="D31" s="19">
        <v>96559251</v>
      </c>
      <c r="E31" s="19" t="s">
        <v>454</v>
      </c>
      <c r="F31" s="19" t="s">
        <v>261</v>
      </c>
      <c r="G31" s="20" t="s">
        <v>454</v>
      </c>
      <c r="H31" s="19"/>
      <c r="I31" s="19" t="s">
        <v>230</v>
      </c>
      <c r="J31" s="19" t="s">
        <v>231</v>
      </c>
      <c r="K31" s="19" t="s">
        <v>427</v>
      </c>
      <c r="L31" s="19" t="s">
        <v>279</v>
      </c>
      <c r="M31" s="19" t="s">
        <v>268</v>
      </c>
      <c r="N31" s="19" t="s">
        <v>247</v>
      </c>
      <c r="O31" s="19" t="s">
        <v>275</v>
      </c>
      <c r="P31" s="23" t="s">
        <v>237</v>
      </c>
      <c r="Q31" s="19" t="s">
        <v>428</v>
      </c>
      <c r="R31" s="19">
        <v>900</v>
      </c>
      <c r="S31" s="19" t="s">
        <v>272</v>
      </c>
      <c r="T31" s="19" t="s">
        <v>263</v>
      </c>
      <c r="U31" s="20" t="s">
        <v>263</v>
      </c>
      <c r="V31" s="19" t="s">
        <v>1560</v>
      </c>
      <c r="W31" s="19" t="s">
        <v>222</v>
      </c>
      <c r="X31" s="35">
        <v>2</v>
      </c>
      <c r="Y31" s="35">
        <v>1</v>
      </c>
      <c r="Z31" s="32"/>
      <c r="AA31" s="22"/>
      <c r="AB31" s="22"/>
      <c r="AC31" s="22"/>
      <c r="AD31" s="22"/>
      <c r="AE31" s="61">
        <f t="shared" si="13"/>
        <v>0</v>
      </c>
      <c r="AF31" s="22"/>
      <c r="AG31" s="40">
        <f t="shared" si="14"/>
        <v>0</v>
      </c>
      <c r="AH31" s="24"/>
      <c r="AI31" s="24"/>
      <c r="AJ31" s="24"/>
      <c r="AK31" s="24">
        <v>2</v>
      </c>
      <c r="AL31" s="23">
        <f t="shared" si="15"/>
        <v>2</v>
      </c>
      <c r="AM31" s="25"/>
      <c r="AN31" s="25"/>
      <c r="AO31" s="25"/>
      <c r="AP31" s="25">
        <v>2</v>
      </c>
      <c r="AQ31" s="25">
        <f t="shared" si="9"/>
        <v>2</v>
      </c>
      <c r="AR31" s="13"/>
      <c r="AS31" s="21"/>
      <c r="AT31" s="21"/>
      <c r="AU31" s="21"/>
      <c r="AV31" s="77"/>
      <c r="AW31" s="21"/>
      <c r="AX31" s="21"/>
      <c r="AY31" s="21"/>
      <c r="AZ31" s="21"/>
      <c r="BA31" s="21"/>
      <c r="BB31" s="21"/>
      <c r="BC31" s="77"/>
      <c r="BD31" s="21"/>
      <c r="BE31" s="21"/>
      <c r="BF31" s="21"/>
      <c r="BG31" s="21"/>
      <c r="BH31" s="21"/>
      <c r="BI31" s="21"/>
      <c r="BJ31" s="77"/>
      <c r="BK31" s="21"/>
      <c r="BL31" s="21"/>
      <c r="BM31" s="21"/>
      <c r="BN31" s="21"/>
      <c r="BO31" s="21"/>
      <c r="BP31" s="21"/>
      <c r="BQ31" s="77"/>
      <c r="BR31" s="21"/>
      <c r="BS31" s="21"/>
      <c r="BT31" s="21"/>
      <c r="BU31" s="21"/>
      <c r="BV31" s="21"/>
      <c r="BW31" s="79">
        <f t="shared" si="11"/>
        <v>0</v>
      </c>
      <c r="BX31" s="58">
        <f t="shared" si="12"/>
        <v>2</v>
      </c>
      <c r="BY31" s="26" t="s">
        <v>1725</v>
      </c>
      <c r="BZ31" s="27"/>
      <c r="CA31" s="50" t="s">
        <v>454</v>
      </c>
      <c r="CB31" s="50" t="b">
        <f t="shared" si="17"/>
        <v>1</v>
      </c>
      <c r="CC31" s="52" t="s">
        <v>454</v>
      </c>
      <c r="CD31" s="19" t="s">
        <v>729</v>
      </c>
      <c r="CE31" s="19" t="s">
        <v>696</v>
      </c>
      <c r="CF31" s="19" t="s">
        <v>697</v>
      </c>
      <c r="CG31" s="19" t="s">
        <v>730</v>
      </c>
      <c r="CH31" s="19" t="s">
        <v>690</v>
      </c>
      <c r="CI31" s="19" t="s">
        <v>691</v>
      </c>
      <c r="CJ31" s="19" t="s">
        <v>692</v>
      </c>
      <c r="CK31" s="19" t="s">
        <v>695</v>
      </c>
      <c r="CL31" s="19" t="s">
        <v>694</v>
      </c>
      <c r="CM31" s="19" t="s">
        <v>725</v>
      </c>
      <c r="CN31" s="19" t="s">
        <v>726</v>
      </c>
      <c r="CO31" s="19" t="s">
        <v>731</v>
      </c>
      <c r="CP31" s="19" t="s">
        <v>732</v>
      </c>
      <c r="CQ31" s="19"/>
      <c r="CR31" s="19"/>
      <c r="CS31" s="19" t="s">
        <v>686</v>
      </c>
      <c r="CT31" s="19" t="s">
        <v>687</v>
      </c>
      <c r="CU31" s="19" t="s">
        <v>733</v>
      </c>
      <c r="CV31" s="19" t="s">
        <v>734</v>
      </c>
      <c r="CW31" s="19"/>
      <c r="CX31" s="19"/>
      <c r="CY31" s="19"/>
      <c r="CZ31" s="19"/>
      <c r="DA31" s="19"/>
      <c r="DB31" s="19"/>
      <c r="DC31" s="19"/>
      <c r="DD31" s="19"/>
      <c r="DE31" s="19"/>
      <c r="DF31" s="19"/>
    </row>
    <row r="32" spans="1:110" s="7" customFormat="1" x14ac:dyDescent="0.25">
      <c r="A32" s="19" t="s">
        <v>228</v>
      </c>
      <c r="B32" s="19" t="s">
        <v>80</v>
      </c>
      <c r="C32" s="19" t="str">
        <f t="shared" si="16"/>
        <v>96559422India</v>
      </c>
      <c r="D32" s="19">
        <v>96559422</v>
      </c>
      <c r="E32" s="19" t="s">
        <v>486</v>
      </c>
      <c r="F32" s="19" t="s">
        <v>261</v>
      </c>
      <c r="G32" s="20" t="s">
        <v>486</v>
      </c>
      <c r="H32" s="19"/>
      <c r="I32" s="19" t="s">
        <v>230</v>
      </c>
      <c r="J32" s="19" t="s">
        <v>286</v>
      </c>
      <c r="K32" s="19" t="s">
        <v>427</v>
      </c>
      <c r="L32" s="19" t="s">
        <v>279</v>
      </c>
      <c r="M32" s="19" t="s">
        <v>268</v>
      </c>
      <c r="N32" s="19" t="s">
        <v>247</v>
      </c>
      <c r="O32" s="19" t="s">
        <v>275</v>
      </c>
      <c r="P32" s="23" t="s">
        <v>237</v>
      </c>
      <c r="Q32" s="19" t="s">
        <v>428</v>
      </c>
      <c r="R32" s="19">
        <v>900</v>
      </c>
      <c r="S32" s="19" t="s">
        <v>272</v>
      </c>
      <c r="T32" s="19" t="s">
        <v>263</v>
      </c>
      <c r="U32" s="20" t="s">
        <v>263</v>
      </c>
      <c r="V32" s="19" t="s">
        <v>211</v>
      </c>
      <c r="W32" s="19" t="s">
        <v>219</v>
      </c>
      <c r="X32" s="35">
        <v>1</v>
      </c>
      <c r="Y32" s="35">
        <v>1</v>
      </c>
      <c r="Z32" s="32"/>
      <c r="AA32" s="22">
        <v>2</v>
      </c>
      <c r="AB32" s="22"/>
      <c r="AC32" s="22"/>
      <c r="AD32" s="22"/>
      <c r="AE32" s="61">
        <f t="shared" si="13"/>
        <v>2</v>
      </c>
      <c r="AF32" s="22">
        <v>2</v>
      </c>
      <c r="AG32" s="40">
        <f t="shared" si="14"/>
        <v>4</v>
      </c>
      <c r="AH32" s="24"/>
      <c r="AI32" s="24"/>
      <c r="AJ32" s="24"/>
      <c r="AK32" s="24"/>
      <c r="AL32" s="23">
        <f t="shared" si="15"/>
        <v>4</v>
      </c>
      <c r="AM32" s="25">
        <v>2</v>
      </c>
      <c r="AN32" s="25"/>
      <c r="AO32" s="25"/>
      <c r="AP32" s="25">
        <v>2</v>
      </c>
      <c r="AQ32" s="25">
        <f t="shared" si="9"/>
        <v>4</v>
      </c>
      <c r="AR32" s="13"/>
      <c r="AS32" s="21"/>
      <c r="AT32" s="21"/>
      <c r="AU32" s="21"/>
      <c r="AV32" s="77"/>
      <c r="AW32" s="21">
        <v>2</v>
      </c>
      <c r="AX32" s="21"/>
      <c r="AY32" s="21"/>
      <c r="AZ32" s="21"/>
      <c r="BA32" s="21"/>
      <c r="BB32" s="21"/>
      <c r="BC32" s="77"/>
      <c r="BD32" s="21"/>
      <c r="BE32" s="21"/>
      <c r="BF32" s="21"/>
      <c r="BG32" s="21"/>
      <c r="BH32" s="21"/>
      <c r="BI32" s="21"/>
      <c r="BJ32" s="77"/>
      <c r="BK32" s="21"/>
      <c r="BL32" s="21"/>
      <c r="BM32" s="21"/>
      <c r="BN32" s="21"/>
      <c r="BO32" s="21"/>
      <c r="BP32" s="21"/>
      <c r="BQ32" s="77"/>
      <c r="BR32" s="21"/>
      <c r="BS32" s="21"/>
      <c r="BT32" s="21"/>
      <c r="BU32" s="21"/>
      <c r="BV32" s="21"/>
      <c r="BW32" s="79">
        <f t="shared" si="11"/>
        <v>2</v>
      </c>
      <c r="BX32" s="58">
        <f t="shared" si="12"/>
        <v>2</v>
      </c>
      <c r="BY32" s="26" t="s">
        <v>1725</v>
      </c>
      <c r="BZ32" s="27"/>
      <c r="CA32" s="50" t="s">
        <v>486</v>
      </c>
      <c r="CB32" s="50" t="b">
        <f t="shared" si="17"/>
        <v>1</v>
      </c>
      <c r="CC32" s="52" t="s">
        <v>486</v>
      </c>
      <c r="CD32" s="19" t="s">
        <v>751</v>
      </c>
      <c r="CE32" s="19" t="s">
        <v>696</v>
      </c>
      <c r="CF32" s="19" t="s">
        <v>697</v>
      </c>
      <c r="CG32" s="19" t="s">
        <v>752</v>
      </c>
      <c r="CH32" s="19" t="s">
        <v>753</v>
      </c>
      <c r="CI32" s="19" t="s">
        <v>619</v>
      </c>
      <c r="CJ32" s="19" t="s">
        <v>620</v>
      </c>
      <c r="CK32" s="19" t="s">
        <v>754</v>
      </c>
      <c r="CL32" s="19" t="s">
        <v>694</v>
      </c>
      <c r="CM32" s="19" t="s">
        <v>755</v>
      </c>
      <c r="CN32" s="19" t="s">
        <v>756</v>
      </c>
      <c r="CO32" s="19" t="s">
        <v>757</v>
      </c>
      <c r="CP32" s="19" t="s">
        <v>758</v>
      </c>
      <c r="CQ32" s="19"/>
      <c r="CR32" s="19"/>
      <c r="CS32" s="19" t="s">
        <v>686</v>
      </c>
      <c r="CT32" s="19" t="s">
        <v>687</v>
      </c>
      <c r="CU32" s="19" t="s">
        <v>759</v>
      </c>
      <c r="CV32" s="19" t="s">
        <v>760</v>
      </c>
      <c r="CW32" s="19"/>
      <c r="CX32" s="19"/>
      <c r="CY32" s="19"/>
      <c r="CZ32" s="19"/>
      <c r="DA32" s="19"/>
      <c r="DB32" s="19"/>
      <c r="DC32" s="19"/>
      <c r="DD32" s="19"/>
      <c r="DE32" s="19"/>
      <c r="DF32" s="19"/>
    </row>
    <row r="33" spans="1:110" s="7" customFormat="1" x14ac:dyDescent="0.25">
      <c r="A33" s="19" t="s">
        <v>228</v>
      </c>
      <c r="B33" s="19" t="s">
        <v>80</v>
      </c>
      <c r="C33" s="19" t="str">
        <f t="shared" si="16"/>
        <v>96559242India</v>
      </c>
      <c r="D33" s="19">
        <v>96559242</v>
      </c>
      <c r="E33" s="19" t="s">
        <v>426</v>
      </c>
      <c r="F33" s="19" t="s">
        <v>261</v>
      </c>
      <c r="G33" s="20" t="s">
        <v>426</v>
      </c>
      <c r="H33" s="19"/>
      <c r="I33" s="19" t="s">
        <v>230</v>
      </c>
      <c r="J33" s="19" t="s">
        <v>231</v>
      </c>
      <c r="K33" s="19" t="s">
        <v>427</v>
      </c>
      <c r="L33" s="19" t="s">
        <v>279</v>
      </c>
      <c r="M33" s="19" t="s">
        <v>268</v>
      </c>
      <c r="N33" s="19" t="s">
        <v>269</v>
      </c>
      <c r="O33" s="19" t="s">
        <v>275</v>
      </c>
      <c r="P33" s="23" t="s">
        <v>237</v>
      </c>
      <c r="Q33" s="19" t="s">
        <v>428</v>
      </c>
      <c r="R33" s="19">
        <v>900</v>
      </c>
      <c r="S33" s="19" t="s">
        <v>272</v>
      </c>
      <c r="T33" s="19" t="s">
        <v>263</v>
      </c>
      <c r="U33" s="20" t="s">
        <v>263</v>
      </c>
      <c r="V33" s="19" t="s">
        <v>212</v>
      </c>
      <c r="W33" s="19" t="s">
        <v>219</v>
      </c>
      <c r="X33" s="35">
        <v>3</v>
      </c>
      <c r="Y33" s="35">
        <v>3</v>
      </c>
      <c r="Z33" s="32"/>
      <c r="AA33" s="22"/>
      <c r="AB33" s="22"/>
      <c r="AC33" s="22"/>
      <c r="AD33" s="22"/>
      <c r="AE33" s="61">
        <f t="shared" si="13"/>
        <v>0</v>
      </c>
      <c r="AF33" s="22"/>
      <c r="AG33" s="40">
        <f t="shared" si="14"/>
        <v>0</v>
      </c>
      <c r="AH33" s="24"/>
      <c r="AI33" s="24"/>
      <c r="AJ33" s="24"/>
      <c r="AK33" s="24">
        <v>3</v>
      </c>
      <c r="AL33" s="23">
        <f t="shared" si="15"/>
        <v>3</v>
      </c>
      <c r="AM33" s="25"/>
      <c r="AN33" s="25"/>
      <c r="AO33" s="25"/>
      <c r="AP33" s="25">
        <v>3</v>
      </c>
      <c r="AQ33" s="25">
        <f t="shared" si="9"/>
        <v>3</v>
      </c>
      <c r="AR33" s="13"/>
      <c r="AS33" s="21"/>
      <c r="AT33" s="21"/>
      <c r="AU33" s="21"/>
      <c r="AV33" s="77"/>
      <c r="AW33" s="21"/>
      <c r="AX33" s="21"/>
      <c r="AY33" s="21"/>
      <c r="AZ33" s="21"/>
      <c r="BA33" s="21"/>
      <c r="BB33" s="21"/>
      <c r="BC33" s="77"/>
      <c r="BD33" s="21"/>
      <c r="BE33" s="21"/>
      <c r="BF33" s="21"/>
      <c r="BG33" s="21"/>
      <c r="BH33" s="21"/>
      <c r="BI33" s="21"/>
      <c r="BJ33" s="77"/>
      <c r="BK33" s="21"/>
      <c r="BL33" s="21"/>
      <c r="BM33" s="21"/>
      <c r="BN33" s="21"/>
      <c r="BO33" s="21"/>
      <c r="BP33" s="21"/>
      <c r="BQ33" s="77"/>
      <c r="BR33" s="21"/>
      <c r="BS33" s="21"/>
      <c r="BT33" s="21"/>
      <c r="BU33" s="21"/>
      <c r="BV33" s="21"/>
      <c r="BW33" s="79">
        <f t="shared" si="11"/>
        <v>0</v>
      </c>
      <c r="BX33" s="58">
        <f t="shared" si="12"/>
        <v>3</v>
      </c>
      <c r="BY33" s="26"/>
      <c r="BZ33" s="27"/>
      <c r="CA33" s="50" t="s">
        <v>426</v>
      </c>
      <c r="CB33" s="50" t="b">
        <f t="shared" si="17"/>
        <v>1</v>
      </c>
      <c r="CC33" s="52" t="s">
        <v>426</v>
      </c>
      <c r="CD33" s="19" t="s">
        <v>724</v>
      </c>
      <c r="CE33" s="19" t="s">
        <v>696</v>
      </c>
      <c r="CF33" s="19" t="s">
        <v>697</v>
      </c>
      <c r="CG33" s="19" t="s">
        <v>698</v>
      </c>
      <c r="CH33" s="19" t="s">
        <v>699</v>
      </c>
      <c r="CI33" s="19" t="s">
        <v>691</v>
      </c>
      <c r="CJ33" s="19" t="s">
        <v>692</v>
      </c>
      <c r="CK33" s="19" t="s">
        <v>700</v>
      </c>
      <c r="CL33" s="19" t="s">
        <v>701</v>
      </c>
      <c r="CM33" s="19" t="s">
        <v>725</v>
      </c>
      <c r="CN33" s="19" t="s">
        <v>726</v>
      </c>
      <c r="CO33" s="19" t="s">
        <v>727</v>
      </c>
      <c r="CP33" s="19" t="s">
        <v>728</v>
      </c>
      <c r="CQ33" s="19"/>
      <c r="CR33" s="19"/>
      <c r="CS33" s="19" t="s">
        <v>686</v>
      </c>
      <c r="CT33" s="19" t="s">
        <v>687</v>
      </c>
      <c r="CU33" s="19" t="s">
        <v>702</v>
      </c>
      <c r="CV33" s="19" t="s">
        <v>703</v>
      </c>
      <c r="CW33" s="19"/>
      <c r="CX33" s="19"/>
      <c r="CY33" s="19"/>
      <c r="CZ33" s="19"/>
      <c r="DA33" s="19"/>
      <c r="DB33" s="19"/>
      <c r="DC33" s="19"/>
      <c r="DD33" s="19"/>
      <c r="DE33" s="19"/>
      <c r="DF33" s="19"/>
    </row>
    <row r="34" spans="1:110" s="7" customFormat="1" x14ac:dyDescent="0.25">
      <c r="A34" s="19" t="s">
        <v>228</v>
      </c>
      <c r="B34" s="19" t="s">
        <v>80</v>
      </c>
      <c r="C34" s="19" t="str">
        <f t="shared" si="16"/>
        <v>96551098India</v>
      </c>
      <c r="D34" s="19">
        <v>96551098</v>
      </c>
      <c r="E34" s="19" t="s">
        <v>1613</v>
      </c>
      <c r="F34" s="19" t="s">
        <v>261</v>
      </c>
      <c r="G34" s="20" t="s">
        <v>1613</v>
      </c>
      <c r="H34" s="19"/>
      <c r="I34" s="19" t="s">
        <v>230</v>
      </c>
      <c r="J34" s="19" t="s">
        <v>243</v>
      </c>
      <c r="K34" s="19" t="s">
        <v>427</v>
      </c>
      <c r="L34" s="19" t="s">
        <v>279</v>
      </c>
      <c r="M34" s="19" t="s">
        <v>268</v>
      </c>
      <c r="N34" s="19" t="s">
        <v>269</v>
      </c>
      <c r="O34" s="19" t="s">
        <v>275</v>
      </c>
      <c r="P34" s="23" t="s">
        <v>237</v>
      </c>
      <c r="Q34" s="19" t="s">
        <v>428</v>
      </c>
      <c r="R34" s="19">
        <v>900</v>
      </c>
      <c r="S34" s="19" t="s">
        <v>272</v>
      </c>
      <c r="T34" s="19" t="s">
        <v>263</v>
      </c>
      <c r="U34" s="20" t="s">
        <v>263</v>
      </c>
      <c r="V34" s="19" t="s">
        <v>1614</v>
      </c>
      <c r="W34" s="19" t="s">
        <v>219</v>
      </c>
      <c r="X34" s="35">
        <v>3</v>
      </c>
      <c r="Y34" s="35">
        <v>3</v>
      </c>
      <c r="Z34" s="32"/>
      <c r="AA34" s="22">
        <v>6</v>
      </c>
      <c r="AB34" s="22"/>
      <c r="AC34" s="22"/>
      <c r="AD34" s="22"/>
      <c r="AE34" s="61">
        <f t="shared" si="13"/>
        <v>6</v>
      </c>
      <c r="AF34" s="22"/>
      <c r="AG34" s="40">
        <f t="shared" si="14"/>
        <v>6</v>
      </c>
      <c r="AH34" s="24">
        <v>3</v>
      </c>
      <c r="AI34" s="24"/>
      <c r="AJ34" s="24"/>
      <c r="AK34" s="24"/>
      <c r="AL34" s="23">
        <f t="shared" si="15"/>
        <v>3</v>
      </c>
      <c r="AM34" s="25">
        <v>3</v>
      </c>
      <c r="AN34" s="25"/>
      <c r="AO34" s="25"/>
      <c r="AP34" s="25"/>
      <c r="AQ34" s="80">
        <f t="shared" ref="AQ34:AQ47" si="18">SUM(AM34:AP34)</f>
        <v>3</v>
      </c>
      <c r="AR34" s="13">
        <v>3</v>
      </c>
      <c r="AS34" s="21"/>
      <c r="AT34" s="83">
        <v>3</v>
      </c>
      <c r="AU34" s="83"/>
      <c r="AV34" s="77"/>
      <c r="AW34" s="21"/>
      <c r="AX34" s="21"/>
      <c r="AY34" s="21"/>
      <c r="AZ34" s="21">
        <v>3</v>
      </c>
      <c r="BA34" s="21"/>
      <c r="BB34" s="21"/>
      <c r="BC34" s="77"/>
      <c r="BD34" s="21"/>
      <c r="BE34" s="21"/>
      <c r="BF34" s="21"/>
      <c r="BG34" s="21"/>
      <c r="BH34" s="21"/>
      <c r="BI34" s="21"/>
      <c r="BJ34" s="77"/>
      <c r="BK34" s="21"/>
      <c r="BL34" s="21"/>
      <c r="BM34" s="21"/>
      <c r="BN34" s="21"/>
      <c r="BO34" s="21"/>
      <c r="BP34" s="21"/>
      <c r="BQ34" s="77"/>
      <c r="BR34" s="21"/>
      <c r="BS34" s="21"/>
      <c r="BT34" s="21"/>
      <c r="BU34" s="21"/>
      <c r="BV34" s="21"/>
      <c r="BW34" s="79">
        <f t="shared" si="11"/>
        <v>6</v>
      </c>
      <c r="BX34" s="58">
        <f t="shared" si="12"/>
        <v>-3</v>
      </c>
      <c r="BY34" s="26"/>
      <c r="BZ34" s="27"/>
      <c r="CA34" s="50" t="s">
        <v>1613</v>
      </c>
      <c r="CB34" s="50" t="b">
        <f t="shared" si="17"/>
        <v>1</v>
      </c>
      <c r="CC34" s="52" t="s">
        <v>1613</v>
      </c>
      <c r="CD34" s="19" t="s">
        <v>1642</v>
      </c>
      <c r="CE34" s="19" t="s">
        <v>696</v>
      </c>
      <c r="CF34" s="19" t="s">
        <v>705</v>
      </c>
      <c r="CG34" s="19" t="s">
        <v>706</v>
      </c>
      <c r="CH34" s="19" t="s">
        <v>707</v>
      </c>
      <c r="CI34" s="19" t="s">
        <v>708</v>
      </c>
      <c r="CJ34" s="19" t="s">
        <v>709</v>
      </c>
      <c r="CK34" s="19" t="s">
        <v>695</v>
      </c>
      <c r="CL34" s="19" t="s">
        <v>694</v>
      </c>
      <c r="CM34" s="19" t="s">
        <v>1643</v>
      </c>
      <c r="CN34" s="19" t="s">
        <v>1644</v>
      </c>
      <c r="CO34" s="19" t="s">
        <v>1645</v>
      </c>
      <c r="CP34" s="19" t="s">
        <v>1646</v>
      </c>
      <c r="CQ34" s="19"/>
      <c r="CR34" s="19"/>
      <c r="CS34" s="19" t="s">
        <v>715</v>
      </c>
      <c r="CT34" s="19" t="s">
        <v>687</v>
      </c>
      <c r="CU34" s="19" t="s">
        <v>716</v>
      </c>
      <c r="CV34" s="19" t="s">
        <v>717</v>
      </c>
      <c r="CW34" s="19"/>
      <c r="CX34" s="19"/>
      <c r="CY34" s="19"/>
      <c r="CZ34" s="19"/>
      <c r="DA34" s="19"/>
      <c r="DB34" s="19"/>
      <c r="DC34" s="19"/>
      <c r="DD34" s="19"/>
      <c r="DE34" s="19"/>
      <c r="DF34" s="19"/>
    </row>
    <row r="35" spans="1:110" s="7" customFormat="1" x14ac:dyDescent="0.25">
      <c r="A35" s="19" t="s">
        <v>228</v>
      </c>
      <c r="B35" s="19" t="s">
        <v>80</v>
      </c>
      <c r="C35" s="19" t="str">
        <f t="shared" si="16"/>
        <v>96559423India</v>
      </c>
      <c r="D35" s="19">
        <v>96559423</v>
      </c>
      <c r="E35" s="19" t="s">
        <v>485</v>
      </c>
      <c r="F35" s="19" t="s">
        <v>261</v>
      </c>
      <c r="G35" s="20" t="s">
        <v>485</v>
      </c>
      <c r="H35" s="19"/>
      <c r="I35" s="19" t="s">
        <v>230</v>
      </c>
      <c r="J35" s="19" t="s">
        <v>286</v>
      </c>
      <c r="K35" s="19" t="s">
        <v>427</v>
      </c>
      <c r="L35" s="19" t="s">
        <v>279</v>
      </c>
      <c r="M35" s="19" t="s">
        <v>268</v>
      </c>
      <c r="N35" s="19" t="s">
        <v>269</v>
      </c>
      <c r="O35" s="19" t="s">
        <v>275</v>
      </c>
      <c r="P35" s="23" t="s">
        <v>237</v>
      </c>
      <c r="Q35" s="19" t="s">
        <v>428</v>
      </c>
      <c r="R35" s="19">
        <v>900</v>
      </c>
      <c r="S35" s="19" t="s">
        <v>272</v>
      </c>
      <c r="T35" s="19" t="s">
        <v>263</v>
      </c>
      <c r="U35" s="20" t="s">
        <v>263</v>
      </c>
      <c r="V35" s="19" t="s">
        <v>217</v>
      </c>
      <c r="W35" s="19" t="s">
        <v>219</v>
      </c>
      <c r="X35" s="35"/>
      <c r="Y35" s="35"/>
      <c r="Z35" s="32"/>
      <c r="AA35" s="22">
        <v>4</v>
      </c>
      <c r="AB35" s="22"/>
      <c r="AC35" s="22"/>
      <c r="AD35" s="22"/>
      <c r="AE35" s="61">
        <f t="shared" si="13"/>
        <v>4</v>
      </c>
      <c r="AF35" s="22">
        <v>4</v>
      </c>
      <c r="AG35" s="40">
        <f t="shared" si="14"/>
        <v>8</v>
      </c>
      <c r="AH35" s="24">
        <v>7</v>
      </c>
      <c r="AI35" s="24"/>
      <c r="AJ35" s="24"/>
      <c r="AK35" s="24"/>
      <c r="AL35" s="23">
        <f t="shared" si="15"/>
        <v>1</v>
      </c>
      <c r="AM35" s="25"/>
      <c r="AN35" s="25">
        <v>1</v>
      </c>
      <c r="AO35" s="25"/>
      <c r="AP35" s="25"/>
      <c r="AQ35" s="25">
        <f t="shared" si="18"/>
        <v>1</v>
      </c>
      <c r="AR35" s="13">
        <v>7</v>
      </c>
      <c r="AS35" s="21"/>
      <c r="AT35" s="83">
        <v>2</v>
      </c>
      <c r="AU35" s="83">
        <v>5</v>
      </c>
      <c r="AV35" s="77"/>
      <c r="AW35" s="21"/>
      <c r="AX35" s="21"/>
      <c r="AY35" s="21"/>
      <c r="AZ35" s="21"/>
      <c r="BA35" s="21"/>
      <c r="BB35" s="21"/>
      <c r="BC35" s="77"/>
      <c r="BD35" s="21"/>
      <c r="BE35" s="21"/>
      <c r="BF35" s="21"/>
      <c r="BG35" s="21"/>
      <c r="BH35" s="21"/>
      <c r="BI35" s="21"/>
      <c r="BJ35" s="77"/>
      <c r="BK35" s="21"/>
      <c r="BL35" s="21"/>
      <c r="BM35" s="21"/>
      <c r="BN35" s="21"/>
      <c r="BO35" s="21"/>
      <c r="BP35" s="21"/>
      <c r="BQ35" s="77"/>
      <c r="BR35" s="21"/>
      <c r="BS35" s="21"/>
      <c r="BT35" s="21"/>
      <c r="BU35" s="21"/>
      <c r="BV35" s="21"/>
      <c r="BW35" s="79">
        <f t="shared" si="11"/>
        <v>7</v>
      </c>
      <c r="BX35" s="58">
        <f t="shared" si="12"/>
        <v>-6</v>
      </c>
      <c r="BY35" s="26"/>
      <c r="BZ35" s="27"/>
      <c r="CA35" s="50" t="s">
        <v>485</v>
      </c>
      <c r="CB35" s="50" t="b">
        <f t="shared" si="17"/>
        <v>1</v>
      </c>
      <c r="CC35" s="52" t="s">
        <v>485</v>
      </c>
      <c r="CD35" s="19" t="s">
        <v>747</v>
      </c>
      <c r="CE35" s="19" t="s">
        <v>696</v>
      </c>
      <c r="CF35" s="19" t="s">
        <v>697</v>
      </c>
      <c r="CG35" s="19" t="s">
        <v>718</v>
      </c>
      <c r="CH35" s="19" t="s">
        <v>719</v>
      </c>
      <c r="CI35" s="19" t="s">
        <v>619</v>
      </c>
      <c r="CJ35" s="19" t="s">
        <v>620</v>
      </c>
      <c r="CK35" s="19" t="s">
        <v>720</v>
      </c>
      <c r="CL35" s="19" t="s">
        <v>721</v>
      </c>
      <c r="CM35" s="19" t="s">
        <v>748</v>
      </c>
      <c r="CN35" s="19" t="s">
        <v>749</v>
      </c>
      <c r="CO35" s="19" t="s">
        <v>750</v>
      </c>
      <c r="CP35" s="19" t="s">
        <v>746</v>
      </c>
      <c r="CQ35" s="19"/>
      <c r="CR35" s="19"/>
      <c r="CS35" s="19" t="s">
        <v>686</v>
      </c>
      <c r="CT35" s="19" t="s">
        <v>687</v>
      </c>
      <c r="CU35" s="19" t="s">
        <v>722</v>
      </c>
      <c r="CV35" s="19" t="s">
        <v>723</v>
      </c>
      <c r="CW35" s="19"/>
      <c r="CX35" s="19"/>
      <c r="CY35" s="19"/>
      <c r="CZ35" s="19"/>
      <c r="DA35" s="19"/>
      <c r="DB35" s="19"/>
      <c r="DC35" s="19"/>
      <c r="DD35" s="19"/>
      <c r="DE35" s="19"/>
      <c r="DF35" s="19"/>
    </row>
    <row r="36" spans="1:110" s="7" customFormat="1" x14ac:dyDescent="0.25">
      <c r="A36" s="19" t="s">
        <v>228</v>
      </c>
      <c r="B36" s="19" t="s">
        <v>80</v>
      </c>
      <c r="C36" s="19" t="str">
        <f t="shared" si="16"/>
        <v>96059616India</v>
      </c>
      <c r="D36" s="19">
        <v>96059616</v>
      </c>
      <c r="E36" s="19" t="s">
        <v>277</v>
      </c>
      <c r="F36" s="19" t="s">
        <v>261</v>
      </c>
      <c r="G36" s="20" t="s">
        <v>277</v>
      </c>
      <c r="H36" s="19"/>
      <c r="I36" s="19" t="s">
        <v>230</v>
      </c>
      <c r="J36" s="19" t="s">
        <v>231</v>
      </c>
      <c r="K36" s="19" t="s">
        <v>278</v>
      </c>
      <c r="L36" s="19" t="s">
        <v>279</v>
      </c>
      <c r="M36" s="19" t="s">
        <v>268</v>
      </c>
      <c r="N36" s="19" t="s">
        <v>247</v>
      </c>
      <c r="O36" s="19" t="s">
        <v>275</v>
      </c>
      <c r="P36" s="23" t="s">
        <v>237</v>
      </c>
      <c r="Q36" s="19" t="s">
        <v>280</v>
      </c>
      <c r="R36" s="19">
        <v>1000</v>
      </c>
      <c r="S36" s="19" t="s">
        <v>272</v>
      </c>
      <c r="T36" s="19" t="s">
        <v>263</v>
      </c>
      <c r="U36" s="20" t="s">
        <v>263</v>
      </c>
      <c r="V36" s="19" t="s">
        <v>162</v>
      </c>
      <c r="W36" s="19" t="s">
        <v>222</v>
      </c>
      <c r="X36" s="35">
        <v>5</v>
      </c>
      <c r="Y36" s="35">
        <v>5</v>
      </c>
      <c r="Z36" s="32"/>
      <c r="AA36" s="22"/>
      <c r="AB36" s="22">
        <v>4</v>
      </c>
      <c r="AC36" s="22"/>
      <c r="AD36" s="22"/>
      <c r="AE36" s="61">
        <f t="shared" si="13"/>
        <v>4</v>
      </c>
      <c r="AF36" s="22">
        <v>10</v>
      </c>
      <c r="AG36" s="40">
        <f t="shared" si="14"/>
        <v>14</v>
      </c>
      <c r="AH36" s="24">
        <v>8</v>
      </c>
      <c r="AI36" s="24"/>
      <c r="AJ36" s="24"/>
      <c r="AK36" s="24"/>
      <c r="AL36" s="23">
        <f t="shared" si="15"/>
        <v>6</v>
      </c>
      <c r="AM36" s="25"/>
      <c r="AN36" s="25">
        <v>4</v>
      </c>
      <c r="AO36" s="25"/>
      <c r="AP36" s="25">
        <v>2</v>
      </c>
      <c r="AQ36" s="25">
        <f t="shared" si="18"/>
        <v>6</v>
      </c>
      <c r="AR36" s="13">
        <v>8</v>
      </c>
      <c r="AS36" s="21"/>
      <c r="AT36" s="83">
        <v>4</v>
      </c>
      <c r="AU36" s="83">
        <v>4</v>
      </c>
      <c r="AV36" s="77"/>
      <c r="AW36" s="21"/>
      <c r="AX36" s="21"/>
      <c r="AY36" s="21"/>
      <c r="AZ36" s="21"/>
      <c r="BA36" s="21"/>
      <c r="BB36" s="21"/>
      <c r="BC36" s="77"/>
      <c r="BD36" s="21"/>
      <c r="BE36" s="21"/>
      <c r="BF36" s="21"/>
      <c r="BG36" s="21"/>
      <c r="BH36" s="21"/>
      <c r="BI36" s="21"/>
      <c r="BJ36" s="77"/>
      <c r="BK36" s="21"/>
      <c r="BL36" s="21"/>
      <c r="BM36" s="21"/>
      <c r="BN36" s="21"/>
      <c r="BO36" s="21"/>
      <c r="BP36" s="21"/>
      <c r="BQ36" s="77"/>
      <c r="BR36" s="21"/>
      <c r="BS36" s="21"/>
      <c r="BT36" s="21"/>
      <c r="BU36" s="21"/>
      <c r="BV36" s="21"/>
      <c r="BW36" s="79">
        <f t="shared" si="11"/>
        <v>8</v>
      </c>
      <c r="BX36" s="58">
        <f t="shared" si="12"/>
        <v>-2</v>
      </c>
      <c r="BY36" s="26" t="s">
        <v>1725</v>
      </c>
      <c r="BZ36" s="27"/>
      <c r="CA36" s="50" t="s">
        <v>277</v>
      </c>
      <c r="CB36" s="50" t="b">
        <f t="shared" si="17"/>
        <v>1</v>
      </c>
      <c r="CC36" s="52" t="s">
        <v>277</v>
      </c>
      <c r="CD36" s="19" t="s">
        <v>768</v>
      </c>
      <c r="CE36" s="19" t="s">
        <v>769</v>
      </c>
      <c r="CF36" s="19" t="s">
        <v>770</v>
      </c>
      <c r="CG36" s="19" t="s">
        <v>771</v>
      </c>
      <c r="CH36" s="19" t="s">
        <v>772</v>
      </c>
      <c r="CI36" s="19" t="s">
        <v>691</v>
      </c>
      <c r="CJ36" s="19" t="s">
        <v>692</v>
      </c>
      <c r="CK36" s="19" t="s">
        <v>695</v>
      </c>
      <c r="CL36" s="19" t="s">
        <v>694</v>
      </c>
      <c r="CM36" s="19" t="s">
        <v>773</v>
      </c>
      <c r="CN36" s="19" t="s">
        <v>774</v>
      </c>
      <c r="CO36" s="19" t="s">
        <v>775</v>
      </c>
      <c r="CP36" s="19" t="s">
        <v>776</v>
      </c>
      <c r="CQ36" s="19"/>
      <c r="CR36" s="19"/>
      <c r="CS36" s="19" t="s">
        <v>686</v>
      </c>
      <c r="CT36" s="19" t="s">
        <v>687</v>
      </c>
      <c r="CU36" s="19" t="s">
        <v>777</v>
      </c>
      <c r="CV36" s="19" t="s">
        <v>778</v>
      </c>
      <c r="CW36" s="19"/>
      <c r="CX36" s="19"/>
      <c r="CY36" s="19"/>
      <c r="CZ36" s="19"/>
      <c r="DA36" s="19"/>
      <c r="DB36" s="19"/>
      <c r="DC36" s="19"/>
      <c r="DD36" s="19"/>
      <c r="DE36" s="19"/>
      <c r="DF36" s="19"/>
    </row>
    <row r="37" spans="1:110" s="7" customFormat="1" x14ac:dyDescent="0.25">
      <c r="A37" s="19" t="s">
        <v>228</v>
      </c>
      <c r="B37" s="19" t="s">
        <v>80</v>
      </c>
      <c r="C37" s="19" t="str">
        <f t="shared" si="16"/>
        <v>96059628India</v>
      </c>
      <c r="D37" s="19">
        <v>96059628</v>
      </c>
      <c r="E37" s="19" t="s">
        <v>429</v>
      </c>
      <c r="F37" s="19" t="s">
        <v>261</v>
      </c>
      <c r="G37" s="20" t="s">
        <v>429</v>
      </c>
      <c r="H37" s="19"/>
      <c r="I37" s="19" t="s">
        <v>230</v>
      </c>
      <c r="J37" s="19" t="s">
        <v>243</v>
      </c>
      <c r="K37" s="19" t="s">
        <v>278</v>
      </c>
      <c r="L37" s="19" t="s">
        <v>279</v>
      </c>
      <c r="M37" s="19" t="s">
        <v>268</v>
      </c>
      <c r="N37" s="19" t="s">
        <v>247</v>
      </c>
      <c r="O37" s="19" t="s">
        <v>275</v>
      </c>
      <c r="P37" s="23" t="s">
        <v>237</v>
      </c>
      <c r="Q37" s="19" t="s">
        <v>280</v>
      </c>
      <c r="R37" s="19">
        <v>1000</v>
      </c>
      <c r="S37" s="19" t="s">
        <v>272</v>
      </c>
      <c r="T37" s="19" t="s">
        <v>263</v>
      </c>
      <c r="U37" s="20" t="s">
        <v>263</v>
      </c>
      <c r="V37" s="19" t="s">
        <v>163</v>
      </c>
      <c r="W37" s="19" t="s">
        <v>222</v>
      </c>
      <c r="X37" s="35">
        <v>5</v>
      </c>
      <c r="Y37" s="35">
        <v>5</v>
      </c>
      <c r="Z37" s="32"/>
      <c r="AA37" s="22"/>
      <c r="AB37" s="22"/>
      <c r="AC37" s="22"/>
      <c r="AD37" s="22"/>
      <c r="AE37" s="61">
        <f t="shared" si="13"/>
        <v>0</v>
      </c>
      <c r="AF37" s="22"/>
      <c r="AG37" s="40">
        <f t="shared" si="14"/>
        <v>0</v>
      </c>
      <c r="AH37" s="24"/>
      <c r="AI37" s="24"/>
      <c r="AJ37" s="24"/>
      <c r="AK37" s="24">
        <v>5</v>
      </c>
      <c r="AL37" s="23">
        <f t="shared" si="15"/>
        <v>5</v>
      </c>
      <c r="AM37" s="25"/>
      <c r="AN37" s="25">
        <v>5</v>
      </c>
      <c r="AO37" s="25"/>
      <c r="AP37" s="25"/>
      <c r="AQ37" s="80">
        <f t="shared" si="18"/>
        <v>5</v>
      </c>
      <c r="AR37" s="13"/>
      <c r="AS37" s="21"/>
      <c r="AT37" s="21"/>
      <c r="AU37" s="21"/>
      <c r="AV37" s="77"/>
      <c r="AW37" s="21"/>
      <c r="AX37" s="21"/>
      <c r="AY37" s="21"/>
      <c r="AZ37" s="21"/>
      <c r="BA37" s="21"/>
      <c r="BB37" s="21"/>
      <c r="BC37" s="77"/>
      <c r="BD37" s="21"/>
      <c r="BE37" s="21"/>
      <c r="BF37" s="21"/>
      <c r="BG37" s="21"/>
      <c r="BH37" s="21"/>
      <c r="BI37" s="21"/>
      <c r="BJ37" s="77"/>
      <c r="BK37" s="21"/>
      <c r="BL37" s="21"/>
      <c r="BM37" s="21"/>
      <c r="BN37" s="21"/>
      <c r="BO37" s="21"/>
      <c r="BP37" s="21"/>
      <c r="BQ37" s="77"/>
      <c r="BR37" s="21"/>
      <c r="BS37" s="21"/>
      <c r="BT37" s="21"/>
      <c r="BU37" s="21"/>
      <c r="BV37" s="21"/>
      <c r="BW37" s="79">
        <f t="shared" si="11"/>
        <v>0</v>
      </c>
      <c r="BX37" s="58">
        <f t="shared" si="12"/>
        <v>5</v>
      </c>
      <c r="BY37" s="26"/>
      <c r="BZ37" s="27"/>
      <c r="CA37" s="50" t="s">
        <v>429</v>
      </c>
      <c r="CB37" s="50" t="b">
        <f t="shared" si="17"/>
        <v>1</v>
      </c>
      <c r="CC37" s="52" t="s">
        <v>429</v>
      </c>
      <c r="CD37" s="19" t="s">
        <v>785</v>
      </c>
      <c r="CE37" s="19" t="s">
        <v>762</v>
      </c>
      <c r="CF37" s="19" t="s">
        <v>763</v>
      </c>
      <c r="CG37" s="19" t="s">
        <v>706</v>
      </c>
      <c r="CH37" s="19" t="s">
        <v>707</v>
      </c>
      <c r="CI37" s="19" t="s">
        <v>708</v>
      </c>
      <c r="CJ37" s="19" t="s">
        <v>709</v>
      </c>
      <c r="CK37" s="19" t="s">
        <v>710</v>
      </c>
      <c r="CL37" s="19" t="s">
        <v>667</v>
      </c>
      <c r="CM37" s="19" t="s">
        <v>786</v>
      </c>
      <c r="CN37" s="19" t="s">
        <v>787</v>
      </c>
      <c r="CO37" s="19" t="s">
        <v>788</v>
      </c>
      <c r="CP37" s="19" t="s">
        <v>789</v>
      </c>
      <c r="CQ37" s="19"/>
      <c r="CR37" s="19"/>
      <c r="CS37" s="19" t="s">
        <v>715</v>
      </c>
      <c r="CT37" s="19" t="s">
        <v>687</v>
      </c>
      <c r="CU37" s="19" t="s">
        <v>716</v>
      </c>
      <c r="CV37" s="19" t="s">
        <v>717</v>
      </c>
      <c r="CW37" s="19"/>
      <c r="CX37" s="19"/>
      <c r="CY37" s="19"/>
      <c r="CZ37" s="19"/>
      <c r="DA37" s="19"/>
      <c r="DB37" s="19"/>
      <c r="DC37" s="19"/>
      <c r="DD37" s="19"/>
      <c r="DE37" s="19"/>
      <c r="DF37" s="19"/>
    </row>
    <row r="38" spans="1:110" s="7" customFormat="1" x14ac:dyDescent="0.25">
      <c r="A38" s="19" t="s">
        <v>228</v>
      </c>
      <c r="B38" s="19" t="s">
        <v>80</v>
      </c>
      <c r="C38" s="19" t="str">
        <f t="shared" si="16"/>
        <v>96059613India</v>
      </c>
      <c r="D38" s="19">
        <v>96059613</v>
      </c>
      <c r="E38" s="19" t="s">
        <v>430</v>
      </c>
      <c r="F38" s="19" t="s">
        <v>261</v>
      </c>
      <c r="G38" s="20" t="s">
        <v>430</v>
      </c>
      <c r="H38" s="19"/>
      <c r="I38" s="19" t="s">
        <v>230</v>
      </c>
      <c r="J38" s="19" t="s">
        <v>243</v>
      </c>
      <c r="K38" s="19" t="s">
        <v>278</v>
      </c>
      <c r="L38" s="19" t="s">
        <v>267</v>
      </c>
      <c r="M38" s="19" t="s">
        <v>268</v>
      </c>
      <c r="N38" s="19" t="s">
        <v>247</v>
      </c>
      <c r="O38" s="19" t="s">
        <v>275</v>
      </c>
      <c r="P38" s="23" t="s">
        <v>237</v>
      </c>
      <c r="Q38" s="19" t="s">
        <v>280</v>
      </c>
      <c r="R38" s="19">
        <v>1000</v>
      </c>
      <c r="S38" s="19" t="s">
        <v>272</v>
      </c>
      <c r="T38" s="19" t="s">
        <v>263</v>
      </c>
      <c r="U38" s="20" t="s">
        <v>263</v>
      </c>
      <c r="V38" s="19" t="s">
        <v>164</v>
      </c>
      <c r="W38" s="19" t="s">
        <v>221</v>
      </c>
      <c r="X38" s="35">
        <v>40</v>
      </c>
      <c r="Y38" s="35">
        <v>36</v>
      </c>
      <c r="Z38" s="32"/>
      <c r="AA38" s="22">
        <v>12</v>
      </c>
      <c r="AB38" s="22">
        <v>15</v>
      </c>
      <c r="AC38" s="22">
        <v>16</v>
      </c>
      <c r="AD38" s="22">
        <v>4</v>
      </c>
      <c r="AE38" s="61">
        <f t="shared" si="13"/>
        <v>47</v>
      </c>
      <c r="AF38" s="22">
        <v>30</v>
      </c>
      <c r="AG38" s="40">
        <f t="shared" si="14"/>
        <v>77</v>
      </c>
      <c r="AH38" s="24"/>
      <c r="AI38" s="24"/>
      <c r="AJ38" s="24"/>
      <c r="AK38" s="24"/>
      <c r="AL38" s="23">
        <f t="shared" si="15"/>
        <v>77</v>
      </c>
      <c r="AM38" s="25">
        <v>12</v>
      </c>
      <c r="AN38" s="25">
        <v>15</v>
      </c>
      <c r="AO38" s="25">
        <v>16</v>
      </c>
      <c r="AP38" s="25">
        <v>10</v>
      </c>
      <c r="AQ38" s="80">
        <f t="shared" si="18"/>
        <v>53</v>
      </c>
      <c r="AR38" s="13"/>
      <c r="AS38" s="21"/>
      <c r="AT38" s="21">
        <v>3</v>
      </c>
      <c r="AU38" s="21">
        <v>3</v>
      </c>
      <c r="AV38" s="77"/>
      <c r="AW38" s="21">
        <v>3</v>
      </c>
      <c r="AX38" s="21">
        <v>3</v>
      </c>
      <c r="AY38" s="21"/>
      <c r="AZ38" s="21"/>
      <c r="BA38" s="21">
        <v>3</v>
      </c>
      <c r="BB38" s="21">
        <v>3</v>
      </c>
      <c r="BC38" s="77"/>
      <c r="BD38" s="21">
        <v>3</v>
      </c>
      <c r="BE38" s="21">
        <v>3</v>
      </c>
      <c r="BF38" s="21">
        <v>3</v>
      </c>
      <c r="BG38" s="21"/>
      <c r="BH38" s="21"/>
      <c r="BI38" s="21">
        <v>4</v>
      </c>
      <c r="BJ38" s="77"/>
      <c r="BK38" s="21">
        <v>4</v>
      </c>
      <c r="BL38" s="21">
        <v>4</v>
      </c>
      <c r="BM38" s="21">
        <v>4</v>
      </c>
      <c r="BN38" s="21"/>
      <c r="BO38" s="21">
        <v>4</v>
      </c>
      <c r="BP38" s="21"/>
      <c r="BQ38" s="77"/>
      <c r="BR38" s="21"/>
      <c r="BS38" s="21"/>
      <c r="BT38" s="21"/>
      <c r="BU38" s="21"/>
      <c r="BV38" s="21"/>
      <c r="BW38" s="79">
        <f t="shared" si="11"/>
        <v>47</v>
      </c>
      <c r="BX38" s="58">
        <f t="shared" si="12"/>
        <v>6</v>
      </c>
      <c r="BY38" s="26"/>
      <c r="BZ38" s="27"/>
      <c r="CA38" s="50" t="s">
        <v>430</v>
      </c>
      <c r="CB38" s="50" t="b">
        <f t="shared" si="17"/>
        <v>1</v>
      </c>
      <c r="CC38" s="52" t="s">
        <v>430</v>
      </c>
      <c r="CD38" s="19" t="s">
        <v>761</v>
      </c>
      <c r="CE38" s="19" t="s">
        <v>762</v>
      </c>
      <c r="CF38" s="19" t="s">
        <v>763</v>
      </c>
      <c r="CG38" s="19" t="s">
        <v>706</v>
      </c>
      <c r="CH38" s="19" t="s">
        <v>707</v>
      </c>
      <c r="CI38" s="19" t="s">
        <v>708</v>
      </c>
      <c r="CJ38" s="19" t="s">
        <v>709</v>
      </c>
      <c r="CK38" s="19" t="s">
        <v>695</v>
      </c>
      <c r="CL38" s="19" t="s">
        <v>694</v>
      </c>
      <c r="CM38" s="19" t="s">
        <v>764</v>
      </c>
      <c r="CN38" s="19" t="s">
        <v>765</v>
      </c>
      <c r="CO38" s="19" t="s">
        <v>766</v>
      </c>
      <c r="CP38" s="19" t="s">
        <v>767</v>
      </c>
      <c r="CQ38" s="19"/>
      <c r="CR38" s="19"/>
      <c r="CS38" s="19" t="s">
        <v>715</v>
      </c>
      <c r="CT38" s="19" t="s">
        <v>687</v>
      </c>
      <c r="CU38" s="19" t="s">
        <v>716</v>
      </c>
      <c r="CV38" s="19" t="s">
        <v>717</v>
      </c>
      <c r="CW38" s="19"/>
      <c r="CX38" s="19"/>
      <c r="CY38" s="19"/>
      <c r="CZ38" s="19"/>
      <c r="DA38" s="19"/>
      <c r="DB38" s="19"/>
      <c r="DC38" s="19"/>
      <c r="DD38" s="19"/>
      <c r="DE38" s="19"/>
      <c r="DF38" s="19"/>
    </row>
    <row r="39" spans="1:110" s="7" customFormat="1" x14ac:dyDescent="0.25">
      <c r="A39" s="19" t="s">
        <v>228</v>
      </c>
      <c r="B39" s="19" t="s">
        <v>80</v>
      </c>
      <c r="C39" s="19" t="str">
        <f t="shared" si="16"/>
        <v>96059620India</v>
      </c>
      <c r="D39" s="19">
        <v>96059620</v>
      </c>
      <c r="E39" s="19" t="s">
        <v>432</v>
      </c>
      <c r="F39" s="19" t="s">
        <v>261</v>
      </c>
      <c r="G39" s="20" t="s">
        <v>432</v>
      </c>
      <c r="H39" s="19"/>
      <c r="I39" s="19" t="s">
        <v>230</v>
      </c>
      <c r="J39" s="19" t="s">
        <v>231</v>
      </c>
      <c r="K39" s="19" t="s">
        <v>278</v>
      </c>
      <c r="L39" s="19" t="s">
        <v>279</v>
      </c>
      <c r="M39" s="19" t="s">
        <v>268</v>
      </c>
      <c r="N39" s="19" t="s">
        <v>247</v>
      </c>
      <c r="O39" s="19" t="s">
        <v>275</v>
      </c>
      <c r="P39" s="23" t="s">
        <v>237</v>
      </c>
      <c r="Q39" s="19" t="s">
        <v>280</v>
      </c>
      <c r="R39" s="19">
        <v>1000</v>
      </c>
      <c r="S39" s="19" t="s">
        <v>272</v>
      </c>
      <c r="T39" s="19" t="s">
        <v>263</v>
      </c>
      <c r="U39" s="20" t="s">
        <v>263</v>
      </c>
      <c r="V39" s="19" t="s">
        <v>166</v>
      </c>
      <c r="W39" s="19" t="s">
        <v>219</v>
      </c>
      <c r="X39" s="35">
        <v>3</v>
      </c>
      <c r="Y39" s="35">
        <v>3</v>
      </c>
      <c r="Z39" s="32"/>
      <c r="AA39" s="22"/>
      <c r="AB39" s="22"/>
      <c r="AC39" s="22"/>
      <c r="AD39" s="22">
        <v>1</v>
      </c>
      <c r="AE39" s="61">
        <f t="shared" si="13"/>
        <v>1</v>
      </c>
      <c r="AF39" s="22"/>
      <c r="AG39" s="40">
        <f t="shared" si="14"/>
        <v>1</v>
      </c>
      <c r="AH39" s="24"/>
      <c r="AI39" s="24"/>
      <c r="AJ39" s="24"/>
      <c r="AK39" s="24">
        <v>3</v>
      </c>
      <c r="AL39" s="23">
        <f t="shared" si="15"/>
        <v>4</v>
      </c>
      <c r="AM39" s="25"/>
      <c r="AN39" s="25"/>
      <c r="AO39" s="25"/>
      <c r="AP39" s="25">
        <v>4</v>
      </c>
      <c r="AQ39" s="25">
        <f t="shared" si="18"/>
        <v>4</v>
      </c>
      <c r="AR39" s="13"/>
      <c r="AS39" s="21"/>
      <c r="AT39" s="21"/>
      <c r="AU39" s="21"/>
      <c r="AV39" s="77"/>
      <c r="AW39" s="21"/>
      <c r="AX39" s="21"/>
      <c r="AY39" s="21"/>
      <c r="AZ39" s="21"/>
      <c r="BA39" s="21"/>
      <c r="BB39" s="21"/>
      <c r="BC39" s="77"/>
      <c r="BD39" s="21"/>
      <c r="BE39" s="21"/>
      <c r="BF39" s="21"/>
      <c r="BG39" s="21"/>
      <c r="BH39" s="21"/>
      <c r="BI39" s="21"/>
      <c r="BJ39" s="77"/>
      <c r="BK39" s="21"/>
      <c r="BL39" s="21"/>
      <c r="BM39" s="21"/>
      <c r="BN39" s="21"/>
      <c r="BO39" s="21">
        <v>1</v>
      </c>
      <c r="BP39" s="21"/>
      <c r="BQ39" s="77"/>
      <c r="BR39" s="21"/>
      <c r="BS39" s="21"/>
      <c r="BT39" s="21"/>
      <c r="BU39" s="21"/>
      <c r="BV39" s="21"/>
      <c r="BW39" s="79">
        <f t="shared" si="11"/>
        <v>1</v>
      </c>
      <c r="BX39" s="58">
        <f t="shared" si="12"/>
        <v>3</v>
      </c>
      <c r="BY39" s="26"/>
      <c r="BZ39" s="27"/>
      <c r="CA39" s="50" t="s">
        <v>432</v>
      </c>
      <c r="CB39" s="50" t="b">
        <f t="shared" si="17"/>
        <v>1</v>
      </c>
      <c r="CC39" s="52" t="s">
        <v>432</v>
      </c>
      <c r="CD39" s="19" t="s">
        <v>790</v>
      </c>
      <c r="CE39" s="19" t="s">
        <v>769</v>
      </c>
      <c r="CF39" s="19" t="s">
        <v>770</v>
      </c>
      <c r="CG39" s="19" t="s">
        <v>698</v>
      </c>
      <c r="CH39" s="19" t="s">
        <v>699</v>
      </c>
      <c r="CI39" s="19" t="s">
        <v>691</v>
      </c>
      <c r="CJ39" s="19" t="s">
        <v>692</v>
      </c>
      <c r="CK39" s="19" t="s">
        <v>695</v>
      </c>
      <c r="CL39" s="19" t="s">
        <v>694</v>
      </c>
      <c r="CM39" s="19" t="s">
        <v>773</v>
      </c>
      <c r="CN39" s="19" t="s">
        <v>774</v>
      </c>
      <c r="CO39" s="19" t="s">
        <v>791</v>
      </c>
      <c r="CP39" s="19" t="s">
        <v>767</v>
      </c>
      <c r="CQ39" s="19"/>
      <c r="CR39" s="19"/>
      <c r="CS39" s="19" t="s">
        <v>686</v>
      </c>
      <c r="CT39" s="19" t="s">
        <v>687</v>
      </c>
      <c r="CU39" s="19" t="s">
        <v>792</v>
      </c>
      <c r="CV39" s="19" t="s">
        <v>703</v>
      </c>
      <c r="CW39" s="19"/>
      <c r="CX39" s="19"/>
      <c r="CY39" s="19"/>
      <c r="CZ39" s="19"/>
      <c r="DA39" s="19"/>
      <c r="DB39" s="19"/>
      <c r="DC39" s="19"/>
      <c r="DD39" s="19"/>
      <c r="DE39" s="19"/>
      <c r="DF39" s="19"/>
    </row>
    <row r="40" spans="1:110" s="7" customFormat="1" x14ac:dyDescent="0.25">
      <c r="A40" s="19" t="s">
        <v>228</v>
      </c>
      <c r="B40" s="19" t="s">
        <v>80</v>
      </c>
      <c r="C40" s="19" t="str">
        <f t="shared" si="16"/>
        <v>96059610India</v>
      </c>
      <c r="D40" s="19">
        <v>96059610</v>
      </c>
      <c r="E40" s="19" t="s">
        <v>477</v>
      </c>
      <c r="F40" s="19" t="s">
        <v>261</v>
      </c>
      <c r="G40" s="20" t="s">
        <v>477</v>
      </c>
      <c r="H40" s="19"/>
      <c r="I40" s="19" t="s">
        <v>230</v>
      </c>
      <c r="J40" s="19" t="s">
        <v>243</v>
      </c>
      <c r="K40" s="19" t="s">
        <v>278</v>
      </c>
      <c r="L40" s="19" t="s">
        <v>279</v>
      </c>
      <c r="M40" s="19" t="s">
        <v>268</v>
      </c>
      <c r="N40" s="19" t="s">
        <v>247</v>
      </c>
      <c r="O40" s="19" t="s">
        <v>275</v>
      </c>
      <c r="P40" s="23" t="s">
        <v>237</v>
      </c>
      <c r="Q40" s="19" t="s">
        <v>280</v>
      </c>
      <c r="R40" s="19">
        <v>1000</v>
      </c>
      <c r="S40" s="19" t="s">
        <v>272</v>
      </c>
      <c r="T40" s="19" t="s">
        <v>263</v>
      </c>
      <c r="U40" s="20" t="s">
        <v>263</v>
      </c>
      <c r="V40" s="19" t="s">
        <v>1553</v>
      </c>
      <c r="W40" s="19" t="s">
        <v>222</v>
      </c>
      <c r="X40" s="35">
        <v>10</v>
      </c>
      <c r="Y40" s="35">
        <v>10</v>
      </c>
      <c r="Z40" s="32"/>
      <c r="AA40" s="22"/>
      <c r="AB40" s="22"/>
      <c r="AC40" s="22">
        <v>5</v>
      </c>
      <c r="AD40" s="22">
        <v>5</v>
      </c>
      <c r="AE40" s="61">
        <f t="shared" si="13"/>
        <v>10</v>
      </c>
      <c r="AF40" s="22">
        <v>5</v>
      </c>
      <c r="AG40" s="40">
        <f t="shared" si="14"/>
        <v>15</v>
      </c>
      <c r="AH40" s="24"/>
      <c r="AI40" s="24"/>
      <c r="AJ40" s="24"/>
      <c r="AK40" s="24"/>
      <c r="AL40" s="23">
        <f t="shared" si="15"/>
        <v>15</v>
      </c>
      <c r="AM40" s="25"/>
      <c r="AN40" s="25"/>
      <c r="AO40" s="25">
        <v>5</v>
      </c>
      <c r="AP40" s="25">
        <v>5</v>
      </c>
      <c r="AQ40" s="80">
        <f t="shared" si="18"/>
        <v>10</v>
      </c>
      <c r="AR40" s="13"/>
      <c r="AS40" s="21"/>
      <c r="AT40" s="21"/>
      <c r="AU40" s="21"/>
      <c r="AV40" s="77"/>
      <c r="AW40" s="21"/>
      <c r="AX40" s="21"/>
      <c r="AY40" s="21"/>
      <c r="AZ40" s="21"/>
      <c r="BA40" s="21"/>
      <c r="BB40" s="21"/>
      <c r="BC40" s="77"/>
      <c r="BD40" s="21"/>
      <c r="BE40" s="21"/>
      <c r="BF40" s="21"/>
      <c r="BG40" s="21"/>
      <c r="BH40" s="21">
        <v>5</v>
      </c>
      <c r="BI40" s="21"/>
      <c r="BJ40" s="77"/>
      <c r="BK40" s="21">
        <v>5</v>
      </c>
      <c r="BL40" s="21"/>
      <c r="BM40" s="21"/>
      <c r="BN40" s="21"/>
      <c r="BO40" s="21"/>
      <c r="BP40" s="21"/>
      <c r="BQ40" s="77"/>
      <c r="BR40" s="21"/>
      <c r="BS40" s="21"/>
      <c r="BT40" s="21"/>
      <c r="BU40" s="21"/>
      <c r="BV40" s="21"/>
      <c r="BW40" s="79">
        <f t="shared" si="11"/>
        <v>10</v>
      </c>
      <c r="BX40" s="58">
        <f t="shared" si="12"/>
        <v>0</v>
      </c>
      <c r="BY40" s="26"/>
      <c r="BZ40" s="27"/>
      <c r="CA40" s="50" t="s">
        <v>477</v>
      </c>
      <c r="CB40" s="50" t="b">
        <f t="shared" si="17"/>
        <v>1</v>
      </c>
      <c r="CC40" s="51" t="s">
        <v>477</v>
      </c>
      <c r="CD40" s="19" t="s">
        <v>793</v>
      </c>
      <c r="CE40" s="19" t="s">
        <v>762</v>
      </c>
      <c r="CF40" s="19" t="s">
        <v>763</v>
      </c>
      <c r="CG40" s="19" t="s">
        <v>706</v>
      </c>
      <c r="CH40" s="19" t="s">
        <v>707</v>
      </c>
      <c r="CI40" s="19" t="s">
        <v>708</v>
      </c>
      <c r="CJ40" s="19" t="s">
        <v>709</v>
      </c>
      <c r="CK40" s="19" t="s">
        <v>695</v>
      </c>
      <c r="CL40" s="19" t="s">
        <v>694</v>
      </c>
      <c r="CM40" s="19" t="s">
        <v>794</v>
      </c>
      <c r="CN40" s="19" t="s">
        <v>795</v>
      </c>
      <c r="CO40" s="19" t="s">
        <v>796</v>
      </c>
      <c r="CP40" s="19" t="s">
        <v>767</v>
      </c>
      <c r="CQ40" s="19"/>
      <c r="CR40" s="19"/>
      <c r="CS40" s="19" t="s">
        <v>715</v>
      </c>
      <c r="CT40" s="19" t="s">
        <v>687</v>
      </c>
      <c r="CU40" s="19" t="s">
        <v>716</v>
      </c>
      <c r="CV40" s="19" t="s">
        <v>717</v>
      </c>
      <c r="CW40" s="19"/>
      <c r="CX40" s="19"/>
      <c r="CY40" s="19"/>
      <c r="CZ40" s="19"/>
      <c r="DA40" s="19"/>
      <c r="DB40" s="19"/>
      <c r="DC40" s="19"/>
      <c r="DD40" s="19"/>
      <c r="DE40" s="19"/>
      <c r="DF40" s="19"/>
    </row>
    <row r="41" spans="1:110" s="7" customFormat="1" x14ac:dyDescent="0.25">
      <c r="A41" s="19" t="s">
        <v>228</v>
      </c>
      <c r="B41" s="19" t="s">
        <v>80</v>
      </c>
      <c r="C41" s="19" t="str">
        <f t="shared" si="16"/>
        <v>96051650India</v>
      </c>
      <c r="D41" s="19">
        <v>96051650</v>
      </c>
      <c r="E41" s="19" t="s">
        <v>277</v>
      </c>
      <c r="F41" s="19" t="s">
        <v>261</v>
      </c>
      <c r="G41" s="20" t="s">
        <v>277</v>
      </c>
      <c r="H41" s="19"/>
      <c r="I41" s="19" t="s">
        <v>230</v>
      </c>
      <c r="J41" s="19" t="s">
        <v>231</v>
      </c>
      <c r="K41" s="19" t="s">
        <v>278</v>
      </c>
      <c r="L41" s="19" t="s">
        <v>279</v>
      </c>
      <c r="M41" s="19" t="s">
        <v>268</v>
      </c>
      <c r="N41" s="19" t="s">
        <v>247</v>
      </c>
      <c r="O41" s="19" t="s">
        <v>275</v>
      </c>
      <c r="P41" s="23" t="s">
        <v>237</v>
      </c>
      <c r="Q41" s="19" t="s">
        <v>280</v>
      </c>
      <c r="R41" s="19">
        <v>1000</v>
      </c>
      <c r="S41" s="19" t="s">
        <v>272</v>
      </c>
      <c r="T41" s="19" t="s">
        <v>263</v>
      </c>
      <c r="U41" s="20" t="s">
        <v>263</v>
      </c>
      <c r="V41" s="19" t="s">
        <v>187</v>
      </c>
      <c r="W41" s="19" t="s">
        <v>219</v>
      </c>
      <c r="X41" s="35">
        <v>1</v>
      </c>
      <c r="Y41" s="35">
        <v>1</v>
      </c>
      <c r="Z41" s="32"/>
      <c r="AA41" s="22">
        <v>1</v>
      </c>
      <c r="AB41" s="22"/>
      <c r="AC41" s="22"/>
      <c r="AD41" s="22"/>
      <c r="AE41" s="61">
        <f t="shared" si="13"/>
        <v>1</v>
      </c>
      <c r="AF41" s="22"/>
      <c r="AG41" s="40">
        <f t="shared" si="14"/>
        <v>1</v>
      </c>
      <c r="AH41" s="24"/>
      <c r="AI41" s="24"/>
      <c r="AJ41" s="24"/>
      <c r="AK41" s="24"/>
      <c r="AL41" s="23">
        <f t="shared" si="15"/>
        <v>1</v>
      </c>
      <c r="AM41" s="25">
        <v>1</v>
      </c>
      <c r="AN41" s="25"/>
      <c r="AO41" s="25"/>
      <c r="AP41" s="25"/>
      <c r="AQ41" s="25">
        <f t="shared" si="18"/>
        <v>1</v>
      </c>
      <c r="AR41" s="13"/>
      <c r="AS41" s="21"/>
      <c r="AT41" s="21"/>
      <c r="AU41" s="21"/>
      <c r="AV41" s="77"/>
      <c r="AW41" s="21">
        <v>1</v>
      </c>
      <c r="AX41" s="21"/>
      <c r="AY41" s="21"/>
      <c r="AZ41" s="21"/>
      <c r="BA41" s="21"/>
      <c r="BB41" s="21"/>
      <c r="BC41" s="77"/>
      <c r="BD41" s="21"/>
      <c r="BE41" s="21"/>
      <c r="BF41" s="21"/>
      <c r="BG41" s="21"/>
      <c r="BH41" s="21"/>
      <c r="BI41" s="21"/>
      <c r="BJ41" s="77"/>
      <c r="BK41" s="21"/>
      <c r="BL41" s="21"/>
      <c r="BM41" s="21"/>
      <c r="BN41" s="21"/>
      <c r="BO41" s="21"/>
      <c r="BP41" s="21"/>
      <c r="BQ41" s="77"/>
      <c r="BR41" s="21"/>
      <c r="BS41" s="21"/>
      <c r="BT41" s="21"/>
      <c r="BU41" s="21"/>
      <c r="BV41" s="21"/>
      <c r="BW41" s="79">
        <f t="shared" si="11"/>
        <v>1</v>
      </c>
      <c r="BX41" s="58">
        <f t="shared" si="12"/>
        <v>0</v>
      </c>
      <c r="BY41" s="26" t="s">
        <v>1725</v>
      </c>
      <c r="BZ41" s="27"/>
      <c r="CA41" s="50" t="s">
        <v>277</v>
      </c>
      <c r="CB41" s="50" t="b">
        <f t="shared" si="17"/>
        <v>1</v>
      </c>
      <c r="CC41" s="51" t="s">
        <v>277</v>
      </c>
      <c r="CD41" s="19" t="s">
        <v>768</v>
      </c>
      <c r="CE41" s="19" t="s">
        <v>769</v>
      </c>
      <c r="CF41" s="19" t="s">
        <v>770</v>
      </c>
      <c r="CG41" s="19" t="s">
        <v>771</v>
      </c>
      <c r="CH41" s="19" t="s">
        <v>772</v>
      </c>
      <c r="CI41" s="19" t="s">
        <v>691</v>
      </c>
      <c r="CJ41" s="19" t="s">
        <v>692</v>
      </c>
      <c r="CK41" s="19" t="s">
        <v>695</v>
      </c>
      <c r="CL41" s="19" t="s">
        <v>694</v>
      </c>
      <c r="CM41" s="19" t="s">
        <v>773</v>
      </c>
      <c r="CN41" s="19" t="s">
        <v>774</v>
      </c>
      <c r="CO41" s="19" t="s">
        <v>775</v>
      </c>
      <c r="CP41" s="19" t="s">
        <v>776</v>
      </c>
      <c r="CQ41" s="19"/>
      <c r="CR41" s="19"/>
      <c r="CS41" s="19" t="s">
        <v>686</v>
      </c>
      <c r="CT41" s="19" t="s">
        <v>687</v>
      </c>
      <c r="CU41" s="19" t="s">
        <v>777</v>
      </c>
      <c r="CV41" s="19" t="s">
        <v>778</v>
      </c>
      <c r="CW41" s="19"/>
      <c r="CX41" s="19"/>
      <c r="CY41" s="19"/>
      <c r="CZ41" s="19"/>
      <c r="DA41" s="19"/>
      <c r="DB41" s="19"/>
      <c r="DC41" s="19"/>
      <c r="DD41" s="19"/>
      <c r="DE41" s="19"/>
      <c r="DF41" s="19"/>
    </row>
    <row r="42" spans="1:110" s="7" customFormat="1" x14ac:dyDescent="0.25">
      <c r="A42" s="19" t="s">
        <v>228</v>
      </c>
      <c r="B42" s="19" t="s">
        <v>80</v>
      </c>
      <c r="C42" s="19" t="str">
        <f t="shared" si="16"/>
        <v>96059612India</v>
      </c>
      <c r="D42" s="19">
        <v>96059612</v>
      </c>
      <c r="E42" s="19" t="s">
        <v>477</v>
      </c>
      <c r="F42" s="19" t="s">
        <v>261</v>
      </c>
      <c r="G42" s="20" t="s">
        <v>477</v>
      </c>
      <c r="H42" s="19"/>
      <c r="I42" s="19" t="s">
        <v>230</v>
      </c>
      <c r="J42" s="19" t="s">
        <v>243</v>
      </c>
      <c r="K42" s="19" t="s">
        <v>278</v>
      </c>
      <c r="L42" s="19" t="s">
        <v>279</v>
      </c>
      <c r="M42" s="19" t="s">
        <v>268</v>
      </c>
      <c r="N42" s="19" t="s">
        <v>247</v>
      </c>
      <c r="O42" s="19" t="s">
        <v>275</v>
      </c>
      <c r="P42" s="23" t="s">
        <v>237</v>
      </c>
      <c r="Q42" s="19" t="s">
        <v>280</v>
      </c>
      <c r="R42" s="19">
        <v>1000</v>
      </c>
      <c r="S42" s="19" t="s">
        <v>272</v>
      </c>
      <c r="T42" s="19" t="s">
        <v>263</v>
      </c>
      <c r="U42" s="20" t="s">
        <v>263</v>
      </c>
      <c r="V42" s="19" t="s">
        <v>202</v>
      </c>
      <c r="W42" s="19" t="s">
        <v>222</v>
      </c>
      <c r="X42" s="35">
        <v>17</v>
      </c>
      <c r="Y42" s="35">
        <v>17</v>
      </c>
      <c r="Z42" s="32"/>
      <c r="AA42" s="22">
        <v>4</v>
      </c>
      <c r="AB42" s="22">
        <v>10</v>
      </c>
      <c r="AC42" s="22">
        <v>5</v>
      </c>
      <c r="AD42" s="22">
        <v>1</v>
      </c>
      <c r="AE42" s="61">
        <f t="shared" si="13"/>
        <v>20</v>
      </c>
      <c r="AF42" s="22">
        <v>20</v>
      </c>
      <c r="AG42" s="40">
        <f t="shared" si="14"/>
        <v>40</v>
      </c>
      <c r="AH42" s="24">
        <v>10</v>
      </c>
      <c r="AI42" s="24"/>
      <c r="AJ42" s="24"/>
      <c r="AK42" s="24"/>
      <c r="AL42" s="23">
        <f t="shared" si="15"/>
        <v>30</v>
      </c>
      <c r="AM42" s="25">
        <v>4</v>
      </c>
      <c r="AN42" s="25">
        <v>10</v>
      </c>
      <c r="AO42" s="25">
        <v>5</v>
      </c>
      <c r="AP42" s="25">
        <v>1</v>
      </c>
      <c r="AQ42" s="80">
        <f t="shared" si="18"/>
        <v>20</v>
      </c>
      <c r="AR42" s="13">
        <v>10</v>
      </c>
      <c r="AS42" s="21"/>
      <c r="AT42" s="83">
        <v>5</v>
      </c>
      <c r="AU42" s="83">
        <v>5</v>
      </c>
      <c r="AV42" s="77"/>
      <c r="AW42" s="21">
        <v>2</v>
      </c>
      <c r="AX42" s="21">
        <v>2</v>
      </c>
      <c r="AY42" s="21"/>
      <c r="AZ42" s="21"/>
      <c r="BA42" s="21"/>
      <c r="BB42" s="21"/>
      <c r="BC42" s="77"/>
      <c r="BD42" s="21">
        <v>5</v>
      </c>
      <c r="BE42" s="21">
        <v>5</v>
      </c>
      <c r="BF42" s="21"/>
      <c r="BG42" s="21"/>
      <c r="BH42" s="21">
        <v>5</v>
      </c>
      <c r="BI42" s="21"/>
      <c r="BJ42" s="77"/>
      <c r="BK42" s="21"/>
      <c r="BL42" s="21"/>
      <c r="BM42" s="21"/>
      <c r="BN42" s="21"/>
      <c r="BO42" s="21">
        <v>1</v>
      </c>
      <c r="BP42" s="21"/>
      <c r="BQ42" s="77"/>
      <c r="BR42" s="21"/>
      <c r="BS42" s="21"/>
      <c r="BT42" s="21"/>
      <c r="BU42" s="21"/>
      <c r="BV42" s="21"/>
      <c r="BW42" s="79">
        <f t="shared" si="11"/>
        <v>30</v>
      </c>
      <c r="BX42" s="58">
        <f t="shared" si="12"/>
        <v>-10</v>
      </c>
      <c r="BY42" s="26"/>
      <c r="BZ42" s="27"/>
      <c r="CA42" s="50" t="s">
        <v>477</v>
      </c>
      <c r="CB42" s="50" t="b">
        <f t="shared" si="17"/>
        <v>1</v>
      </c>
      <c r="CC42" s="51" t="s">
        <v>477</v>
      </c>
      <c r="CD42" s="19" t="s">
        <v>793</v>
      </c>
      <c r="CE42" s="19" t="s">
        <v>762</v>
      </c>
      <c r="CF42" s="19" t="s">
        <v>763</v>
      </c>
      <c r="CG42" s="19" t="s">
        <v>706</v>
      </c>
      <c r="CH42" s="19" t="s">
        <v>707</v>
      </c>
      <c r="CI42" s="19" t="s">
        <v>708</v>
      </c>
      <c r="CJ42" s="19" t="s">
        <v>709</v>
      </c>
      <c r="CK42" s="19" t="s">
        <v>695</v>
      </c>
      <c r="CL42" s="19" t="s">
        <v>694</v>
      </c>
      <c r="CM42" s="19" t="s">
        <v>794</v>
      </c>
      <c r="CN42" s="19" t="s">
        <v>795</v>
      </c>
      <c r="CO42" s="19" t="s">
        <v>796</v>
      </c>
      <c r="CP42" s="19" t="s">
        <v>767</v>
      </c>
      <c r="CQ42" s="19"/>
      <c r="CR42" s="19"/>
      <c r="CS42" s="19" t="s">
        <v>715</v>
      </c>
      <c r="CT42" s="19" t="s">
        <v>687</v>
      </c>
      <c r="CU42" s="19" t="s">
        <v>716</v>
      </c>
      <c r="CV42" s="19" t="s">
        <v>717</v>
      </c>
      <c r="CW42" s="19"/>
      <c r="CX42" s="19"/>
      <c r="CY42" s="19"/>
      <c r="CZ42" s="19"/>
      <c r="DA42" s="19"/>
      <c r="DB42" s="19"/>
      <c r="DC42" s="19"/>
      <c r="DD42" s="19"/>
      <c r="DE42" s="19"/>
      <c r="DF42" s="19"/>
    </row>
    <row r="43" spans="1:110" s="7" customFormat="1" x14ac:dyDescent="0.25">
      <c r="A43" s="19" t="s">
        <v>228</v>
      </c>
      <c r="B43" s="19" t="s">
        <v>80</v>
      </c>
      <c r="C43" s="19" t="str">
        <f t="shared" si="16"/>
        <v>96059619India</v>
      </c>
      <c r="D43" s="19">
        <v>96059619</v>
      </c>
      <c r="E43" s="19" t="s">
        <v>432</v>
      </c>
      <c r="F43" s="19" t="s">
        <v>261</v>
      </c>
      <c r="G43" s="20" t="s">
        <v>432</v>
      </c>
      <c r="H43" s="19"/>
      <c r="I43" s="19" t="s">
        <v>230</v>
      </c>
      <c r="J43" s="19" t="s">
        <v>231</v>
      </c>
      <c r="K43" s="19" t="s">
        <v>278</v>
      </c>
      <c r="L43" s="19" t="s">
        <v>279</v>
      </c>
      <c r="M43" s="19" t="s">
        <v>268</v>
      </c>
      <c r="N43" s="19" t="s">
        <v>247</v>
      </c>
      <c r="O43" s="19" t="s">
        <v>275</v>
      </c>
      <c r="P43" s="23" t="s">
        <v>237</v>
      </c>
      <c r="Q43" s="19" t="s">
        <v>280</v>
      </c>
      <c r="R43" s="19">
        <v>1000</v>
      </c>
      <c r="S43" s="19" t="s">
        <v>272</v>
      </c>
      <c r="T43" s="19" t="s">
        <v>263</v>
      </c>
      <c r="U43" s="20" t="s">
        <v>263</v>
      </c>
      <c r="V43" s="19" t="s">
        <v>203</v>
      </c>
      <c r="W43" s="19" t="s">
        <v>219</v>
      </c>
      <c r="X43" s="35">
        <v>1</v>
      </c>
      <c r="Y43" s="35">
        <v>1</v>
      </c>
      <c r="Z43" s="32"/>
      <c r="AA43" s="22"/>
      <c r="AB43" s="22"/>
      <c r="AC43" s="22"/>
      <c r="AD43" s="22"/>
      <c r="AE43" s="61">
        <f t="shared" si="13"/>
        <v>0</v>
      </c>
      <c r="AF43" s="22"/>
      <c r="AG43" s="40">
        <f t="shared" si="14"/>
        <v>0</v>
      </c>
      <c r="AH43" s="24"/>
      <c r="AI43" s="24"/>
      <c r="AJ43" s="24"/>
      <c r="AK43" s="24"/>
      <c r="AL43" s="23">
        <f t="shared" si="15"/>
        <v>0</v>
      </c>
      <c r="AM43" s="25"/>
      <c r="AN43" s="25"/>
      <c r="AO43" s="25"/>
      <c r="AP43" s="25"/>
      <c r="AQ43" s="25">
        <f t="shared" si="18"/>
        <v>0</v>
      </c>
      <c r="AR43" s="13"/>
      <c r="AS43" s="21"/>
      <c r="AT43" s="21"/>
      <c r="AU43" s="21"/>
      <c r="AV43" s="77"/>
      <c r="AW43" s="21"/>
      <c r="AX43" s="21"/>
      <c r="AY43" s="21"/>
      <c r="AZ43" s="21"/>
      <c r="BA43" s="21"/>
      <c r="BB43" s="21"/>
      <c r="BC43" s="77"/>
      <c r="BD43" s="21"/>
      <c r="BE43" s="21"/>
      <c r="BF43" s="21"/>
      <c r="BG43" s="21"/>
      <c r="BH43" s="21"/>
      <c r="BI43" s="21"/>
      <c r="BJ43" s="77"/>
      <c r="BK43" s="21"/>
      <c r="BL43" s="21"/>
      <c r="BM43" s="21"/>
      <c r="BN43" s="21"/>
      <c r="BO43" s="21"/>
      <c r="BP43" s="21"/>
      <c r="BQ43" s="77"/>
      <c r="BR43" s="21"/>
      <c r="BS43" s="21"/>
      <c r="BT43" s="21"/>
      <c r="BU43" s="21"/>
      <c r="BV43" s="21"/>
      <c r="BW43" s="79">
        <f t="shared" si="11"/>
        <v>0</v>
      </c>
      <c r="BX43" s="58">
        <f t="shared" si="12"/>
        <v>0</v>
      </c>
      <c r="BY43" s="26"/>
      <c r="BZ43" s="27"/>
      <c r="CA43" s="50" t="s">
        <v>432</v>
      </c>
      <c r="CB43" s="50" t="b">
        <f t="shared" si="17"/>
        <v>1</v>
      </c>
      <c r="CC43" s="51" t="s">
        <v>432</v>
      </c>
      <c r="CD43" s="19" t="s">
        <v>790</v>
      </c>
      <c r="CE43" s="19" t="s">
        <v>769</v>
      </c>
      <c r="CF43" s="19" t="s">
        <v>770</v>
      </c>
      <c r="CG43" s="19" t="s">
        <v>698</v>
      </c>
      <c r="CH43" s="19" t="s">
        <v>699</v>
      </c>
      <c r="CI43" s="19" t="s">
        <v>691</v>
      </c>
      <c r="CJ43" s="19" t="s">
        <v>692</v>
      </c>
      <c r="CK43" s="19" t="s">
        <v>695</v>
      </c>
      <c r="CL43" s="19" t="s">
        <v>694</v>
      </c>
      <c r="CM43" s="19" t="s">
        <v>773</v>
      </c>
      <c r="CN43" s="19" t="s">
        <v>774</v>
      </c>
      <c r="CO43" s="19" t="s">
        <v>791</v>
      </c>
      <c r="CP43" s="19" t="s">
        <v>767</v>
      </c>
      <c r="CQ43" s="19"/>
      <c r="CR43" s="19"/>
      <c r="CS43" s="19" t="s">
        <v>686</v>
      </c>
      <c r="CT43" s="19" t="s">
        <v>687</v>
      </c>
      <c r="CU43" s="19" t="s">
        <v>792</v>
      </c>
      <c r="CV43" s="19" t="s">
        <v>703</v>
      </c>
      <c r="CW43" s="19"/>
      <c r="CX43" s="19"/>
      <c r="CY43" s="19"/>
      <c r="CZ43" s="19"/>
      <c r="DA43" s="19"/>
      <c r="DB43" s="19"/>
      <c r="DC43" s="19"/>
      <c r="DD43" s="19"/>
      <c r="DE43" s="19"/>
      <c r="DF43" s="19"/>
    </row>
    <row r="44" spans="1:110" s="7" customFormat="1" x14ac:dyDescent="0.25">
      <c r="A44" s="19" t="s">
        <v>228</v>
      </c>
      <c r="B44" s="19" t="s">
        <v>80</v>
      </c>
      <c r="C44" s="19" t="str">
        <f t="shared" si="16"/>
        <v>96059471India</v>
      </c>
      <c r="D44" s="19">
        <v>96059471</v>
      </c>
      <c r="E44" s="19" t="s">
        <v>283</v>
      </c>
      <c r="F44" s="19" t="s">
        <v>261</v>
      </c>
      <c r="G44" s="20" t="s">
        <v>283</v>
      </c>
      <c r="H44" s="19"/>
      <c r="I44" s="19" t="s">
        <v>230</v>
      </c>
      <c r="J44" s="19" t="s">
        <v>231</v>
      </c>
      <c r="K44" s="19" t="s">
        <v>278</v>
      </c>
      <c r="L44" s="19" t="s">
        <v>279</v>
      </c>
      <c r="M44" s="19" t="s">
        <v>268</v>
      </c>
      <c r="N44" s="19" t="s">
        <v>247</v>
      </c>
      <c r="O44" s="19" t="s">
        <v>275</v>
      </c>
      <c r="P44" s="23" t="s">
        <v>237</v>
      </c>
      <c r="Q44" s="19" t="s">
        <v>280</v>
      </c>
      <c r="R44" s="19">
        <v>1000</v>
      </c>
      <c r="S44" s="19" t="s">
        <v>272</v>
      </c>
      <c r="T44" s="19" t="s">
        <v>263</v>
      </c>
      <c r="U44" s="20" t="s">
        <v>263</v>
      </c>
      <c r="V44" s="19" t="s">
        <v>109</v>
      </c>
      <c r="W44" s="19" t="s">
        <v>219</v>
      </c>
      <c r="X44" s="35">
        <v>45</v>
      </c>
      <c r="Y44" s="35">
        <v>45</v>
      </c>
      <c r="Z44" s="32"/>
      <c r="AA44" s="22"/>
      <c r="AB44" s="22"/>
      <c r="AC44" s="22"/>
      <c r="AD44" s="22">
        <v>45</v>
      </c>
      <c r="AE44" s="61">
        <f t="shared" si="13"/>
        <v>45</v>
      </c>
      <c r="AF44" s="22">
        <v>20</v>
      </c>
      <c r="AG44" s="40">
        <f t="shared" si="14"/>
        <v>65</v>
      </c>
      <c r="AH44" s="24">
        <v>1</v>
      </c>
      <c r="AI44" s="24"/>
      <c r="AJ44" s="24"/>
      <c r="AK44" s="24">
        <v>25</v>
      </c>
      <c r="AL44" s="23">
        <f t="shared" si="15"/>
        <v>89</v>
      </c>
      <c r="AM44" s="25"/>
      <c r="AN44" s="25"/>
      <c r="AO44" s="25">
        <v>15</v>
      </c>
      <c r="AP44" s="25">
        <v>74</v>
      </c>
      <c r="AQ44" s="25">
        <f t="shared" si="18"/>
        <v>89</v>
      </c>
      <c r="AR44" s="13">
        <v>1</v>
      </c>
      <c r="AS44" s="21"/>
      <c r="AT44" s="83">
        <v>1</v>
      </c>
      <c r="AU44" s="83"/>
      <c r="AV44" s="77"/>
      <c r="AW44" s="21"/>
      <c r="AX44" s="21"/>
      <c r="AY44" s="21"/>
      <c r="AZ44" s="21"/>
      <c r="BA44" s="21"/>
      <c r="BB44" s="21"/>
      <c r="BC44" s="77"/>
      <c r="BD44" s="21"/>
      <c r="BE44" s="21"/>
      <c r="BF44" s="21"/>
      <c r="BG44" s="21"/>
      <c r="BH44" s="21"/>
      <c r="BI44" s="21">
        <v>5</v>
      </c>
      <c r="BJ44" s="77"/>
      <c r="BK44" s="21">
        <v>5</v>
      </c>
      <c r="BL44" s="21">
        <v>5</v>
      </c>
      <c r="BM44" s="21"/>
      <c r="BN44" s="21">
        <v>10</v>
      </c>
      <c r="BO44" s="21">
        <v>10</v>
      </c>
      <c r="BP44" s="21">
        <v>10</v>
      </c>
      <c r="BQ44" s="77"/>
      <c r="BR44" s="81"/>
      <c r="BS44" s="81"/>
      <c r="BT44" s="81"/>
      <c r="BU44" s="81"/>
      <c r="BV44" s="81"/>
      <c r="BW44" s="79">
        <f t="shared" si="11"/>
        <v>46</v>
      </c>
      <c r="BX44" s="58">
        <f t="shared" si="12"/>
        <v>43</v>
      </c>
      <c r="BY44" s="26" t="s">
        <v>1725</v>
      </c>
      <c r="BZ44" s="27"/>
      <c r="CA44" s="50" t="s">
        <v>283</v>
      </c>
      <c r="CB44" s="50" t="b">
        <f t="shared" si="17"/>
        <v>1</v>
      </c>
      <c r="CC44" s="54" t="s">
        <v>283</v>
      </c>
      <c r="CD44" s="19" t="s">
        <v>779</v>
      </c>
      <c r="CE44" s="19" t="s">
        <v>769</v>
      </c>
      <c r="CF44" s="19" t="s">
        <v>770</v>
      </c>
      <c r="CG44" s="19" t="s">
        <v>780</v>
      </c>
      <c r="CH44" s="19" t="s">
        <v>772</v>
      </c>
      <c r="CI44" s="19" t="s">
        <v>691</v>
      </c>
      <c r="CJ44" s="19" t="s">
        <v>692</v>
      </c>
      <c r="CK44" s="19" t="s">
        <v>693</v>
      </c>
      <c r="CL44" s="19" t="s">
        <v>694</v>
      </c>
      <c r="CM44" s="19" t="s">
        <v>781</v>
      </c>
      <c r="CN44" s="19" t="s">
        <v>782</v>
      </c>
      <c r="CO44" s="19" t="s">
        <v>775</v>
      </c>
      <c r="CP44" s="19" t="s">
        <v>776</v>
      </c>
      <c r="CQ44" s="19"/>
      <c r="CR44" s="19"/>
      <c r="CS44" s="19" t="s">
        <v>686</v>
      </c>
      <c r="CT44" s="19" t="s">
        <v>687</v>
      </c>
      <c r="CU44" s="19" t="s">
        <v>783</v>
      </c>
      <c r="CV44" s="19" t="s">
        <v>784</v>
      </c>
      <c r="CW44" s="19"/>
      <c r="CX44" s="19"/>
      <c r="CY44" s="19"/>
      <c r="CZ44" s="19"/>
      <c r="DA44" s="19"/>
      <c r="DB44" s="19"/>
      <c r="DC44" s="19"/>
      <c r="DD44" s="19"/>
      <c r="DE44" s="19"/>
      <c r="DF44" s="19"/>
    </row>
    <row r="45" spans="1:110" s="7" customFormat="1" x14ac:dyDescent="0.25">
      <c r="A45" s="19" t="s">
        <v>228</v>
      </c>
      <c r="B45" s="19" t="s">
        <v>80</v>
      </c>
      <c r="C45" s="19" t="str">
        <f t="shared" si="16"/>
        <v>96051622India</v>
      </c>
      <c r="D45" s="19">
        <v>96051622</v>
      </c>
      <c r="E45" s="19" t="s">
        <v>277</v>
      </c>
      <c r="F45" s="19" t="s">
        <v>261</v>
      </c>
      <c r="G45" s="20" t="s">
        <v>277</v>
      </c>
      <c r="H45" s="19"/>
      <c r="I45" s="19" t="s">
        <v>230</v>
      </c>
      <c r="J45" s="19" t="s">
        <v>231</v>
      </c>
      <c r="K45" s="19" t="s">
        <v>278</v>
      </c>
      <c r="L45" s="19" t="s">
        <v>279</v>
      </c>
      <c r="M45" s="19" t="s">
        <v>268</v>
      </c>
      <c r="N45" s="19" t="s">
        <v>247</v>
      </c>
      <c r="O45" s="19" t="s">
        <v>270</v>
      </c>
      <c r="P45" s="23" t="s">
        <v>237</v>
      </c>
      <c r="Q45" s="19" t="s">
        <v>280</v>
      </c>
      <c r="R45" s="19">
        <v>1000</v>
      </c>
      <c r="S45" s="19" t="s">
        <v>272</v>
      </c>
      <c r="T45" s="19" t="s">
        <v>263</v>
      </c>
      <c r="U45" s="20" t="s">
        <v>263</v>
      </c>
      <c r="V45" s="19" t="s">
        <v>214</v>
      </c>
      <c r="W45" s="19" t="s">
        <v>219</v>
      </c>
      <c r="X45" s="35"/>
      <c r="Y45" s="35"/>
      <c r="Z45" s="32"/>
      <c r="AA45" s="22"/>
      <c r="AB45" s="22">
        <v>2</v>
      </c>
      <c r="AC45" s="22"/>
      <c r="AD45" s="22"/>
      <c r="AE45" s="61">
        <f t="shared" si="13"/>
        <v>2</v>
      </c>
      <c r="AF45" s="22"/>
      <c r="AG45" s="40">
        <f t="shared" si="14"/>
        <v>2</v>
      </c>
      <c r="AH45" s="24"/>
      <c r="AI45" s="24"/>
      <c r="AJ45" s="24"/>
      <c r="AK45" s="24"/>
      <c r="AL45" s="23">
        <f t="shared" si="15"/>
        <v>2</v>
      </c>
      <c r="AM45" s="25"/>
      <c r="AN45" s="25">
        <v>2</v>
      </c>
      <c r="AO45" s="25"/>
      <c r="AP45" s="25"/>
      <c r="AQ45" s="25">
        <f t="shared" si="18"/>
        <v>2</v>
      </c>
      <c r="AR45" s="13"/>
      <c r="AS45" s="21"/>
      <c r="AT45" s="21"/>
      <c r="AU45" s="21"/>
      <c r="AV45" s="77"/>
      <c r="AW45" s="21"/>
      <c r="AX45" s="21"/>
      <c r="AY45" s="21"/>
      <c r="AZ45" s="21"/>
      <c r="BA45" s="21">
        <v>2</v>
      </c>
      <c r="BB45" s="21"/>
      <c r="BC45" s="77"/>
      <c r="BD45" s="21"/>
      <c r="BE45" s="21"/>
      <c r="BF45" s="21"/>
      <c r="BG45" s="21"/>
      <c r="BH45" s="21"/>
      <c r="BI45" s="21"/>
      <c r="BJ45" s="77"/>
      <c r="BK45" s="21"/>
      <c r="BL45" s="21"/>
      <c r="BM45" s="21"/>
      <c r="BN45" s="21"/>
      <c r="BO45" s="21"/>
      <c r="BP45" s="21"/>
      <c r="BQ45" s="77"/>
      <c r="BR45" s="21"/>
      <c r="BS45" s="21"/>
      <c r="BT45" s="21"/>
      <c r="BU45" s="21"/>
      <c r="BV45" s="21"/>
      <c r="BW45" s="79">
        <f t="shared" si="11"/>
        <v>2</v>
      </c>
      <c r="BX45" s="58">
        <f t="shared" si="12"/>
        <v>0</v>
      </c>
      <c r="BY45" s="26" t="s">
        <v>1725</v>
      </c>
      <c r="BZ45" s="27"/>
      <c r="CA45" s="50" t="s">
        <v>277</v>
      </c>
      <c r="CB45" s="50" t="b">
        <f t="shared" si="17"/>
        <v>1</v>
      </c>
      <c r="CC45" s="52" t="s">
        <v>277</v>
      </c>
      <c r="CD45" s="19" t="s">
        <v>768</v>
      </c>
      <c r="CE45" s="19" t="s">
        <v>769</v>
      </c>
      <c r="CF45" s="19" t="s">
        <v>770</v>
      </c>
      <c r="CG45" s="19" t="s">
        <v>771</v>
      </c>
      <c r="CH45" s="19" t="s">
        <v>772</v>
      </c>
      <c r="CI45" s="19" t="s">
        <v>691</v>
      </c>
      <c r="CJ45" s="19" t="s">
        <v>692</v>
      </c>
      <c r="CK45" s="19" t="s">
        <v>695</v>
      </c>
      <c r="CL45" s="19" t="s">
        <v>694</v>
      </c>
      <c r="CM45" s="19" t="s">
        <v>773</v>
      </c>
      <c r="CN45" s="19" t="s">
        <v>774</v>
      </c>
      <c r="CO45" s="19" t="s">
        <v>775</v>
      </c>
      <c r="CP45" s="19" t="s">
        <v>776</v>
      </c>
      <c r="CQ45" s="19"/>
      <c r="CR45" s="19"/>
      <c r="CS45" s="19" t="s">
        <v>686</v>
      </c>
      <c r="CT45" s="19" t="s">
        <v>687</v>
      </c>
      <c r="CU45" s="19" t="s">
        <v>777</v>
      </c>
      <c r="CV45" s="19" t="s">
        <v>778</v>
      </c>
      <c r="CW45" s="19"/>
      <c r="CX45" s="19"/>
      <c r="CY45" s="19"/>
      <c r="CZ45" s="19"/>
      <c r="DA45" s="19"/>
      <c r="DB45" s="19"/>
      <c r="DC45" s="19"/>
      <c r="DD45" s="19"/>
      <c r="DE45" s="19"/>
      <c r="DF45" s="19"/>
    </row>
    <row r="46" spans="1:110" s="7" customFormat="1" x14ac:dyDescent="0.25">
      <c r="A46" s="19" t="s">
        <v>228</v>
      </c>
      <c r="B46" s="19" t="s">
        <v>80</v>
      </c>
      <c r="C46" s="19" t="str">
        <f t="shared" si="16"/>
        <v>96059624India</v>
      </c>
      <c r="D46" s="19">
        <v>96059624</v>
      </c>
      <c r="E46" s="19" t="s">
        <v>481</v>
      </c>
      <c r="F46" s="19" t="s">
        <v>261</v>
      </c>
      <c r="G46" s="20" t="s">
        <v>481</v>
      </c>
      <c r="H46" s="19"/>
      <c r="I46" s="19" t="s">
        <v>230</v>
      </c>
      <c r="J46" s="19" t="s">
        <v>243</v>
      </c>
      <c r="K46" s="19" t="s">
        <v>278</v>
      </c>
      <c r="L46" s="19" t="s">
        <v>282</v>
      </c>
      <c r="M46" s="19" t="s">
        <v>268</v>
      </c>
      <c r="N46" s="19" t="s">
        <v>247</v>
      </c>
      <c r="O46" s="19" t="s">
        <v>275</v>
      </c>
      <c r="P46" s="23" t="s">
        <v>237</v>
      </c>
      <c r="Q46" s="19" t="s">
        <v>280</v>
      </c>
      <c r="R46" s="19">
        <v>1000</v>
      </c>
      <c r="S46" s="19" t="s">
        <v>272</v>
      </c>
      <c r="T46" s="19" t="s">
        <v>263</v>
      </c>
      <c r="U46" s="20" t="s">
        <v>263</v>
      </c>
      <c r="V46" s="19" t="s">
        <v>1564</v>
      </c>
      <c r="W46" s="19" t="s">
        <v>219</v>
      </c>
      <c r="X46" s="35">
        <v>2</v>
      </c>
      <c r="Y46" s="35">
        <v>2</v>
      </c>
      <c r="Z46" s="32"/>
      <c r="AA46" s="22">
        <v>2</v>
      </c>
      <c r="AB46" s="22">
        <v>2</v>
      </c>
      <c r="AC46" s="22"/>
      <c r="AD46" s="22"/>
      <c r="AE46" s="61">
        <f t="shared" si="13"/>
        <v>4</v>
      </c>
      <c r="AF46" s="22"/>
      <c r="AG46" s="40">
        <f t="shared" si="14"/>
        <v>4</v>
      </c>
      <c r="AH46" s="24"/>
      <c r="AI46" s="24"/>
      <c r="AJ46" s="24"/>
      <c r="AK46" s="24"/>
      <c r="AL46" s="23">
        <f t="shared" si="15"/>
        <v>4</v>
      </c>
      <c r="AM46" s="25">
        <v>2</v>
      </c>
      <c r="AN46" s="25">
        <v>2</v>
      </c>
      <c r="AO46" s="25"/>
      <c r="AP46" s="25"/>
      <c r="AQ46" s="80">
        <f t="shared" si="18"/>
        <v>4</v>
      </c>
      <c r="AR46" s="13"/>
      <c r="AS46" s="21"/>
      <c r="AT46" s="21"/>
      <c r="AU46" s="21"/>
      <c r="AV46" s="77"/>
      <c r="AW46" s="21">
        <v>2</v>
      </c>
      <c r="AX46" s="21"/>
      <c r="AY46" s="21"/>
      <c r="AZ46" s="21"/>
      <c r="BA46" s="21">
        <v>2</v>
      </c>
      <c r="BB46" s="21"/>
      <c r="BC46" s="77"/>
      <c r="BD46" s="21"/>
      <c r="BE46" s="21"/>
      <c r="BF46" s="21"/>
      <c r="BG46" s="21"/>
      <c r="BH46" s="21"/>
      <c r="BI46" s="21"/>
      <c r="BJ46" s="77"/>
      <c r="BK46" s="21"/>
      <c r="BL46" s="21"/>
      <c r="BM46" s="21"/>
      <c r="BN46" s="21"/>
      <c r="BO46" s="21"/>
      <c r="BP46" s="21"/>
      <c r="BQ46" s="77"/>
      <c r="BR46" s="21"/>
      <c r="BS46" s="21"/>
      <c r="BT46" s="21"/>
      <c r="BU46" s="21"/>
      <c r="BV46" s="21"/>
      <c r="BW46" s="79">
        <f t="shared" si="11"/>
        <v>4</v>
      </c>
      <c r="BX46" s="58">
        <f t="shared" si="12"/>
        <v>0</v>
      </c>
      <c r="BY46" s="26"/>
      <c r="BZ46" s="27"/>
      <c r="CA46" s="50" t="s">
        <v>481</v>
      </c>
      <c r="CB46" s="50" t="b">
        <f t="shared" si="17"/>
        <v>1</v>
      </c>
      <c r="CC46" s="52" t="s">
        <v>481</v>
      </c>
      <c r="CD46" s="19" t="s">
        <v>797</v>
      </c>
      <c r="CE46" s="19" t="s">
        <v>762</v>
      </c>
      <c r="CF46" s="19" t="s">
        <v>763</v>
      </c>
      <c r="CG46" s="19" t="s">
        <v>706</v>
      </c>
      <c r="CH46" s="19" t="s">
        <v>707</v>
      </c>
      <c r="CI46" s="19" t="s">
        <v>708</v>
      </c>
      <c r="CJ46" s="19" t="s">
        <v>709</v>
      </c>
      <c r="CK46" s="19" t="s">
        <v>695</v>
      </c>
      <c r="CL46" s="19" t="s">
        <v>694</v>
      </c>
      <c r="CM46" s="19" t="s">
        <v>798</v>
      </c>
      <c r="CN46" s="19" t="s">
        <v>799</v>
      </c>
      <c r="CO46" s="19" t="s">
        <v>800</v>
      </c>
      <c r="CP46" s="19" t="s">
        <v>801</v>
      </c>
      <c r="CQ46" s="19"/>
      <c r="CR46" s="19"/>
      <c r="CS46" s="19" t="s">
        <v>715</v>
      </c>
      <c r="CT46" s="19" t="s">
        <v>687</v>
      </c>
      <c r="CU46" s="19" t="s">
        <v>716</v>
      </c>
      <c r="CV46" s="19" t="s">
        <v>717</v>
      </c>
      <c r="CW46" s="19"/>
      <c r="CX46" s="19"/>
      <c r="CY46" s="19"/>
      <c r="CZ46" s="19"/>
      <c r="DA46" s="19"/>
      <c r="DB46" s="19"/>
      <c r="DC46" s="19"/>
      <c r="DD46" s="19"/>
      <c r="DE46" s="19"/>
      <c r="DF46" s="19"/>
    </row>
    <row r="47" spans="1:110" s="7" customFormat="1" x14ac:dyDescent="0.25">
      <c r="A47" s="19" t="s">
        <v>228</v>
      </c>
      <c r="B47" s="19" t="s">
        <v>80</v>
      </c>
      <c r="C47" s="19" t="str">
        <f t="shared" si="16"/>
        <v>96051739India</v>
      </c>
      <c r="D47" s="19">
        <v>96051739</v>
      </c>
      <c r="E47" s="19" t="s">
        <v>429</v>
      </c>
      <c r="F47" s="19" t="s">
        <v>261</v>
      </c>
      <c r="G47" s="20" t="s">
        <v>429</v>
      </c>
      <c r="H47" s="19"/>
      <c r="I47" s="19" t="s">
        <v>230</v>
      </c>
      <c r="J47" s="19" t="s">
        <v>243</v>
      </c>
      <c r="K47" s="19" t="s">
        <v>278</v>
      </c>
      <c r="L47" s="19" t="s">
        <v>279</v>
      </c>
      <c r="M47" s="19" t="s">
        <v>268</v>
      </c>
      <c r="N47" s="19" t="s">
        <v>247</v>
      </c>
      <c r="O47" s="19" t="s">
        <v>275</v>
      </c>
      <c r="P47" s="23" t="s">
        <v>237</v>
      </c>
      <c r="Q47" s="19" t="s">
        <v>280</v>
      </c>
      <c r="R47" s="19">
        <v>1000</v>
      </c>
      <c r="S47" s="19" t="s">
        <v>272</v>
      </c>
      <c r="T47" s="19" t="s">
        <v>263</v>
      </c>
      <c r="U47" s="20" t="s">
        <v>263</v>
      </c>
      <c r="V47" s="19" t="s">
        <v>218</v>
      </c>
      <c r="W47" s="19" t="s">
        <v>219</v>
      </c>
      <c r="X47" s="35">
        <v>5</v>
      </c>
      <c r="Y47" s="35">
        <v>5</v>
      </c>
      <c r="Z47" s="32"/>
      <c r="AA47" s="22">
        <v>2</v>
      </c>
      <c r="AB47" s="22">
        <v>3</v>
      </c>
      <c r="AC47" s="22"/>
      <c r="AD47" s="22"/>
      <c r="AE47" s="61">
        <f t="shared" si="13"/>
        <v>5</v>
      </c>
      <c r="AF47" s="22"/>
      <c r="AG47" s="40">
        <f t="shared" si="14"/>
        <v>5</v>
      </c>
      <c r="AH47" s="24">
        <v>16</v>
      </c>
      <c r="AI47" s="24"/>
      <c r="AJ47" s="24"/>
      <c r="AK47" s="24"/>
      <c r="AL47" s="23">
        <v>0</v>
      </c>
      <c r="AM47" s="25"/>
      <c r="AN47" s="25"/>
      <c r="AO47" s="25"/>
      <c r="AP47" s="25"/>
      <c r="AQ47" s="80">
        <f t="shared" si="18"/>
        <v>0</v>
      </c>
      <c r="AR47" s="13">
        <v>16</v>
      </c>
      <c r="AS47" s="21"/>
      <c r="AT47" s="83">
        <v>8</v>
      </c>
      <c r="AU47" s="83">
        <v>8</v>
      </c>
      <c r="AV47" s="77"/>
      <c r="AW47" s="21"/>
      <c r="AX47" s="21"/>
      <c r="AY47" s="21"/>
      <c r="AZ47" s="21"/>
      <c r="BA47" s="21"/>
      <c r="BB47" s="21"/>
      <c r="BC47" s="77"/>
      <c r="BD47" s="21"/>
      <c r="BE47" s="21"/>
      <c r="BF47" s="21"/>
      <c r="BG47" s="21"/>
      <c r="BH47" s="21"/>
      <c r="BI47" s="21"/>
      <c r="BJ47" s="77"/>
      <c r="BK47" s="21"/>
      <c r="BL47" s="21"/>
      <c r="BM47" s="21"/>
      <c r="BN47" s="21"/>
      <c r="BO47" s="21"/>
      <c r="BP47" s="21"/>
      <c r="BQ47" s="77"/>
      <c r="BR47" s="21"/>
      <c r="BS47" s="21"/>
      <c r="BT47" s="21"/>
      <c r="BU47" s="21"/>
      <c r="BV47" s="21"/>
      <c r="BW47" s="79">
        <f t="shared" si="11"/>
        <v>16</v>
      </c>
      <c r="BX47" s="58">
        <f t="shared" si="12"/>
        <v>-16</v>
      </c>
      <c r="BY47" s="26"/>
      <c r="BZ47" s="27"/>
      <c r="CA47" s="50" t="s">
        <v>429</v>
      </c>
      <c r="CB47" s="50" t="b">
        <f t="shared" si="17"/>
        <v>1</v>
      </c>
      <c r="CC47" s="52" t="s">
        <v>429</v>
      </c>
      <c r="CD47" s="19" t="s">
        <v>785</v>
      </c>
      <c r="CE47" s="19" t="s">
        <v>762</v>
      </c>
      <c r="CF47" s="19" t="s">
        <v>763</v>
      </c>
      <c r="CG47" s="19" t="s">
        <v>706</v>
      </c>
      <c r="CH47" s="19" t="s">
        <v>707</v>
      </c>
      <c r="CI47" s="19" t="s">
        <v>708</v>
      </c>
      <c r="CJ47" s="19" t="s">
        <v>709</v>
      </c>
      <c r="CK47" s="19" t="s">
        <v>710</v>
      </c>
      <c r="CL47" s="19" t="s">
        <v>667</v>
      </c>
      <c r="CM47" s="19" t="s">
        <v>786</v>
      </c>
      <c r="CN47" s="19" t="s">
        <v>787</v>
      </c>
      <c r="CO47" s="19" t="s">
        <v>788</v>
      </c>
      <c r="CP47" s="19" t="s">
        <v>789</v>
      </c>
      <c r="CQ47" s="19"/>
      <c r="CR47" s="19"/>
      <c r="CS47" s="19" t="s">
        <v>715</v>
      </c>
      <c r="CT47" s="19" t="s">
        <v>687</v>
      </c>
      <c r="CU47" s="19" t="s">
        <v>716</v>
      </c>
      <c r="CV47" s="19" t="s">
        <v>717</v>
      </c>
      <c r="CW47" s="19"/>
      <c r="CX47" s="19"/>
      <c r="CY47" s="19"/>
      <c r="CZ47" s="19"/>
      <c r="DA47" s="19"/>
      <c r="DB47" s="19"/>
      <c r="DC47" s="19"/>
      <c r="DD47" s="19"/>
      <c r="DE47" s="19"/>
      <c r="DF47" s="19"/>
    </row>
    <row r="48" spans="1:110" s="7" customFormat="1" x14ac:dyDescent="0.25">
      <c r="A48" s="19" t="s">
        <v>228</v>
      </c>
      <c r="B48" s="19" t="s">
        <v>80</v>
      </c>
      <c r="C48" s="19" t="str">
        <f t="shared" ref="C48:C51" si="19">D48&amp;B48</f>
        <v>94550293India</v>
      </c>
      <c r="D48" s="19">
        <v>94550293</v>
      </c>
      <c r="E48" s="19" t="s">
        <v>241</v>
      </c>
      <c r="F48" s="19" t="s">
        <v>414</v>
      </c>
      <c r="G48" s="20" t="s">
        <v>414</v>
      </c>
      <c r="H48" s="19"/>
      <c r="I48" s="19" t="s">
        <v>230</v>
      </c>
      <c r="J48" s="19" t="s">
        <v>243</v>
      </c>
      <c r="K48" s="19" t="s">
        <v>331</v>
      </c>
      <c r="L48" s="19" t="s">
        <v>332</v>
      </c>
      <c r="M48" s="19" t="s">
        <v>298</v>
      </c>
      <c r="N48" s="19" t="s">
        <v>254</v>
      </c>
      <c r="O48" s="19" t="s">
        <v>395</v>
      </c>
      <c r="P48" s="23" t="s">
        <v>237</v>
      </c>
      <c r="Q48" s="19" t="s">
        <v>333</v>
      </c>
      <c r="R48" s="19">
        <v>3100</v>
      </c>
      <c r="S48" s="19" t="s">
        <v>239</v>
      </c>
      <c r="T48" s="19" t="s">
        <v>240</v>
      </c>
      <c r="U48" s="20" t="s">
        <v>240</v>
      </c>
      <c r="V48" s="19" t="s">
        <v>150</v>
      </c>
      <c r="W48" s="19" t="s">
        <v>219</v>
      </c>
      <c r="X48" s="35">
        <v>2</v>
      </c>
      <c r="Y48" s="35">
        <v>2</v>
      </c>
      <c r="Z48" s="32"/>
      <c r="AA48" s="22">
        <v>1</v>
      </c>
      <c r="AB48" s="22">
        <v>1</v>
      </c>
      <c r="AC48" s="22"/>
      <c r="AD48" s="22"/>
      <c r="AE48" s="61">
        <v>2</v>
      </c>
      <c r="AF48" s="22"/>
      <c r="AG48" s="40">
        <v>2</v>
      </c>
      <c r="AH48" s="24"/>
      <c r="AI48" s="24"/>
      <c r="AJ48" s="24"/>
      <c r="AK48" s="24"/>
      <c r="AL48" s="23">
        <v>2</v>
      </c>
      <c r="AM48" s="25"/>
      <c r="AN48" s="25">
        <v>2</v>
      </c>
      <c r="AO48" s="25"/>
      <c r="AP48" s="25"/>
      <c r="AQ48" s="80">
        <f t="shared" ref="AQ48:AQ51" si="20">SUM(AM48:AP48)</f>
        <v>2</v>
      </c>
      <c r="AR48" s="13"/>
      <c r="AS48" s="21"/>
      <c r="AT48" s="21"/>
      <c r="AU48" s="21"/>
      <c r="AV48" s="77"/>
      <c r="AW48" s="21"/>
      <c r="AX48" s="21"/>
      <c r="AY48" s="21"/>
      <c r="AZ48" s="21"/>
      <c r="BA48" s="21"/>
      <c r="BB48" s="21"/>
      <c r="BC48" s="77"/>
      <c r="BD48" s="21">
        <v>2</v>
      </c>
      <c r="BE48" s="21"/>
      <c r="BF48" s="21"/>
      <c r="BG48" s="21"/>
      <c r="BH48" s="21"/>
      <c r="BI48" s="21"/>
      <c r="BJ48" s="77"/>
      <c r="BK48" s="21"/>
      <c r="BL48" s="21"/>
      <c r="BM48" s="21"/>
      <c r="BN48" s="21"/>
      <c r="BO48" s="21"/>
      <c r="BP48" s="21"/>
      <c r="BQ48" s="77"/>
      <c r="BR48" s="21"/>
      <c r="BS48" s="21"/>
      <c r="BT48" s="21"/>
      <c r="BU48" s="21"/>
      <c r="BV48" s="21"/>
      <c r="BW48" s="79">
        <f t="shared" si="11"/>
        <v>2</v>
      </c>
      <c r="BX48" s="58">
        <f t="shared" si="12"/>
        <v>0</v>
      </c>
      <c r="BY48" s="26"/>
      <c r="CA48" s="53" t="s">
        <v>414</v>
      </c>
      <c r="CB48" s="50" t="b">
        <f t="shared" ref="CB48:CB51" si="21">CC48=CA48</f>
        <v>1</v>
      </c>
      <c r="CC48" s="19" t="s">
        <v>414</v>
      </c>
      <c r="CD48" s="19" t="s">
        <v>1398</v>
      </c>
      <c r="CE48" s="19" t="s">
        <v>1685</v>
      </c>
      <c r="CF48" s="19" t="s">
        <v>1686</v>
      </c>
      <c r="CG48" s="19" t="s">
        <v>1396</v>
      </c>
      <c r="CH48" s="19" t="s">
        <v>1397</v>
      </c>
      <c r="CI48" s="19" t="s">
        <v>1399</v>
      </c>
      <c r="CJ48" s="19" t="s">
        <v>1400</v>
      </c>
      <c r="CK48" s="19" t="s">
        <v>1394</v>
      </c>
      <c r="CL48" s="19" t="s">
        <v>1395</v>
      </c>
      <c r="CM48" s="19" t="s">
        <v>1401</v>
      </c>
      <c r="CN48" s="19" t="s">
        <v>1402</v>
      </c>
      <c r="CO48" s="19" t="s">
        <v>1403</v>
      </c>
      <c r="CP48" s="19" t="s">
        <v>1404</v>
      </c>
      <c r="CQ48" s="19" t="s">
        <v>1383</v>
      </c>
      <c r="CR48" s="19" t="s">
        <v>1384</v>
      </c>
      <c r="CS48" s="19" t="s">
        <v>1388</v>
      </c>
      <c r="CT48" s="19" t="s">
        <v>1389</v>
      </c>
      <c r="CU48" s="19" t="s">
        <v>1405</v>
      </c>
      <c r="CV48" s="19" t="s">
        <v>1406</v>
      </c>
      <c r="CW48" s="19"/>
      <c r="CX48" s="19"/>
      <c r="CY48" s="19"/>
      <c r="CZ48" s="19"/>
      <c r="DA48" s="19"/>
      <c r="DB48" s="19"/>
      <c r="DC48" s="19"/>
      <c r="DD48" s="19"/>
      <c r="DE48" s="19"/>
      <c r="DF48" s="19"/>
    </row>
    <row r="49" spans="1:110" s="7" customFormat="1" x14ac:dyDescent="0.25">
      <c r="A49" s="19" t="s">
        <v>228</v>
      </c>
      <c r="B49" s="19" t="s">
        <v>80</v>
      </c>
      <c r="C49" s="19" t="str">
        <f t="shared" si="19"/>
        <v>94550291India</v>
      </c>
      <c r="D49" s="19">
        <v>94550291</v>
      </c>
      <c r="E49" s="19" t="s">
        <v>241</v>
      </c>
      <c r="F49" s="19" t="s">
        <v>414</v>
      </c>
      <c r="G49" s="20" t="s">
        <v>414</v>
      </c>
      <c r="H49" s="19"/>
      <c r="I49" s="19" t="s">
        <v>230</v>
      </c>
      <c r="J49" s="19" t="s">
        <v>243</v>
      </c>
      <c r="K49" s="19" t="s">
        <v>331</v>
      </c>
      <c r="L49" s="19" t="s">
        <v>332</v>
      </c>
      <c r="M49" s="19" t="s">
        <v>298</v>
      </c>
      <c r="N49" s="19" t="s">
        <v>254</v>
      </c>
      <c r="O49" s="19" t="s">
        <v>335</v>
      </c>
      <c r="P49" s="23" t="s">
        <v>237</v>
      </c>
      <c r="Q49" s="19" t="s">
        <v>333</v>
      </c>
      <c r="R49" s="19">
        <v>3100</v>
      </c>
      <c r="S49" s="19" t="s">
        <v>239</v>
      </c>
      <c r="T49" s="19" t="s">
        <v>240</v>
      </c>
      <c r="U49" s="20" t="s">
        <v>240</v>
      </c>
      <c r="V49" s="19" t="s">
        <v>152</v>
      </c>
      <c r="W49" s="19" t="s">
        <v>222</v>
      </c>
      <c r="X49" s="35">
        <v>11</v>
      </c>
      <c r="Y49" s="35">
        <v>9</v>
      </c>
      <c r="Z49" s="32"/>
      <c r="AA49" s="22">
        <v>4</v>
      </c>
      <c r="AB49" s="22">
        <v>3</v>
      </c>
      <c r="AC49" s="22">
        <v>3</v>
      </c>
      <c r="AD49" s="22">
        <v>2</v>
      </c>
      <c r="AE49" s="61">
        <v>12</v>
      </c>
      <c r="AF49" s="22"/>
      <c r="AG49" s="40">
        <v>12</v>
      </c>
      <c r="AH49" s="24"/>
      <c r="AI49" s="24"/>
      <c r="AJ49" s="24"/>
      <c r="AK49" s="24"/>
      <c r="AL49" s="23">
        <v>12</v>
      </c>
      <c r="AM49" s="25"/>
      <c r="AN49" s="25"/>
      <c r="AO49" s="25">
        <v>12</v>
      </c>
      <c r="AP49" s="25"/>
      <c r="AQ49" s="80">
        <f t="shared" si="20"/>
        <v>12</v>
      </c>
      <c r="AR49" s="13"/>
      <c r="AS49" s="21"/>
      <c r="AT49" s="21"/>
      <c r="AU49" s="21"/>
      <c r="AV49" s="77"/>
      <c r="AW49" s="21"/>
      <c r="AX49" s="21"/>
      <c r="AY49" s="21"/>
      <c r="AZ49" s="21"/>
      <c r="BA49" s="21"/>
      <c r="BB49" s="21"/>
      <c r="BC49" s="77"/>
      <c r="BD49" s="21"/>
      <c r="BE49" s="21"/>
      <c r="BF49" s="21"/>
      <c r="BG49" s="21"/>
      <c r="BH49" s="21"/>
      <c r="BI49" s="21">
        <v>4</v>
      </c>
      <c r="BJ49" s="77"/>
      <c r="BK49" s="21">
        <v>4</v>
      </c>
      <c r="BL49" s="21">
        <v>4</v>
      </c>
      <c r="BM49" s="21"/>
      <c r="BN49" s="21"/>
      <c r="BO49" s="21"/>
      <c r="BP49" s="21"/>
      <c r="BQ49" s="77"/>
      <c r="BR49" s="21"/>
      <c r="BS49" s="21"/>
      <c r="BT49" s="21"/>
      <c r="BU49" s="21"/>
      <c r="BV49" s="21"/>
      <c r="BW49" s="79">
        <f t="shared" si="11"/>
        <v>12</v>
      </c>
      <c r="BX49" s="58">
        <f t="shared" si="12"/>
        <v>0</v>
      </c>
      <c r="BY49" s="26"/>
      <c r="CA49" s="53" t="s">
        <v>414</v>
      </c>
      <c r="CB49" s="50" t="b">
        <f t="shared" si="21"/>
        <v>1</v>
      </c>
      <c r="CC49" s="19" t="s">
        <v>414</v>
      </c>
      <c r="CD49" s="19" t="s">
        <v>1398</v>
      </c>
      <c r="CE49" s="7" t="s">
        <v>1685</v>
      </c>
      <c r="CF49" s="7" t="s">
        <v>1686</v>
      </c>
      <c r="CG49" s="7" t="s">
        <v>1396</v>
      </c>
      <c r="CH49" s="7" t="s">
        <v>1397</v>
      </c>
      <c r="CI49" s="7" t="s">
        <v>1399</v>
      </c>
      <c r="CJ49" s="7" t="s">
        <v>1400</v>
      </c>
      <c r="CK49" s="7" t="s">
        <v>1394</v>
      </c>
      <c r="CL49" s="7" t="s">
        <v>1395</v>
      </c>
      <c r="CM49" s="7" t="s">
        <v>1401</v>
      </c>
      <c r="CN49" s="7" t="s">
        <v>1402</v>
      </c>
      <c r="CO49" s="7" t="s">
        <v>1403</v>
      </c>
      <c r="CP49" s="7" t="s">
        <v>1404</v>
      </c>
      <c r="CQ49" s="7" t="s">
        <v>1383</v>
      </c>
      <c r="CR49" s="7" t="s">
        <v>1384</v>
      </c>
      <c r="CS49" s="7" t="s">
        <v>1388</v>
      </c>
      <c r="CT49" s="7" t="s">
        <v>1389</v>
      </c>
      <c r="CU49" s="7" t="s">
        <v>1405</v>
      </c>
      <c r="CV49" s="7" t="s">
        <v>1406</v>
      </c>
    </row>
    <row r="50" spans="1:110" s="7" customFormat="1" x14ac:dyDescent="0.25">
      <c r="A50" s="19" t="s">
        <v>74</v>
      </c>
      <c r="B50" s="19" t="s">
        <v>78</v>
      </c>
      <c r="C50" s="19" t="str">
        <f t="shared" si="19"/>
        <v>94303150The Commissioner</v>
      </c>
      <c r="D50" s="19">
        <v>94303150</v>
      </c>
      <c r="E50" s="19" t="s">
        <v>241</v>
      </c>
      <c r="F50" s="19" t="s">
        <v>249</v>
      </c>
      <c r="G50" s="20" t="s">
        <v>249</v>
      </c>
      <c r="H50" s="19"/>
      <c r="I50" s="19" t="s">
        <v>230</v>
      </c>
      <c r="J50" s="19" t="s">
        <v>250</v>
      </c>
      <c r="K50" s="19" t="s">
        <v>251</v>
      </c>
      <c r="L50" s="19" t="s">
        <v>252</v>
      </c>
      <c r="M50" s="19" t="s">
        <v>253</v>
      </c>
      <c r="N50" s="19" t="s">
        <v>254</v>
      </c>
      <c r="O50" s="19" t="s">
        <v>255</v>
      </c>
      <c r="P50" s="23" t="s">
        <v>237</v>
      </c>
      <c r="Q50" s="19" t="s">
        <v>256</v>
      </c>
      <c r="R50" s="19">
        <v>3200</v>
      </c>
      <c r="S50" s="19" t="s">
        <v>239</v>
      </c>
      <c r="T50" s="19" t="s">
        <v>240</v>
      </c>
      <c r="U50" s="20" t="s">
        <v>240</v>
      </c>
      <c r="V50" s="19" t="s">
        <v>105</v>
      </c>
      <c r="W50" s="19" t="s">
        <v>219</v>
      </c>
      <c r="X50" s="35"/>
      <c r="Y50" s="35"/>
      <c r="Z50" s="32"/>
      <c r="AA50" s="22">
        <v>1</v>
      </c>
      <c r="AB50" s="22"/>
      <c r="AC50" s="22"/>
      <c r="AD50" s="22"/>
      <c r="AE50" s="61">
        <v>1</v>
      </c>
      <c r="AF50" s="22"/>
      <c r="AG50" s="40">
        <v>1</v>
      </c>
      <c r="AH50" s="24">
        <v>1</v>
      </c>
      <c r="AI50" s="24"/>
      <c r="AJ50" s="24"/>
      <c r="AK50" s="24"/>
      <c r="AL50" s="23">
        <v>0</v>
      </c>
      <c r="AM50" s="25"/>
      <c r="AN50" s="25"/>
      <c r="AO50" s="25"/>
      <c r="AP50" s="25"/>
      <c r="AQ50" s="80">
        <f t="shared" si="20"/>
        <v>0</v>
      </c>
      <c r="AR50" s="13">
        <v>1</v>
      </c>
      <c r="AS50" s="21"/>
      <c r="AT50" s="83">
        <v>1</v>
      </c>
      <c r="AU50" s="83"/>
      <c r="AV50" s="77"/>
      <c r="AW50" s="21"/>
      <c r="AX50" s="21"/>
      <c r="AY50" s="21"/>
      <c r="AZ50" s="21"/>
      <c r="BA50" s="21"/>
      <c r="BB50" s="21"/>
      <c r="BC50" s="77"/>
      <c r="BD50" s="21"/>
      <c r="BE50" s="21"/>
      <c r="BF50" s="21"/>
      <c r="BG50" s="21"/>
      <c r="BH50" s="21"/>
      <c r="BI50" s="21"/>
      <c r="BJ50" s="77"/>
      <c r="BK50" s="21"/>
      <c r="BL50" s="21"/>
      <c r="BM50" s="21"/>
      <c r="BN50" s="21"/>
      <c r="BO50" s="21"/>
      <c r="BP50" s="21"/>
      <c r="BQ50" s="77"/>
      <c r="BR50" s="21"/>
      <c r="BS50" s="21"/>
      <c r="BT50" s="21"/>
      <c r="BU50" s="21"/>
      <c r="BV50" s="21"/>
      <c r="BW50" s="79">
        <f t="shared" si="11"/>
        <v>1</v>
      </c>
      <c r="BX50" s="58">
        <f t="shared" si="12"/>
        <v>-1</v>
      </c>
      <c r="BY50" s="26"/>
      <c r="CA50" s="53" t="s">
        <v>249</v>
      </c>
      <c r="CB50" s="50" t="b">
        <f t="shared" si="21"/>
        <v>1</v>
      </c>
      <c r="CC50" s="19" t="s">
        <v>249</v>
      </c>
      <c r="CD50" s="19" t="s">
        <v>1407</v>
      </c>
      <c r="CE50" s="19" t="s">
        <v>1685</v>
      </c>
      <c r="CF50" s="19" t="s">
        <v>1686</v>
      </c>
      <c r="CG50" s="19" t="s">
        <v>1385</v>
      </c>
      <c r="CH50" s="19" t="s">
        <v>1382</v>
      </c>
      <c r="CI50" s="19" t="s">
        <v>839</v>
      </c>
      <c r="CJ50" s="19" t="s">
        <v>840</v>
      </c>
      <c r="CK50" s="19" t="s">
        <v>1386</v>
      </c>
      <c r="CL50" s="19" t="s">
        <v>1387</v>
      </c>
      <c r="CM50" s="19" t="s">
        <v>1408</v>
      </c>
      <c r="CN50" s="19" t="s">
        <v>1409</v>
      </c>
      <c r="CO50" s="19" t="s">
        <v>1392</v>
      </c>
      <c r="CP50" s="19" t="s">
        <v>1393</v>
      </c>
      <c r="CQ50" s="19" t="s">
        <v>1383</v>
      </c>
      <c r="CR50" s="19" t="s">
        <v>1384</v>
      </c>
      <c r="CS50" s="19" t="s">
        <v>1388</v>
      </c>
      <c r="CT50" s="19" t="s">
        <v>1389</v>
      </c>
      <c r="CU50" s="19" t="s">
        <v>1390</v>
      </c>
      <c r="CV50" s="19" t="s">
        <v>1391</v>
      </c>
      <c r="CW50" s="19"/>
      <c r="CX50" s="19"/>
      <c r="CY50" s="19"/>
      <c r="CZ50" s="19"/>
      <c r="DA50" s="19"/>
      <c r="DB50" s="19"/>
      <c r="DC50" s="19"/>
      <c r="DD50" s="19"/>
      <c r="DE50" s="19"/>
      <c r="DF50" s="19"/>
    </row>
    <row r="51" spans="1:110" s="7" customFormat="1" x14ac:dyDescent="0.25">
      <c r="A51" s="19" t="s">
        <v>74</v>
      </c>
      <c r="B51" s="19" t="s">
        <v>1529</v>
      </c>
      <c r="C51" s="19" t="str">
        <f t="shared" si="19"/>
        <v>94301733Post Office UP</v>
      </c>
      <c r="D51" s="19">
        <v>94301733</v>
      </c>
      <c r="E51" s="19" t="s">
        <v>241</v>
      </c>
      <c r="F51" s="19" t="s">
        <v>1574</v>
      </c>
      <c r="G51" s="20" t="s">
        <v>1574</v>
      </c>
      <c r="H51" s="19"/>
      <c r="I51" s="19" t="s">
        <v>230</v>
      </c>
      <c r="J51" s="19" t="s">
        <v>250</v>
      </c>
      <c r="K51" s="19" t="s">
        <v>405</v>
      </c>
      <c r="L51" s="19" t="s">
        <v>260</v>
      </c>
      <c r="M51" s="19" t="s">
        <v>253</v>
      </c>
      <c r="N51" s="19" t="s">
        <v>254</v>
      </c>
      <c r="O51" s="19" t="s">
        <v>255</v>
      </c>
      <c r="P51" s="23" t="s">
        <v>237</v>
      </c>
      <c r="Q51" s="19" t="s">
        <v>256</v>
      </c>
      <c r="R51" s="19">
        <v>3200</v>
      </c>
      <c r="S51" s="19" t="s">
        <v>239</v>
      </c>
      <c r="T51" s="19" t="s">
        <v>240</v>
      </c>
      <c r="U51" s="20" t="s">
        <v>240</v>
      </c>
      <c r="V51" s="19" t="s">
        <v>1536</v>
      </c>
      <c r="W51" s="19" t="s">
        <v>219</v>
      </c>
      <c r="X51" s="35"/>
      <c r="Y51" s="35"/>
      <c r="Z51" s="32"/>
      <c r="AA51" s="22">
        <v>1</v>
      </c>
      <c r="AB51" s="22"/>
      <c r="AC51" s="22"/>
      <c r="AD51" s="22"/>
      <c r="AE51" s="61">
        <v>1</v>
      </c>
      <c r="AF51" s="22"/>
      <c r="AG51" s="40">
        <v>1</v>
      </c>
      <c r="AH51" s="24">
        <v>1</v>
      </c>
      <c r="AI51" s="24"/>
      <c r="AJ51" s="24"/>
      <c r="AK51" s="24"/>
      <c r="AL51" s="23">
        <v>0</v>
      </c>
      <c r="AM51" s="25"/>
      <c r="AN51" s="25"/>
      <c r="AO51" s="25"/>
      <c r="AP51" s="25"/>
      <c r="AQ51" s="80">
        <f t="shared" si="20"/>
        <v>0</v>
      </c>
      <c r="AR51" s="13">
        <v>1</v>
      </c>
      <c r="AS51" s="21"/>
      <c r="AT51" s="83">
        <v>1</v>
      </c>
      <c r="AU51" s="83"/>
      <c r="AV51" s="77"/>
      <c r="AW51" s="21"/>
      <c r="AX51" s="21"/>
      <c r="AY51" s="21"/>
      <c r="AZ51" s="21"/>
      <c r="BA51" s="21"/>
      <c r="BB51" s="21"/>
      <c r="BC51" s="77"/>
      <c r="BD51" s="21"/>
      <c r="BE51" s="21"/>
      <c r="BF51" s="21"/>
      <c r="BG51" s="21"/>
      <c r="BH51" s="21"/>
      <c r="BI51" s="21"/>
      <c r="BJ51" s="77"/>
      <c r="BK51" s="21"/>
      <c r="BL51" s="21"/>
      <c r="BM51" s="21"/>
      <c r="BN51" s="21"/>
      <c r="BO51" s="21"/>
      <c r="BP51" s="21"/>
      <c r="BQ51" s="77"/>
      <c r="BR51" s="21"/>
      <c r="BS51" s="21"/>
      <c r="BT51" s="21"/>
      <c r="BU51" s="21"/>
      <c r="BV51" s="21"/>
      <c r="BW51" s="79">
        <f t="shared" si="11"/>
        <v>1</v>
      </c>
      <c r="BX51" s="58">
        <f t="shared" si="12"/>
        <v>-1</v>
      </c>
      <c r="BY51" s="26"/>
      <c r="CA51" s="53" t="s">
        <v>1574</v>
      </c>
      <c r="CB51" s="50" t="b">
        <f t="shared" si="21"/>
        <v>1</v>
      </c>
      <c r="CC51" s="19" t="s">
        <v>1574</v>
      </c>
      <c r="CD51" s="19" t="s">
        <v>1687</v>
      </c>
      <c r="CE51" s="19" t="s">
        <v>1685</v>
      </c>
      <c r="CF51" s="19" t="s">
        <v>1686</v>
      </c>
      <c r="CG51" s="19" t="s">
        <v>1385</v>
      </c>
      <c r="CH51" s="19" t="s">
        <v>1382</v>
      </c>
      <c r="CI51" s="19" t="s">
        <v>839</v>
      </c>
      <c r="CJ51" s="19" t="s">
        <v>840</v>
      </c>
      <c r="CK51" s="19" t="s">
        <v>1386</v>
      </c>
      <c r="CL51" s="19" t="s">
        <v>1387</v>
      </c>
      <c r="CM51" s="19" t="s">
        <v>1411</v>
      </c>
      <c r="CN51" s="19" t="s">
        <v>1412</v>
      </c>
      <c r="CO51" s="19" t="s">
        <v>1688</v>
      </c>
      <c r="CP51" s="19" t="s">
        <v>1689</v>
      </c>
      <c r="CQ51" s="19" t="s">
        <v>1383</v>
      </c>
      <c r="CR51" s="19" t="s">
        <v>1384</v>
      </c>
      <c r="CS51" s="19" t="s">
        <v>1388</v>
      </c>
      <c r="CT51" s="19" t="s">
        <v>1389</v>
      </c>
      <c r="CU51" s="19" t="s">
        <v>1390</v>
      </c>
      <c r="CV51" s="19" t="s">
        <v>1391</v>
      </c>
      <c r="CW51" s="19"/>
      <c r="CX51" s="19"/>
      <c r="CY51" s="19"/>
      <c r="CZ51" s="19"/>
      <c r="DA51" s="19"/>
      <c r="DB51" s="19"/>
      <c r="DC51" s="19"/>
      <c r="DD51" s="19"/>
      <c r="DE51" s="19"/>
      <c r="DF51" s="19"/>
    </row>
    <row r="52" spans="1:110" s="7" customFormat="1" x14ac:dyDescent="0.25">
      <c r="A52" s="19" t="s">
        <v>74</v>
      </c>
      <c r="B52" s="19" t="s">
        <v>1534</v>
      </c>
      <c r="C52" s="19" t="str">
        <f t="shared" ref="C52:C62" si="22">D52&amp;B52</f>
        <v>94751940IG of Police (Provision) , Ranchi</v>
      </c>
      <c r="D52" s="19">
        <v>94751940</v>
      </c>
      <c r="E52" s="19" t="s">
        <v>241</v>
      </c>
      <c r="F52" s="19" t="s">
        <v>1576</v>
      </c>
      <c r="G52" s="20" t="s">
        <v>1576</v>
      </c>
      <c r="H52" s="19"/>
      <c r="I52" s="19" t="s">
        <v>230</v>
      </c>
      <c r="J52" s="19" t="s">
        <v>243</v>
      </c>
      <c r="K52" s="19" t="s">
        <v>1577</v>
      </c>
      <c r="L52" s="19" t="s">
        <v>245</v>
      </c>
      <c r="M52" s="19" t="s">
        <v>1578</v>
      </c>
      <c r="N52" s="19" t="s">
        <v>247</v>
      </c>
      <c r="O52" s="19" t="s">
        <v>1579</v>
      </c>
      <c r="P52" s="23" t="s">
        <v>237</v>
      </c>
      <c r="Q52" s="19" t="s">
        <v>259</v>
      </c>
      <c r="R52" s="19">
        <v>3600</v>
      </c>
      <c r="S52" s="19" t="s">
        <v>239</v>
      </c>
      <c r="T52" s="19" t="s">
        <v>240</v>
      </c>
      <c r="U52" s="20" t="s">
        <v>240</v>
      </c>
      <c r="V52" s="19" t="s">
        <v>1539</v>
      </c>
      <c r="W52" s="19" t="s">
        <v>219</v>
      </c>
      <c r="X52" s="35"/>
      <c r="Y52" s="35"/>
      <c r="Z52" s="32"/>
      <c r="AA52" s="22">
        <v>7</v>
      </c>
      <c r="AB52" s="22"/>
      <c r="AC52" s="22"/>
      <c r="AD52" s="22"/>
      <c r="AE52" s="61">
        <v>7</v>
      </c>
      <c r="AF52" s="22"/>
      <c r="AG52" s="40">
        <v>7</v>
      </c>
      <c r="AH52" s="24">
        <v>7</v>
      </c>
      <c r="AI52" s="24"/>
      <c r="AJ52" s="24"/>
      <c r="AK52" s="24"/>
      <c r="AL52" s="23">
        <v>0</v>
      </c>
      <c r="AM52" s="25"/>
      <c r="AN52" s="25"/>
      <c r="AO52" s="25"/>
      <c r="AP52" s="25"/>
      <c r="AQ52" s="80">
        <f t="shared" ref="AQ52:AQ64" si="23">SUM(AM52:AP52)</f>
        <v>0</v>
      </c>
      <c r="AR52" s="13">
        <v>7</v>
      </c>
      <c r="AS52" s="21"/>
      <c r="AT52" s="83">
        <v>3</v>
      </c>
      <c r="AU52" s="83">
        <v>4</v>
      </c>
      <c r="AV52" s="77"/>
      <c r="AW52" s="21"/>
      <c r="AX52" s="21"/>
      <c r="AY52" s="21"/>
      <c r="AZ52" s="21"/>
      <c r="BA52" s="21"/>
      <c r="BB52" s="21"/>
      <c r="BC52" s="77"/>
      <c r="BD52" s="21"/>
      <c r="BE52" s="21"/>
      <c r="BF52" s="21"/>
      <c r="BG52" s="21"/>
      <c r="BH52" s="21"/>
      <c r="BI52" s="21"/>
      <c r="BJ52" s="77"/>
      <c r="BK52" s="21"/>
      <c r="BL52" s="21"/>
      <c r="BM52" s="21"/>
      <c r="BN52" s="21"/>
      <c r="BO52" s="21"/>
      <c r="BP52" s="21"/>
      <c r="BQ52" s="77"/>
      <c r="BR52" s="21"/>
      <c r="BS52" s="21"/>
      <c r="BT52" s="21"/>
      <c r="BU52" s="21"/>
      <c r="BV52" s="21"/>
      <c r="BW52" s="79">
        <f t="shared" si="11"/>
        <v>7</v>
      </c>
      <c r="BX52" s="58">
        <f t="shared" si="12"/>
        <v>-7</v>
      </c>
      <c r="BY52" s="26"/>
      <c r="CA52" s="53" t="s">
        <v>1576</v>
      </c>
      <c r="CB52" s="50" t="b">
        <f t="shared" ref="CB52:CB62" si="24">CC52=CA52</f>
        <v>1</v>
      </c>
      <c r="CC52" s="19" t="s">
        <v>1576</v>
      </c>
      <c r="CD52" s="19" t="s">
        <v>1694</v>
      </c>
      <c r="CE52" s="19" t="s">
        <v>809</v>
      </c>
      <c r="CF52" s="19" t="s">
        <v>810</v>
      </c>
      <c r="CG52" s="19" t="s">
        <v>1695</v>
      </c>
      <c r="CH52" s="19" t="s">
        <v>1696</v>
      </c>
      <c r="CI52" s="19" t="s">
        <v>898</v>
      </c>
      <c r="CJ52" s="19" t="s">
        <v>899</v>
      </c>
      <c r="CK52" s="19" t="s">
        <v>1697</v>
      </c>
      <c r="CL52" s="19" t="s">
        <v>1698</v>
      </c>
      <c r="CM52" s="19" t="s">
        <v>1699</v>
      </c>
      <c r="CN52" s="19" t="s">
        <v>1432</v>
      </c>
      <c r="CO52" s="19" t="s">
        <v>1700</v>
      </c>
      <c r="CP52" s="19" t="s">
        <v>1701</v>
      </c>
      <c r="CQ52" s="19" t="s">
        <v>1690</v>
      </c>
      <c r="CR52" s="19" t="s">
        <v>1691</v>
      </c>
      <c r="CS52" s="19" t="s">
        <v>1702</v>
      </c>
      <c r="CT52" s="19" t="s">
        <v>1703</v>
      </c>
      <c r="CU52" s="19" t="s">
        <v>1704</v>
      </c>
      <c r="CV52" s="19" t="s">
        <v>1705</v>
      </c>
      <c r="CW52" s="19"/>
      <c r="CX52" s="19"/>
      <c r="CY52" s="19"/>
      <c r="CZ52" s="19"/>
      <c r="DA52" s="19"/>
      <c r="DB52" s="19"/>
      <c r="DC52" s="19"/>
      <c r="DD52" s="19"/>
      <c r="DE52" s="19"/>
      <c r="DF52" s="19"/>
    </row>
    <row r="53" spans="1:110" s="7" customFormat="1" x14ac:dyDescent="0.25">
      <c r="A53" s="19" t="s">
        <v>228</v>
      </c>
      <c r="B53" s="19" t="s">
        <v>80</v>
      </c>
      <c r="C53" s="19" t="str">
        <f t="shared" si="22"/>
        <v>94959450India</v>
      </c>
      <c r="D53" s="19">
        <v>94959450</v>
      </c>
      <c r="E53" s="19" t="s">
        <v>241</v>
      </c>
      <c r="F53" s="19" t="s">
        <v>394</v>
      </c>
      <c r="G53" s="20" t="s">
        <v>394</v>
      </c>
      <c r="H53" s="19"/>
      <c r="I53" s="19" t="s">
        <v>230</v>
      </c>
      <c r="J53" s="19" t="s">
        <v>243</v>
      </c>
      <c r="K53" s="19" t="s">
        <v>393</v>
      </c>
      <c r="L53" s="19" t="s">
        <v>264</v>
      </c>
      <c r="M53" s="19" t="s">
        <v>298</v>
      </c>
      <c r="N53" s="19" t="s">
        <v>247</v>
      </c>
      <c r="O53" s="19" t="s">
        <v>395</v>
      </c>
      <c r="P53" s="23" t="s">
        <v>237</v>
      </c>
      <c r="Q53" s="19" t="s">
        <v>259</v>
      </c>
      <c r="R53" s="19">
        <v>3600</v>
      </c>
      <c r="S53" s="19" t="s">
        <v>239</v>
      </c>
      <c r="T53" s="19" t="s">
        <v>240</v>
      </c>
      <c r="U53" s="20" t="s">
        <v>240</v>
      </c>
      <c r="V53" s="19" t="s">
        <v>143</v>
      </c>
      <c r="W53" s="19" t="s">
        <v>219</v>
      </c>
      <c r="X53" s="35">
        <v>12</v>
      </c>
      <c r="Y53" s="35">
        <v>12</v>
      </c>
      <c r="Z53" s="32"/>
      <c r="AA53" s="22">
        <v>3</v>
      </c>
      <c r="AB53" s="22">
        <v>2</v>
      </c>
      <c r="AC53" s="22">
        <v>1</v>
      </c>
      <c r="AD53" s="22">
        <v>2</v>
      </c>
      <c r="AE53" s="61">
        <v>8</v>
      </c>
      <c r="AF53" s="22"/>
      <c r="AG53" s="40">
        <v>8</v>
      </c>
      <c r="AH53" s="24"/>
      <c r="AI53" s="24"/>
      <c r="AJ53" s="24"/>
      <c r="AK53" s="24"/>
      <c r="AL53" s="23">
        <v>8</v>
      </c>
      <c r="AM53" s="25">
        <v>3</v>
      </c>
      <c r="AN53" s="25">
        <v>2</v>
      </c>
      <c r="AO53" s="25">
        <v>1</v>
      </c>
      <c r="AP53" s="25">
        <v>2</v>
      </c>
      <c r="AQ53" s="80">
        <f t="shared" si="23"/>
        <v>8</v>
      </c>
      <c r="AR53" s="13"/>
      <c r="AS53" s="21"/>
      <c r="AT53" s="21"/>
      <c r="AU53" s="21"/>
      <c r="AV53" s="77"/>
      <c r="AW53" s="21">
        <v>3</v>
      </c>
      <c r="AX53" s="21"/>
      <c r="AY53" s="21"/>
      <c r="AZ53" s="21"/>
      <c r="BA53" s="21"/>
      <c r="BB53" s="21"/>
      <c r="BC53" s="77"/>
      <c r="BD53" s="21">
        <v>2</v>
      </c>
      <c r="BE53" s="21"/>
      <c r="BF53" s="21"/>
      <c r="BG53" s="21"/>
      <c r="BH53" s="21"/>
      <c r="BI53" s="21">
        <v>1</v>
      </c>
      <c r="BJ53" s="77"/>
      <c r="BK53" s="21"/>
      <c r="BL53" s="21"/>
      <c r="BM53" s="21"/>
      <c r="BN53" s="21"/>
      <c r="BO53" s="21">
        <v>2</v>
      </c>
      <c r="BP53" s="21"/>
      <c r="BQ53" s="77"/>
      <c r="BR53" s="21"/>
      <c r="BS53" s="21"/>
      <c r="BT53" s="21"/>
      <c r="BU53" s="21"/>
      <c r="BV53" s="21"/>
      <c r="BW53" s="79">
        <f t="shared" si="11"/>
        <v>8</v>
      </c>
      <c r="BX53" s="58">
        <f t="shared" si="12"/>
        <v>0</v>
      </c>
      <c r="BY53" s="26"/>
      <c r="CA53" s="53" t="s">
        <v>394</v>
      </c>
      <c r="CB53" s="50" t="b">
        <f t="shared" si="24"/>
        <v>1</v>
      </c>
      <c r="CC53" s="19" t="s">
        <v>394</v>
      </c>
      <c r="CD53" s="19" t="s">
        <v>1421</v>
      </c>
      <c r="CE53" s="19" t="s">
        <v>1685</v>
      </c>
      <c r="CF53" s="19" t="s">
        <v>1686</v>
      </c>
      <c r="CG53" s="19" t="s">
        <v>1416</v>
      </c>
      <c r="CH53" s="19" t="s">
        <v>1410</v>
      </c>
      <c r="CI53" s="19" t="s">
        <v>1422</v>
      </c>
      <c r="CJ53" s="19" t="s">
        <v>1423</v>
      </c>
      <c r="CK53" s="19" t="s">
        <v>1417</v>
      </c>
      <c r="CL53" s="19" t="s">
        <v>1418</v>
      </c>
      <c r="CM53" s="19" t="s">
        <v>1424</v>
      </c>
      <c r="CN53" s="19" t="s">
        <v>1425</v>
      </c>
      <c r="CO53" s="19" t="s">
        <v>1426</v>
      </c>
      <c r="CP53" s="19" t="s">
        <v>1427</v>
      </c>
      <c r="CQ53" s="19" t="s">
        <v>1383</v>
      </c>
      <c r="CR53" s="19" t="s">
        <v>1384</v>
      </c>
      <c r="CS53" s="19" t="s">
        <v>1419</v>
      </c>
      <c r="CT53" s="19" t="s">
        <v>1420</v>
      </c>
      <c r="CU53" s="19" t="s">
        <v>1428</v>
      </c>
      <c r="CV53" s="19" t="s">
        <v>1429</v>
      </c>
      <c r="CW53" s="19"/>
      <c r="CX53" s="19"/>
      <c r="CY53" s="19"/>
      <c r="CZ53" s="19"/>
      <c r="DA53" s="19"/>
      <c r="DB53" s="19"/>
      <c r="DC53" s="19"/>
      <c r="DD53" s="19"/>
      <c r="DE53" s="19"/>
      <c r="DF53" s="19"/>
    </row>
    <row r="54" spans="1:110" s="7" customFormat="1" x14ac:dyDescent="0.25">
      <c r="A54" s="19" t="s">
        <v>228</v>
      </c>
      <c r="B54" s="19" t="s">
        <v>80</v>
      </c>
      <c r="C54" s="19" t="str">
        <f t="shared" si="22"/>
        <v>94959872India</v>
      </c>
      <c r="D54" s="19">
        <v>94959872</v>
      </c>
      <c r="E54" s="19" t="s">
        <v>241</v>
      </c>
      <c r="F54" s="19" t="s">
        <v>394</v>
      </c>
      <c r="G54" s="20" t="s">
        <v>394</v>
      </c>
      <c r="H54" s="19"/>
      <c r="I54" s="19" t="s">
        <v>230</v>
      </c>
      <c r="J54" s="19" t="s">
        <v>243</v>
      </c>
      <c r="K54" s="19" t="s">
        <v>393</v>
      </c>
      <c r="L54" s="19" t="s">
        <v>264</v>
      </c>
      <c r="M54" s="19" t="s">
        <v>298</v>
      </c>
      <c r="N54" s="19" t="s">
        <v>247</v>
      </c>
      <c r="O54" s="19" t="s">
        <v>335</v>
      </c>
      <c r="P54" s="23" t="s">
        <v>237</v>
      </c>
      <c r="Q54" s="19" t="s">
        <v>259</v>
      </c>
      <c r="R54" s="19">
        <v>3600</v>
      </c>
      <c r="S54" s="19" t="s">
        <v>239</v>
      </c>
      <c r="T54" s="19" t="s">
        <v>240</v>
      </c>
      <c r="U54" s="20" t="s">
        <v>240</v>
      </c>
      <c r="V54" s="19" t="s">
        <v>144</v>
      </c>
      <c r="W54" s="19" t="s">
        <v>219</v>
      </c>
      <c r="X54" s="35">
        <v>5</v>
      </c>
      <c r="Y54" s="35">
        <v>5</v>
      </c>
      <c r="Z54" s="32"/>
      <c r="AA54" s="22">
        <v>1</v>
      </c>
      <c r="AB54" s="22">
        <v>2</v>
      </c>
      <c r="AC54" s="22">
        <v>1</v>
      </c>
      <c r="AD54" s="22"/>
      <c r="AE54" s="61">
        <v>4</v>
      </c>
      <c r="AF54" s="22"/>
      <c r="AG54" s="40">
        <v>4</v>
      </c>
      <c r="AH54" s="24"/>
      <c r="AI54" s="24"/>
      <c r="AJ54" s="24"/>
      <c r="AK54" s="24"/>
      <c r="AL54" s="23">
        <v>4</v>
      </c>
      <c r="AM54" s="25">
        <v>1</v>
      </c>
      <c r="AN54" s="25">
        <v>2</v>
      </c>
      <c r="AO54" s="25">
        <v>1</v>
      </c>
      <c r="AP54" s="25"/>
      <c r="AQ54" s="80">
        <f t="shared" si="23"/>
        <v>4</v>
      </c>
      <c r="AR54" s="13"/>
      <c r="AS54" s="21"/>
      <c r="AT54" s="21"/>
      <c r="AU54" s="21"/>
      <c r="AV54" s="77"/>
      <c r="AW54" s="21">
        <v>1</v>
      </c>
      <c r="AX54" s="21"/>
      <c r="AY54" s="21"/>
      <c r="AZ54" s="21"/>
      <c r="BA54" s="21"/>
      <c r="BB54" s="21"/>
      <c r="BC54" s="77"/>
      <c r="BD54" s="21">
        <v>2</v>
      </c>
      <c r="BE54" s="21"/>
      <c r="BF54" s="21"/>
      <c r="BG54" s="21"/>
      <c r="BH54" s="21"/>
      <c r="BI54" s="21">
        <v>1</v>
      </c>
      <c r="BJ54" s="77"/>
      <c r="BK54" s="21"/>
      <c r="BL54" s="21"/>
      <c r="BM54" s="21"/>
      <c r="BN54" s="21"/>
      <c r="BO54" s="21"/>
      <c r="BP54" s="21"/>
      <c r="BQ54" s="77"/>
      <c r="BR54" s="21"/>
      <c r="BS54" s="21"/>
      <c r="BT54" s="21"/>
      <c r="BU54" s="21"/>
      <c r="BV54" s="21"/>
      <c r="BW54" s="79">
        <f t="shared" si="11"/>
        <v>4</v>
      </c>
      <c r="BX54" s="58">
        <f t="shared" si="12"/>
        <v>0</v>
      </c>
      <c r="BY54" s="26"/>
      <c r="CA54" s="53" t="s">
        <v>394</v>
      </c>
      <c r="CB54" s="50" t="b">
        <f t="shared" si="24"/>
        <v>1</v>
      </c>
      <c r="CC54" s="19" t="s">
        <v>394</v>
      </c>
      <c r="CD54" s="19" t="s">
        <v>1421</v>
      </c>
      <c r="CE54" s="19" t="s">
        <v>1685</v>
      </c>
      <c r="CF54" s="19" t="s">
        <v>1686</v>
      </c>
      <c r="CG54" s="19" t="s">
        <v>1416</v>
      </c>
      <c r="CH54" s="19" t="s">
        <v>1410</v>
      </c>
      <c r="CI54" s="19" t="s">
        <v>1422</v>
      </c>
      <c r="CJ54" s="19" t="s">
        <v>1423</v>
      </c>
      <c r="CK54" s="19" t="s">
        <v>1417</v>
      </c>
      <c r="CL54" s="19" t="s">
        <v>1418</v>
      </c>
      <c r="CM54" s="19" t="s">
        <v>1424</v>
      </c>
      <c r="CN54" s="19" t="s">
        <v>1425</v>
      </c>
      <c r="CO54" s="19" t="s">
        <v>1426</v>
      </c>
      <c r="CP54" s="19" t="s">
        <v>1427</v>
      </c>
      <c r="CQ54" s="19" t="s">
        <v>1383</v>
      </c>
      <c r="CR54" s="19" t="s">
        <v>1384</v>
      </c>
      <c r="CS54" s="19" t="s">
        <v>1419</v>
      </c>
      <c r="CT54" s="19" t="s">
        <v>1420</v>
      </c>
      <c r="CU54" s="19" t="s">
        <v>1428</v>
      </c>
      <c r="CV54" s="19" t="s">
        <v>1429</v>
      </c>
      <c r="CW54" s="19"/>
      <c r="CX54" s="19"/>
      <c r="CY54" s="19"/>
      <c r="CZ54" s="19"/>
      <c r="DA54" s="19"/>
      <c r="DB54" s="19"/>
      <c r="DC54" s="19"/>
      <c r="DD54" s="19"/>
      <c r="DE54" s="19"/>
      <c r="DF54" s="19"/>
    </row>
    <row r="55" spans="1:110" s="7" customFormat="1" x14ac:dyDescent="0.25">
      <c r="A55" s="19" t="s">
        <v>81</v>
      </c>
      <c r="B55" s="19" t="s">
        <v>96</v>
      </c>
      <c r="C55" s="19" t="str">
        <f t="shared" si="22"/>
        <v>85852627QATAR</v>
      </c>
      <c r="D55" s="19">
        <v>85852627</v>
      </c>
      <c r="E55" s="19" t="s">
        <v>241</v>
      </c>
      <c r="F55" s="19" t="s">
        <v>1587</v>
      </c>
      <c r="G55" s="20" t="s">
        <v>1587</v>
      </c>
      <c r="H55" s="19"/>
      <c r="I55" s="19" t="s">
        <v>230</v>
      </c>
      <c r="J55" s="19" t="s">
        <v>324</v>
      </c>
      <c r="K55" s="19" t="s">
        <v>328</v>
      </c>
      <c r="L55" s="19" t="s">
        <v>264</v>
      </c>
      <c r="M55" s="19" t="s">
        <v>234</v>
      </c>
      <c r="N55" s="19" t="s">
        <v>247</v>
      </c>
      <c r="O55" s="19" t="s">
        <v>329</v>
      </c>
      <c r="P55" s="23" t="s">
        <v>237</v>
      </c>
      <c r="Q55" s="19" t="s">
        <v>330</v>
      </c>
      <c r="R55" s="19">
        <v>3900</v>
      </c>
      <c r="S55" s="19" t="s">
        <v>239</v>
      </c>
      <c r="T55" s="19" t="s">
        <v>240</v>
      </c>
      <c r="U55" s="20" t="s">
        <v>240</v>
      </c>
      <c r="V55" s="19" t="s">
        <v>1546</v>
      </c>
      <c r="W55" s="19" t="s">
        <v>219</v>
      </c>
      <c r="X55" s="35"/>
      <c r="Y55" s="35"/>
      <c r="Z55" s="32"/>
      <c r="AA55" s="22">
        <v>6</v>
      </c>
      <c r="AB55" s="22"/>
      <c r="AC55" s="22"/>
      <c r="AD55" s="22"/>
      <c r="AE55" s="61">
        <v>6</v>
      </c>
      <c r="AF55" s="22"/>
      <c r="AG55" s="40">
        <v>6</v>
      </c>
      <c r="AH55" s="24"/>
      <c r="AI55" s="24"/>
      <c r="AJ55" s="24"/>
      <c r="AK55" s="24"/>
      <c r="AL55" s="23">
        <v>6</v>
      </c>
      <c r="AM55" s="25"/>
      <c r="AN55" s="25">
        <v>3</v>
      </c>
      <c r="AO55" s="25">
        <v>3</v>
      </c>
      <c r="AP55" s="25"/>
      <c r="AQ55" s="25">
        <f t="shared" si="23"/>
        <v>6</v>
      </c>
      <c r="AR55" s="13"/>
      <c r="AS55" s="21"/>
      <c r="AT55" s="21"/>
      <c r="AU55" s="21"/>
      <c r="AV55" s="77"/>
      <c r="AW55" s="21"/>
      <c r="AX55" s="21"/>
      <c r="AY55" s="21"/>
      <c r="AZ55" s="21"/>
      <c r="BA55" s="21"/>
      <c r="BB55" s="21"/>
      <c r="BC55" s="77"/>
      <c r="BD55" s="21"/>
      <c r="BE55" s="21"/>
      <c r="BF55" s="21"/>
      <c r="BG55" s="21"/>
      <c r="BH55" s="21"/>
      <c r="BI55" s="21">
        <v>1</v>
      </c>
      <c r="BJ55" s="77"/>
      <c r="BK55" s="21">
        <v>1</v>
      </c>
      <c r="BL55" s="21">
        <v>1</v>
      </c>
      <c r="BM55" s="21"/>
      <c r="BN55" s="21"/>
      <c r="BO55" s="21">
        <v>1</v>
      </c>
      <c r="BP55" s="21">
        <v>2</v>
      </c>
      <c r="BQ55" s="77"/>
      <c r="BR55" s="21"/>
      <c r="BS55" s="21"/>
      <c r="BT55" s="21"/>
      <c r="BU55" s="21"/>
      <c r="BV55" s="21"/>
      <c r="BW55" s="79">
        <f t="shared" si="11"/>
        <v>6</v>
      </c>
      <c r="BX55" s="58">
        <f t="shared" si="12"/>
        <v>0</v>
      </c>
      <c r="BY55" s="26"/>
      <c r="CA55" s="53" t="s">
        <v>1587</v>
      </c>
      <c r="CB55" s="50" t="b">
        <f t="shared" si="24"/>
        <v>1</v>
      </c>
      <c r="CC55" s="19" t="s">
        <v>1587</v>
      </c>
      <c r="CD55" s="19" t="s">
        <v>1706</v>
      </c>
      <c r="CE55" s="19" t="s">
        <v>1692</v>
      </c>
      <c r="CF55" s="19" t="s">
        <v>1693</v>
      </c>
      <c r="CG55" s="19" t="s">
        <v>1480</v>
      </c>
      <c r="CH55" s="19" t="s">
        <v>1481</v>
      </c>
      <c r="CI55" s="19" t="s">
        <v>1438</v>
      </c>
      <c r="CJ55" s="19" t="s">
        <v>1439</v>
      </c>
      <c r="CK55" s="19" t="s">
        <v>1440</v>
      </c>
      <c r="CL55" s="19" t="s">
        <v>1441</v>
      </c>
      <c r="CM55" s="19" t="s">
        <v>1707</v>
      </c>
      <c r="CN55" s="19" t="s">
        <v>1708</v>
      </c>
      <c r="CO55" s="19" t="s">
        <v>1709</v>
      </c>
      <c r="CP55" s="19" t="s">
        <v>1710</v>
      </c>
      <c r="CQ55" s="19" t="s">
        <v>1413</v>
      </c>
      <c r="CR55" s="19" t="s">
        <v>1414</v>
      </c>
      <c r="CS55" s="19" t="s">
        <v>1446</v>
      </c>
      <c r="CT55" s="19" t="s">
        <v>1447</v>
      </c>
      <c r="CU55" s="19" t="s">
        <v>1711</v>
      </c>
      <c r="CV55" s="19" t="s">
        <v>1712</v>
      </c>
      <c r="CW55" s="19"/>
      <c r="CX55" s="19"/>
      <c r="CY55" s="19"/>
      <c r="CZ55" s="19"/>
      <c r="DA55" s="19"/>
      <c r="DB55" s="19"/>
      <c r="DC55" s="19"/>
      <c r="DD55" s="19"/>
      <c r="DE55" s="19"/>
      <c r="DF55" s="19"/>
    </row>
    <row r="56" spans="1:110" s="7" customFormat="1" x14ac:dyDescent="0.25">
      <c r="A56" s="19" t="s">
        <v>81</v>
      </c>
      <c r="B56" s="19" t="s">
        <v>92</v>
      </c>
      <c r="C56" s="19" t="str">
        <f t="shared" si="22"/>
        <v>85852958UTD.ARAB EMIR.</v>
      </c>
      <c r="D56" s="19">
        <v>85852958</v>
      </c>
      <c r="E56" s="19" t="s">
        <v>241</v>
      </c>
      <c r="F56" s="19" t="s">
        <v>326</v>
      </c>
      <c r="G56" s="20" t="s">
        <v>326</v>
      </c>
      <c r="H56" s="19"/>
      <c r="I56" s="19" t="s">
        <v>230</v>
      </c>
      <c r="J56" s="19" t="s">
        <v>327</v>
      </c>
      <c r="K56" s="19" t="s">
        <v>328</v>
      </c>
      <c r="L56" s="19" t="s">
        <v>264</v>
      </c>
      <c r="M56" s="19" t="s">
        <v>234</v>
      </c>
      <c r="N56" s="19" t="s">
        <v>247</v>
      </c>
      <c r="O56" s="19" t="s">
        <v>329</v>
      </c>
      <c r="P56" s="23" t="s">
        <v>237</v>
      </c>
      <c r="Q56" s="19" t="s">
        <v>330</v>
      </c>
      <c r="R56" s="19">
        <v>3900</v>
      </c>
      <c r="S56" s="19" t="s">
        <v>239</v>
      </c>
      <c r="T56" s="19" t="s">
        <v>240</v>
      </c>
      <c r="U56" s="20" t="s">
        <v>240</v>
      </c>
      <c r="V56" s="19" t="s">
        <v>126</v>
      </c>
      <c r="W56" s="19" t="s">
        <v>219</v>
      </c>
      <c r="X56" s="35">
        <v>5</v>
      </c>
      <c r="Y56" s="35"/>
      <c r="Z56" s="32"/>
      <c r="AA56" s="22"/>
      <c r="AB56" s="22"/>
      <c r="AC56" s="22"/>
      <c r="AD56" s="22"/>
      <c r="AE56" s="61">
        <v>0</v>
      </c>
      <c r="AF56" s="22"/>
      <c r="AG56" s="40">
        <v>0</v>
      </c>
      <c r="AH56" s="24"/>
      <c r="AI56" s="24"/>
      <c r="AJ56" s="24"/>
      <c r="AK56" s="24"/>
      <c r="AL56" s="23">
        <v>0</v>
      </c>
      <c r="AM56" s="25"/>
      <c r="AN56" s="25"/>
      <c r="AO56" s="25"/>
      <c r="AP56" s="25"/>
      <c r="AQ56" s="25">
        <f t="shared" si="23"/>
        <v>0</v>
      </c>
      <c r="AR56" s="13"/>
      <c r="AS56" s="21"/>
      <c r="AT56" s="21"/>
      <c r="AU56" s="21"/>
      <c r="AV56" s="77"/>
      <c r="AW56" s="21"/>
      <c r="AX56" s="21"/>
      <c r="AY56" s="21"/>
      <c r="AZ56" s="21"/>
      <c r="BA56" s="21"/>
      <c r="BB56" s="21"/>
      <c r="BC56" s="77"/>
      <c r="BD56" s="21"/>
      <c r="BE56" s="21"/>
      <c r="BF56" s="21"/>
      <c r="BG56" s="21"/>
      <c r="BH56" s="21"/>
      <c r="BI56" s="21"/>
      <c r="BJ56" s="77"/>
      <c r="BK56" s="21"/>
      <c r="BL56" s="21"/>
      <c r="BM56" s="21"/>
      <c r="BN56" s="21"/>
      <c r="BO56" s="21"/>
      <c r="BP56" s="21"/>
      <c r="BQ56" s="77"/>
      <c r="BR56" s="21"/>
      <c r="BS56" s="21"/>
      <c r="BT56" s="21"/>
      <c r="BU56" s="21"/>
      <c r="BV56" s="21"/>
      <c r="BW56" s="79">
        <f t="shared" si="11"/>
        <v>0</v>
      </c>
      <c r="BX56" s="58">
        <f t="shared" si="12"/>
        <v>0</v>
      </c>
      <c r="BY56" s="26"/>
      <c r="CA56" s="53" t="s">
        <v>326</v>
      </c>
      <c r="CB56" s="50" t="b">
        <f t="shared" si="24"/>
        <v>1</v>
      </c>
      <c r="CC56" s="19" t="s">
        <v>326</v>
      </c>
      <c r="CD56" s="19" t="s">
        <v>1435</v>
      </c>
      <c r="CE56" s="19" t="s">
        <v>1692</v>
      </c>
      <c r="CF56" s="19" t="s">
        <v>1693</v>
      </c>
      <c r="CG56" s="19" t="s">
        <v>1436</v>
      </c>
      <c r="CH56" s="19" t="s">
        <v>1437</v>
      </c>
      <c r="CI56" s="19" t="s">
        <v>1438</v>
      </c>
      <c r="CJ56" s="19" t="s">
        <v>1439</v>
      </c>
      <c r="CK56" s="19" t="s">
        <v>1440</v>
      </c>
      <c r="CL56" s="19" t="s">
        <v>1441</v>
      </c>
      <c r="CM56" s="19" t="s">
        <v>1442</v>
      </c>
      <c r="CN56" s="19" t="s">
        <v>1443</v>
      </c>
      <c r="CO56" s="19" t="s">
        <v>1444</v>
      </c>
      <c r="CP56" s="19" t="s">
        <v>1445</v>
      </c>
      <c r="CQ56" s="19" t="s">
        <v>1413</v>
      </c>
      <c r="CR56" s="19" t="s">
        <v>1414</v>
      </c>
      <c r="CS56" s="19" t="s">
        <v>1446</v>
      </c>
      <c r="CT56" s="19" t="s">
        <v>1447</v>
      </c>
      <c r="CU56" s="19" t="s">
        <v>1448</v>
      </c>
      <c r="CV56" s="19" t="s">
        <v>1449</v>
      </c>
      <c r="CW56" s="19"/>
      <c r="CX56" s="19"/>
      <c r="CY56" s="19"/>
      <c r="CZ56" s="19"/>
      <c r="DA56" s="19"/>
      <c r="DB56" s="19"/>
      <c r="DC56" s="19"/>
      <c r="DD56" s="19"/>
      <c r="DE56" s="19"/>
      <c r="DF56" s="19"/>
    </row>
    <row r="57" spans="1:110" s="7" customFormat="1" x14ac:dyDescent="0.25">
      <c r="A57" s="19" t="s">
        <v>228</v>
      </c>
      <c r="B57" s="19" t="s">
        <v>80</v>
      </c>
      <c r="C57" s="19" t="str">
        <f t="shared" si="22"/>
        <v>91852136India</v>
      </c>
      <c r="D57" s="19">
        <v>91852136</v>
      </c>
      <c r="E57" s="19" t="s">
        <v>241</v>
      </c>
      <c r="F57" s="19" t="s">
        <v>396</v>
      </c>
      <c r="G57" s="20" t="s">
        <v>396</v>
      </c>
      <c r="H57" s="19"/>
      <c r="I57" s="19" t="s">
        <v>230</v>
      </c>
      <c r="J57" s="19" t="s">
        <v>243</v>
      </c>
      <c r="K57" s="19" t="s">
        <v>397</v>
      </c>
      <c r="L57" s="19" t="s">
        <v>264</v>
      </c>
      <c r="M57" s="19" t="s">
        <v>1596</v>
      </c>
      <c r="N57" s="19" t="s">
        <v>247</v>
      </c>
      <c r="O57" s="19" t="s">
        <v>335</v>
      </c>
      <c r="P57" s="23" t="s">
        <v>237</v>
      </c>
      <c r="Q57" s="19" t="s">
        <v>330</v>
      </c>
      <c r="R57" s="19">
        <v>3900</v>
      </c>
      <c r="S57" s="19" t="s">
        <v>239</v>
      </c>
      <c r="T57" s="19" t="s">
        <v>240</v>
      </c>
      <c r="U57" s="20" t="s">
        <v>240</v>
      </c>
      <c r="V57" s="19" t="s">
        <v>1551</v>
      </c>
      <c r="W57" s="19" t="s">
        <v>219</v>
      </c>
      <c r="X57" s="35"/>
      <c r="Y57" s="35"/>
      <c r="Z57" s="32"/>
      <c r="AA57" s="22">
        <v>2</v>
      </c>
      <c r="AB57" s="22"/>
      <c r="AC57" s="22"/>
      <c r="AD57" s="22">
        <v>2</v>
      </c>
      <c r="AE57" s="61">
        <v>4</v>
      </c>
      <c r="AF57" s="22"/>
      <c r="AG57" s="40">
        <v>4</v>
      </c>
      <c r="AH57" s="24"/>
      <c r="AI57" s="24"/>
      <c r="AJ57" s="24"/>
      <c r="AK57" s="24"/>
      <c r="AL57" s="23">
        <v>4</v>
      </c>
      <c r="AM57" s="25">
        <v>2</v>
      </c>
      <c r="AN57" s="25"/>
      <c r="AO57" s="25"/>
      <c r="AP57" s="25">
        <v>2</v>
      </c>
      <c r="AQ57" s="80">
        <f t="shared" si="23"/>
        <v>4</v>
      </c>
      <c r="AR57" s="13"/>
      <c r="AS57" s="21"/>
      <c r="AT57" s="21"/>
      <c r="AU57" s="21"/>
      <c r="AV57" s="77"/>
      <c r="AW57" s="21"/>
      <c r="AX57" s="21">
        <v>2</v>
      </c>
      <c r="AY57" s="21"/>
      <c r="AZ57" s="21"/>
      <c r="BA57" s="21"/>
      <c r="BB57" s="21"/>
      <c r="BC57" s="77"/>
      <c r="BD57" s="21"/>
      <c r="BE57" s="21"/>
      <c r="BF57" s="21"/>
      <c r="BG57" s="21"/>
      <c r="BH57" s="21"/>
      <c r="BI57" s="21"/>
      <c r="BJ57" s="77"/>
      <c r="BK57" s="21"/>
      <c r="BL57" s="21"/>
      <c r="BM57" s="21"/>
      <c r="BN57" s="21"/>
      <c r="BO57" s="21">
        <v>2</v>
      </c>
      <c r="BP57" s="21"/>
      <c r="BQ57" s="77"/>
      <c r="BR57" s="21"/>
      <c r="BS57" s="21"/>
      <c r="BT57" s="21"/>
      <c r="BU57" s="21"/>
      <c r="BV57" s="21"/>
      <c r="BW57" s="79">
        <f t="shared" si="11"/>
        <v>4</v>
      </c>
      <c r="BX57" s="58">
        <f t="shared" si="12"/>
        <v>0</v>
      </c>
      <c r="BY57" s="26"/>
      <c r="CA57" s="53" t="s">
        <v>396</v>
      </c>
      <c r="CB57" s="50" t="b">
        <f t="shared" si="24"/>
        <v>1</v>
      </c>
      <c r="CC57" s="19" t="s">
        <v>396</v>
      </c>
      <c r="CD57" s="19" t="s">
        <v>1450</v>
      </c>
      <c r="CE57" s="19" t="s">
        <v>809</v>
      </c>
      <c r="CF57" s="19" t="s">
        <v>810</v>
      </c>
      <c r="CG57" s="19" t="s">
        <v>1451</v>
      </c>
      <c r="CH57" s="19" t="s">
        <v>1410</v>
      </c>
      <c r="CI57" s="19" t="s">
        <v>1422</v>
      </c>
      <c r="CJ57" s="19" t="s">
        <v>1423</v>
      </c>
      <c r="CK57" s="19" t="s">
        <v>1452</v>
      </c>
      <c r="CL57" s="19" t="s">
        <v>1453</v>
      </c>
      <c r="CM57" s="19" t="s">
        <v>1454</v>
      </c>
      <c r="CN57" s="19" t="s">
        <v>1455</v>
      </c>
      <c r="CO57" s="19" t="s">
        <v>1456</v>
      </c>
      <c r="CP57" s="19" t="s">
        <v>1457</v>
      </c>
      <c r="CQ57" s="19" t="s">
        <v>1690</v>
      </c>
      <c r="CR57" s="19" t="s">
        <v>1691</v>
      </c>
      <c r="CS57" s="19" t="s">
        <v>1433</v>
      </c>
      <c r="CT57" s="19" t="s">
        <v>1434</v>
      </c>
      <c r="CU57" s="19" t="s">
        <v>1458</v>
      </c>
      <c r="CV57" s="19" t="s">
        <v>1459</v>
      </c>
      <c r="CW57" s="19"/>
      <c r="CX57" s="19"/>
      <c r="CY57" s="19"/>
      <c r="CZ57" s="19"/>
      <c r="DA57" s="19"/>
      <c r="DB57" s="19"/>
      <c r="DC57" s="19"/>
      <c r="DD57" s="19"/>
      <c r="DE57" s="19"/>
      <c r="DF57" s="19"/>
    </row>
    <row r="58" spans="1:110" s="7" customFormat="1" x14ac:dyDescent="0.25">
      <c r="A58" s="19" t="s">
        <v>228</v>
      </c>
      <c r="B58" s="19" t="s">
        <v>80</v>
      </c>
      <c r="C58" s="19" t="str">
        <f t="shared" si="22"/>
        <v>91859932India</v>
      </c>
      <c r="D58" s="19">
        <v>91859932</v>
      </c>
      <c r="E58" s="19" t="s">
        <v>396</v>
      </c>
      <c r="F58" s="19" t="s">
        <v>396</v>
      </c>
      <c r="G58" s="20" t="s">
        <v>396</v>
      </c>
      <c r="H58" s="19"/>
      <c r="I58" s="19" t="s">
        <v>230</v>
      </c>
      <c r="J58" s="19" t="s">
        <v>243</v>
      </c>
      <c r="K58" s="19" t="s">
        <v>397</v>
      </c>
      <c r="L58" s="19" t="s">
        <v>264</v>
      </c>
      <c r="M58" s="19" t="s">
        <v>298</v>
      </c>
      <c r="N58" s="19" t="s">
        <v>247</v>
      </c>
      <c r="O58" s="19" t="s">
        <v>335</v>
      </c>
      <c r="P58" s="23" t="s">
        <v>237</v>
      </c>
      <c r="Q58" s="19" t="s">
        <v>330</v>
      </c>
      <c r="R58" s="19">
        <v>3900</v>
      </c>
      <c r="S58" s="19" t="s">
        <v>239</v>
      </c>
      <c r="T58" s="19" t="s">
        <v>240</v>
      </c>
      <c r="U58" s="20" t="s">
        <v>240</v>
      </c>
      <c r="V58" s="19" t="s">
        <v>145</v>
      </c>
      <c r="W58" s="19" t="s">
        <v>221</v>
      </c>
      <c r="X58" s="35">
        <v>54</v>
      </c>
      <c r="Y58" s="35">
        <v>60</v>
      </c>
      <c r="Z58" s="32"/>
      <c r="AA58" s="22">
        <v>4</v>
      </c>
      <c r="AB58" s="22">
        <v>7</v>
      </c>
      <c r="AC58" s="22">
        <v>5</v>
      </c>
      <c r="AD58" s="22">
        <v>4</v>
      </c>
      <c r="AE58" s="61">
        <v>20</v>
      </c>
      <c r="AF58" s="22"/>
      <c r="AG58" s="40">
        <v>20</v>
      </c>
      <c r="AH58" s="24"/>
      <c r="AI58" s="24"/>
      <c r="AJ58" s="24"/>
      <c r="AK58" s="24">
        <v>24</v>
      </c>
      <c r="AL58" s="23">
        <v>44</v>
      </c>
      <c r="AM58" s="25">
        <v>4</v>
      </c>
      <c r="AN58" s="25">
        <v>7</v>
      </c>
      <c r="AO58" s="25">
        <v>12</v>
      </c>
      <c r="AP58" s="25">
        <v>12</v>
      </c>
      <c r="AQ58" s="80">
        <f t="shared" si="23"/>
        <v>35</v>
      </c>
      <c r="AR58" s="13"/>
      <c r="AS58" s="21"/>
      <c r="AT58" s="21"/>
      <c r="AU58" s="21"/>
      <c r="AV58" s="77"/>
      <c r="AW58" s="21">
        <v>4</v>
      </c>
      <c r="AX58" s="21"/>
      <c r="AY58" s="21"/>
      <c r="AZ58" s="21"/>
      <c r="BA58" s="21"/>
      <c r="BB58" s="21">
        <v>3</v>
      </c>
      <c r="BC58" s="77"/>
      <c r="BD58" s="21">
        <v>4</v>
      </c>
      <c r="BE58" s="21"/>
      <c r="BF58" s="21"/>
      <c r="BG58" s="21"/>
      <c r="BH58" s="21"/>
      <c r="BI58" s="21"/>
      <c r="BJ58" s="77"/>
      <c r="BK58" s="21">
        <v>4</v>
      </c>
      <c r="BL58" s="21">
        <v>5</v>
      </c>
      <c r="BM58" s="21"/>
      <c r="BN58" s="21"/>
      <c r="BO58" s="21"/>
      <c r="BP58" s="21"/>
      <c r="BQ58" s="77"/>
      <c r="BR58" s="21"/>
      <c r="BS58" s="21"/>
      <c r="BT58" s="21"/>
      <c r="BU58" s="21"/>
      <c r="BV58" s="21"/>
      <c r="BW58" s="79">
        <f t="shared" si="11"/>
        <v>20</v>
      </c>
      <c r="BX58" s="58">
        <f t="shared" si="12"/>
        <v>15</v>
      </c>
      <c r="BY58" s="26"/>
      <c r="CA58" s="53" t="s">
        <v>396</v>
      </c>
      <c r="CB58" s="50" t="b">
        <f t="shared" si="24"/>
        <v>1</v>
      </c>
      <c r="CC58" s="19" t="s">
        <v>396</v>
      </c>
      <c r="CD58" s="19" t="s">
        <v>1450</v>
      </c>
      <c r="CE58" s="19" t="s">
        <v>809</v>
      </c>
      <c r="CF58" s="19" t="s">
        <v>810</v>
      </c>
      <c r="CG58" s="19" t="s">
        <v>1451</v>
      </c>
      <c r="CH58" s="19" t="s">
        <v>1410</v>
      </c>
      <c r="CI58" s="19" t="s">
        <v>1422</v>
      </c>
      <c r="CJ58" s="19" t="s">
        <v>1423</v>
      </c>
      <c r="CK58" s="19" t="s">
        <v>1452</v>
      </c>
      <c r="CL58" s="19" t="s">
        <v>1453</v>
      </c>
      <c r="CM58" s="19" t="s">
        <v>1454</v>
      </c>
      <c r="CN58" s="19" t="s">
        <v>1455</v>
      </c>
      <c r="CO58" s="19" t="s">
        <v>1456</v>
      </c>
      <c r="CP58" s="19" t="s">
        <v>1457</v>
      </c>
      <c r="CQ58" s="19" t="s">
        <v>1690</v>
      </c>
      <c r="CR58" s="19" t="s">
        <v>1691</v>
      </c>
      <c r="CS58" s="19" t="s">
        <v>1433</v>
      </c>
      <c r="CT58" s="19" t="s">
        <v>1434</v>
      </c>
      <c r="CU58" s="19" t="s">
        <v>1458</v>
      </c>
      <c r="CV58" s="19" t="s">
        <v>1459</v>
      </c>
      <c r="CW58" s="19"/>
      <c r="CX58" s="19"/>
      <c r="CY58" s="19"/>
      <c r="CZ58" s="19"/>
      <c r="DA58" s="19"/>
      <c r="DB58" s="19"/>
      <c r="DC58" s="19"/>
      <c r="DD58" s="19"/>
      <c r="DE58" s="19"/>
      <c r="DF58" s="19"/>
    </row>
    <row r="59" spans="1:110" s="7" customFormat="1" x14ac:dyDescent="0.25">
      <c r="A59" s="19" t="s">
        <v>74</v>
      </c>
      <c r="B59" s="19" t="s">
        <v>76</v>
      </c>
      <c r="C59" s="19" t="str">
        <f t="shared" si="22"/>
        <v>92000941Manager Mail Motors (Patna) (2)</v>
      </c>
      <c r="D59" s="19">
        <v>92000941</v>
      </c>
      <c r="E59" s="19" t="s">
        <v>241</v>
      </c>
      <c r="F59" s="19" t="s">
        <v>501</v>
      </c>
      <c r="G59" s="20" t="s">
        <v>501</v>
      </c>
      <c r="H59" s="19"/>
      <c r="I59" s="19" t="s">
        <v>230</v>
      </c>
      <c r="J59" s="19" t="s">
        <v>243</v>
      </c>
      <c r="K59" s="19" t="s">
        <v>404</v>
      </c>
      <c r="L59" s="19" t="s">
        <v>282</v>
      </c>
      <c r="M59" s="19" t="s">
        <v>500</v>
      </c>
      <c r="N59" s="19" t="s">
        <v>247</v>
      </c>
      <c r="O59" s="19" t="s">
        <v>255</v>
      </c>
      <c r="P59" s="23" t="s">
        <v>237</v>
      </c>
      <c r="Q59" s="19" t="s">
        <v>248</v>
      </c>
      <c r="R59" s="19">
        <v>4100</v>
      </c>
      <c r="S59" s="19" t="s">
        <v>239</v>
      </c>
      <c r="T59" s="19" t="s">
        <v>240</v>
      </c>
      <c r="U59" s="20" t="s">
        <v>240</v>
      </c>
      <c r="V59" s="19" t="s">
        <v>107</v>
      </c>
      <c r="W59" s="19" t="s">
        <v>219</v>
      </c>
      <c r="X59" s="35"/>
      <c r="Y59" s="35"/>
      <c r="Z59" s="32"/>
      <c r="AA59" s="22">
        <v>2</v>
      </c>
      <c r="AB59" s="22"/>
      <c r="AC59" s="22"/>
      <c r="AD59" s="22"/>
      <c r="AE59" s="61">
        <v>2</v>
      </c>
      <c r="AF59" s="22"/>
      <c r="AG59" s="40">
        <v>2</v>
      </c>
      <c r="AH59" s="24">
        <v>2</v>
      </c>
      <c r="AI59" s="24"/>
      <c r="AJ59" s="24"/>
      <c r="AK59" s="24"/>
      <c r="AL59" s="23">
        <v>0</v>
      </c>
      <c r="AM59" s="25"/>
      <c r="AN59" s="25"/>
      <c r="AO59" s="25"/>
      <c r="AP59" s="25"/>
      <c r="AQ59" s="80">
        <f t="shared" si="23"/>
        <v>0</v>
      </c>
      <c r="AR59" s="13">
        <v>2</v>
      </c>
      <c r="AS59" s="21"/>
      <c r="AT59" s="83">
        <v>2</v>
      </c>
      <c r="AU59" s="83"/>
      <c r="AV59" s="77"/>
      <c r="AW59" s="21"/>
      <c r="AX59" s="21"/>
      <c r="AY59" s="21"/>
      <c r="AZ59" s="21"/>
      <c r="BA59" s="21"/>
      <c r="BB59" s="21"/>
      <c r="BC59" s="77"/>
      <c r="BD59" s="21"/>
      <c r="BE59" s="21"/>
      <c r="BF59" s="21"/>
      <c r="BG59" s="21"/>
      <c r="BH59" s="21"/>
      <c r="BI59" s="21"/>
      <c r="BJ59" s="77"/>
      <c r="BK59" s="21"/>
      <c r="BL59" s="21"/>
      <c r="BM59" s="21"/>
      <c r="BN59" s="21"/>
      <c r="BO59" s="21"/>
      <c r="BP59" s="21"/>
      <c r="BQ59" s="77"/>
      <c r="BR59" s="21"/>
      <c r="BS59" s="21"/>
      <c r="BT59" s="21"/>
      <c r="BU59" s="21"/>
      <c r="BV59" s="21"/>
      <c r="BW59" s="79">
        <f t="shared" si="11"/>
        <v>2</v>
      </c>
      <c r="BX59" s="58">
        <f t="shared" si="12"/>
        <v>-2</v>
      </c>
      <c r="BY59" s="26"/>
      <c r="CA59" s="53" t="s">
        <v>501</v>
      </c>
      <c r="CB59" s="50" t="b">
        <f t="shared" si="24"/>
        <v>1</v>
      </c>
      <c r="CC59" s="19" t="s">
        <v>501</v>
      </c>
      <c r="CD59" s="19" t="s">
        <v>1469</v>
      </c>
      <c r="CE59" s="19" t="s">
        <v>809</v>
      </c>
      <c r="CF59" s="19" t="s">
        <v>810</v>
      </c>
      <c r="CG59" s="19" t="s">
        <v>1470</v>
      </c>
      <c r="CH59" s="19" t="s">
        <v>1471</v>
      </c>
      <c r="CI59" s="19" t="s">
        <v>898</v>
      </c>
      <c r="CJ59" s="19" t="s">
        <v>899</v>
      </c>
      <c r="CK59" s="19" t="s">
        <v>1472</v>
      </c>
      <c r="CL59" s="19" t="s">
        <v>1473</v>
      </c>
      <c r="CM59" s="19" t="s">
        <v>1474</v>
      </c>
      <c r="CN59" s="19" t="s">
        <v>1475</v>
      </c>
      <c r="CO59" s="19" t="s">
        <v>1476</v>
      </c>
      <c r="CP59" s="19" t="s">
        <v>1477</v>
      </c>
      <c r="CQ59" s="19" t="s">
        <v>1690</v>
      </c>
      <c r="CR59" s="19" t="s">
        <v>1691</v>
      </c>
      <c r="CS59" s="19" t="s">
        <v>1467</v>
      </c>
      <c r="CT59" s="19" t="s">
        <v>1468</v>
      </c>
      <c r="CU59" s="19" t="s">
        <v>1478</v>
      </c>
      <c r="CV59" s="19" t="s">
        <v>1479</v>
      </c>
      <c r="CW59" s="19"/>
      <c r="CX59" s="19"/>
      <c r="CY59" s="19"/>
      <c r="CZ59" s="19"/>
      <c r="DA59" s="19"/>
      <c r="DB59" s="19"/>
      <c r="DC59" s="19"/>
      <c r="DD59" s="19"/>
      <c r="DE59" s="19"/>
      <c r="DF59" s="19"/>
    </row>
    <row r="60" spans="1:110" s="7" customFormat="1" x14ac:dyDescent="0.25">
      <c r="A60" s="19" t="s">
        <v>74</v>
      </c>
      <c r="B60" s="19" t="s">
        <v>77</v>
      </c>
      <c r="C60" s="19" t="str">
        <f t="shared" si="22"/>
        <v>94900443Superintendent of Police Parbhani,</v>
      </c>
      <c r="D60" s="19">
        <v>94900443</v>
      </c>
      <c r="E60" s="19" t="s">
        <v>241</v>
      </c>
      <c r="F60" s="19" t="s">
        <v>242</v>
      </c>
      <c r="G60" s="20" t="s">
        <v>242</v>
      </c>
      <c r="H60" s="19"/>
      <c r="I60" s="19" t="s">
        <v>230</v>
      </c>
      <c r="J60" s="19" t="s">
        <v>243</v>
      </c>
      <c r="K60" s="19" t="s">
        <v>244</v>
      </c>
      <c r="L60" s="19" t="s">
        <v>245</v>
      </c>
      <c r="M60" s="19" t="s">
        <v>246</v>
      </c>
      <c r="N60" s="19" t="s">
        <v>247</v>
      </c>
      <c r="O60" s="19" t="s">
        <v>236</v>
      </c>
      <c r="P60" s="23" t="s">
        <v>237</v>
      </c>
      <c r="Q60" s="19" t="s">
        <v>248</v>
      </c>
      <c r="R60" s="19">
        <v>4100</v>
      </c>
      <c r="S60" s="19" t="s">
        <v>239</v>
      </c>
      <c r="T60" s="19" t="s">
        <v>240</v>
      </c>
      <c r="U60" s="20" t="s">
        <v>240</v>
      </c>
      <c r="V60" s="19" t="s">
        <v>104</v>
      </c>
      <c r="W60" s="19" t="s">
        <v>219</v>
      </c>
      <c r="X60" s="35"/>
      <c r="Y60" s="35"/>
      <c r="Z60" s="32"/>
      <c r="AA60" s="22">
        <v>1</v>
      </c>
      <c r="AB60" s="22"/>
      <c r="AC60" s="22"/>
      <c r="AD60" s="22"/>
      <c r="AE60" s="61">
        <v>1</v>
      </c>
      <c r="AF60" s="22"/>
      <c r="AG60" s="40">
        <v>1</v>
      </c>
      <c r="AH60" s="24">
        <v>1</v>
      </c>
      <c r="AI60" s="24"/>
      <c r="AJ60" s="24"/>
      <c r="AK60" s="24"/>
      <c r="AL60" s="23">
        <v>0</v>
      </c>
      <c r="AM60" s="25"/>
      <c r="AN60" s="25"/>
      <c r="AO60" s="25"/>
      <c r="AP60" s="25"/>
      <c r="AQ60" s="80">
        <f t="shared" si="23"/>
        <v>0</v>
      </c>
      <c r="AR60" s="13">
        <v>1</v>
      </c>
      <c r="AS60" s="21"/>
      <c r="AT60" s="83"/>
      <c r="AU60" s="83">
        <v>1</v>
      </c>
      <c r="AV60" s="77"/>
      <c r="AW60" s="21"/>
      <c r="AX60" s="21"/>
      <c r="AY60" s="21"/>
      <c r="AZ60" s="21"/>
      <c r="BA60" s="21"/>
      <c r="BB60" s="21"/>
      <c r="BC60" s="77"/>
      <c r="BD60" s="21"/>
      <c r="BE60" s="21"/>
      <c r="BF60" s="21"/>
      <c r="BG60" s="21"/>
      <c r="BH60" s="21"/>
      <c r="BI60" s="21"/>
      <c r="BJ60" s="77"/>
      <c r="BK60" s="21"/>
      <c r="BL60" s="21"/>
      <c r="BM60" s="21"/>
      <c r="BN60" s="21"/>
      <c r="BO60" s="21"/>
      <c r="BP60" s="21"/>
      <c r="BQ60" s="77"/>
      <c r="BR60" s="21"/>
      <c r="BS60" s="21"/>
      <c r="BT60" s="21"/>
      <c r="BU60" s="21"/>
      <c r="BV60" s="21"/>
      <c r="BW60" s="79">
        <f t="shared" si="11"/>
        <v>1</v>
      </c>
      <c r="BX60" s="58">
        <f t="shared" si="12"/>
        <v>-1</v>
      </c>
      <c r="BY60" s="26"/>
      <c r="CA60" s="53" t="s">
        <v>242</v>
      </c>
      <c r="CB60" s="50" t="b">
        <f t="shared" si="24"/>
        <v>1</v>
      </c>
      <c r="CC60" s="19" t="s">
        <v>242</v>
      </c>
      <c r="CD60" s="19" t="s">
        <v>1460</v>
      </c>
      <c r="CE60" s="19" t="s">
        <v>809</v>
      </c>
      <c r="CF60" s="19" t="s">
        <v>810</v>
      </c>
      <c r="CG60" s="19" t="s">
        <v>1415</v>
      </c>
      <c r="CH60" s="19" t="s">
        <v>1410</v>
      </c>
      <c r="CI60" s="19" t="s">
        <v>898</v>
      </c>
      <c r="CJ60" s="19" t="s">
        <v>899</v>
      </c>
      <c r="CK60" s="19" t="s">
        <v>1461</v>
      </c>
      <c r="CL60" s="19" t="s">
        <v>1462</v>
      </c>
      <c r="CM60" s="19" t="s">
        <v>1463</v>
      </c>
      <c r="CN60" s="19" t="s">
        <v>1464</v>
      </c>
      <c r="CO60" s="19" t="s">
        <v>1465</v>
      </c>
      <c r="CP60" s="19" t="s">
        <v>1466</v>
      </c>
      <c r="CQ60" s="19" t="s">
        <v>1690</v>
      </c>
      <c r="CR60" s="19" t="s">
        <v>1691</v>
      </c>
      <c r="CS60" s="19" t="s">
        <v>1467</v>
      </c>
      <c r="CT60" s="19" t="s">
        <v>1468</v>
      </c>
      <c r="CU60" s="19" t="s">
        <v>1430</v>
      </c>
      <c r="CV60" s="19" t="s">
        <v>1431</v>
      </c>
      <c r="CW60" s="19"/>
      <c r="CX60" s="19"/>
      <c r="CY60" s="19"/>
      <c r="CZ60" s="19"/>
      <c r="DA60" s="19"/>
      <c r="DB60" s="19"/>
      <c r="DC60" s="19"/>
      <c r="DD60" s="19"/>
      <c r="DE60" s="19"/>
      <c r="DF60" s="19"/>
    </row>
    <row r="61" spans="1:110" s="7" customFormat="1" x14ac:dyDescent="0.25">
      <c r="A61" s="19" t="s">
        <v>74</v>
      </c>
      <c r="B61" s="19" t="s">
        <v>1530</v>
      </c>
      <c r="C61" s="19" t="str">
        <f t="shared" si="22"/>
        <v>94900443S P Rajasthan(1)</v>
      </c>
      <c r="D61" s="19">
        <v>94900443</v>
      </c>
      <c r="E61" s="19" t="s">
        <v>241</v>
      </c>
      <c r="F61" s="19" t="s">
        <v>242</v>
      </c>
      <c r="G61" s="20" t="s">
        <v>242</v>
      </c>
      <c r="H61" s="19"/>
      <c r="I61" s="19" t="s">
        <v>230</v>
      </c>
      <c r="J61" s="19" t="s">
        <v>243</v>
      </c>
      <c r="K61" s="19" t="s">
        <v>244</v>
      </c>
      <c r="L61" s="19" t="s">
        <v>245</v>
      </c>
      <c r="M61" s="19" t="s">
        <v>246</v>
      </c>
      <c r="N61" s="19" t="s">
        <v>247</v>
      </c>
      <c r="O61" s="19" t="s">
        <v>236</v>
      </c>
      <c r="P61" s="23" t="s">
        <v>237</v>
      </c>
      <c r="Q61" s="19" t="s">
        <v>248</v>
      </c>
      <c r="R61" s="19">
        <v>4100</v>
      </c>
      <c r="S61" s="19" t="s">
        <v>239</v>
      </c>
      <c r="T61" s="19" t="s">
        <v>240</v>
      </c>
      <c r="U61" s="20" t="s">
        <v>240</v>
      </c>
      <c r="V61" s="19" t="s">
        <v>104</v>
      </c>
      <c r="W61" s="19" t="s">
        <v>219</v>
      </c>
      <c r="X61" s="35"/>
      <c r="Y61" s="35"/>
      <c r="Z61" s="32"/>
      <c r="AA61" s="22">
        <v>1</v>
      </c>
      <c r="AB61" s="22"/>
      <c r="AC61" s="22"/>
      <c r="AD61" s="22"/>
      <c r="AE61" s="61">
        <v>1</v>
      </c>
      <c r="AF61" s="22"/>
      <c r="AG61" s="40">
        <v>1</v>
      </c>
      <c r="AH61" s="24">
        <v>1</v>
      </c>
      <c r="AI61" s="24"/>
      <c r="AJ61" s="24"/>
      <c r="AK61" s="24"/>
      <c r="AL61" s="23">
        <v>0</v>
      </c>
      <c r="AM61" s="25"/>
      <c r="AN61" s="25"/>
      <c r="AO61" s="25"/>
      <c r="AP61" s="25"/>
      <c r="AQ61" s="80">
        <f t="shared" si="23"/>
        <v>0</v>
      </c>
      <c r="AR61" s="13">
        <v>1</v>
      </c>
      <c r="AS61" s="21"/>
      <c r="AT61" s="83"/>
      <c r="AU61" s="83">
        <v>1</v>
      </c>
      <c r="AV61" s="77"/>
      <c r="AW61" s="21"/>
      <c r="AX61" s="21"/>
      <c r="AY61" s="21"/>
      <c r="AZ61" s="21"/>
      <c r="BA61" s="21"/>
      <c r="BB61" s="21"/>
      <c r="BC61" s="77"/>
      <c r="BD61" s="21"/>
      <c r="BE61" s="21"/>
      <c r="BF61" s="21"/>
      <c r="BG61" s="21"/>
      <c r="BH61" s="21"/>
      <c r="BI61" s="21"/>
      <c r="BJ61" s="77"/>
      <c r="BK61" s="21"/>
      <c r="BL61" s="21"/>
      <c r="BM61" s="21"/>
      <c r="BN61" s="21"/>
      <c r="BO61" s="21"/>
      <c r="BP61" s="21"/>
      <c r="BQ61" s="77"/>
      <c r="BR61" s="21"/>
      <c r="BS61" s="21"/>
      <c r="BT61" s="21"/>
      <c r="BU61" s="21"/>
      <c r="BV61" s="21"/>
      <c r="BW61" s="79">
        <f t="shared" si="11"/>
        <v>1</v>
      </c>
      <c r="BX61" s="58">
        <f t="shared" si="12"/>
        <v>-1</v>
      </c>
      <c r="BY61" s="26"/>
      <c r="CA61" s="53" t="s">
        <v>242</v>
      </c>
      <c r="CB61" s="50" t="b">
        <f t="shared" si="24"/>
        <v>1</v>
      </c>
      <c r="CC61" s="19" t="s">
        <v>242</v>
      </c>
      <c r="CD61" s="19" t="s">
        <v>1460</v>
      </c>
      <c r="CE61" s="19" t="s">
        <v>809</v>
      </c>
      <c r="CF61" s="19" t="s">
        <v>810</v>
      </c>
      <c r="CG61" s="19" t="s">
        <v>1415</v>
      </c>
      <c r="CH61" s="19" t="s">
        <v>1410</v>
      </c>
      <c r="CI61" s="19" t="s">
        <v>898</v>
      </c>
      <c r="CJ61" s="19" t="s">
        <v>899</v>
      </c>
      <c r="CK61" s="19" t="s">
        <v>1461</v>
      </c>
      <c r="CL61" s="19" t="s">
        <v>1462</v>
      </c>
      <c r="CM61" s="19" t="s">
        <v>1463</v>
      </c>
      <c r="CN61" s="19" t="s">
        <v>1464</v>
      </c>
      <c r="CO61" s="19" t="s">
        <v>1465</v>
      </c>
      <c r="CP61" s="19" t="s">
        <v>1466</v>
      </c>
      <c r="CQ61" s="19" t="s">
        <v>1690</v>
      </c>
      <c r="CR61" s="19" t="s">
        <v>1691</v>
      </c>
      <c r="CS61" s="19" t="s">
        <v>1467</v>
      </c>
      <c r="CT61" s="19" t="s">
        <v>1468</v>
      </c>
      <c r="CU61" s="19" t="s">
        <v>1430</v>
      </c>
      <c r="CV61" s="19" t="s">
        <v>1431</v>
      </c>
      <c r="CW61" s="19"/>
      <c r="CX61" s="19"/>
      <c r="CY61" s="19"/>
      <c r="CZ61" s="19"/>
      <c r="DA61" s="19"/>
      <c r="DB61" s="19"/>
      <c r="DC61" s="19"/>
      <c r="DD61" s="19"/>
      <c r="DE61" s="19"/>
      <c r="DF61" s="19"/>
    </row>
    <row r="62" spans="1:110" s="7" customFormat="1" x14ac:dyDescent="0.25">
      <c r="A62" s="19" t="s">
        <v>74</v>
      </c>
      <c r="B62" s="19" t="s">
        <v>1532</v>
      </c>
      <c r="C62" s="19" t="str">
        <f t="shared" si="22"/>
        <v>94900443Municipal, Chandigarh (2)</v>
      </c>
      <c r="D62" s="19">
        <v>94900443</v>
      </c>
      <c r="E62" s="19" t="s">
        <v>241</v>
      </c>
      <c r="F62" s="19" t="s">
        <v>242</v>
      </c>
      <c r="G62" s="20" t="s">
        <v>242</v>
      </c>
      <c r="H62" s="19"/>
      <c r="I62" s="19" t="s">
        <v>230</v>
      </c>
      <c r="J62" s="19" t="s">
        <v>243</v>
      </c>
      <c r="K62" s="19" t="s">
        <v>244</v>
      </c>
      <c r="L62" s="19" t="s">
        <v>245</v>
      </c>
      <c r="M62" s="19" t="s">
        <v>246</v>
      </c>
      <c r="N62" s="19" t="s">
        <v>247</v>
      </c>
      <c r="O62" s="19" t="s">
        <v>236</v>
      </c>
      <c r="P62" s="23" t="s">
        <v>237</v>
      </c>
      <c r="Q62" s="19" t="s">
        <v>248</v>
      </c>
      <c r="R62" s="19">
        <v>4100</v>
      </c>
      <c r="S62" s="19" t="s">
        <v>239</v>
      </c>
      <c r="T62" s="19" t="s">
        <v>240</v>
      </c>
      <c r="U62" s="20" t="s">
        <v>240</v>
      </c>
      <c r="V62" s="19" t="s">
        <v>104</v>
      </c>
      <c r="W62" s="19" t="s">
        <v>219</v>
      </c>
      <c r="X62" s="35"/>
      <c r="Y62" s="35"/>
      <c r="Z62" s="32"/>
      <c r="AA62" s="22">
        <v>2</v>
      </c>
      <c r="AB62" s="22"/>
      <c r="AC62" s="22"/>
      <c r="AD62" s="22"/>
      <c r="AE62" s="61">
        <v>2</v>
      </c>
      <c r="AF62" s="22"/>
      <c r="AG62" s="40">
        <v>2</v>
      </c>
      <c r="AH62" s="24"/>
      <c r="AI62" s="24"/>
      <c r="AJ62" s="24"/>
      <c r="AK62" s="24"/>
      <c r="AL62" s="23">
        <v>2</v>
      </c>
      <c r="AM62" s="25"/>
      <c r="AN62" s="25">
        <v>2</v>
      </c>
      <c r="AO62" s="25"/>
      <c r="AP62" s="25"/>
      <c r="AQ62" s="80">
        <f t="shared" si="23"/>
        <v>2</v>
      </c>
      <c r="AR62" s="13"/>
      <c r="AS62" s="21"/>
      <c r="AT62" s="21"/>
      <c r="AU62" s="21"/>
      <c r="AV62" s="77"/>
      <c r="AW62" s="21"/>
      <c r="AX62" s="21"/>
      <c r="AY62" s="21"/>
      <c r="AZ62" s="21"/>
      <c r="BA62" s="21"/>
      <c r="BB62" s="21">
        <v>2</v>
      </c>
      <c r="BC62" s="77"/>
      <c r="BD62" s="21"/>
      <c r="BE62" s="21"/>
      <c r="BF62" s="21"/>
      <c r="BG62" s="21"/>
      <c r="BH62" s="21"/>
      <c r="BI62" s="21"/>
      <c r="BJ62" s="77"/>
      <c r="BK62" s="21"/>
      <c r="BL62" s="21"/>
      <c r="BM62" s="21"/>
      <c r="BN62" s="21"/>
      <c r="BO62" s="21"/>
      <c r="BP62" s="21"/>
      <c r="BQ62" s="77"/>
      <c r="BR62" s="21"/>
      <c r="BS62" s="21"/>
      <c r="BT62" s="21"/>
      <c r="BU62" s="21"/>
      <c r="BV62" s="21"/>
      <c r="BW62" s="79">
        <f t="shared" si="11"/>
        <v>2</v>
      </c>
      <c r="BX62" s="58">
        <f t="shared" si="12"/>
        <v>0</v>
      </c>
      <c r="BY62" s="26"/>
      <c r="CA62" s="19" t="s">
        <v>242</v>
      </c>
      <c r="CB62" s="50" t="b">
        <f t="shared" si="24"/>
        <v>1</v>
      </c>
      <c r="CC62" s="19" t="s">
        <v>242</v>
      </c>
      <c r="CD62" s="19" t="s">
        <v>1460</v>
      </c>
      <c r="CE62" s="19" t="s">
        <v>809</v>
      </c>
      <c r="CF62" s="19" t="s">
        <v>810</v>
      </c>
      <c r="CG62" s="19" t="s">
        <v>1415</v>
      </c>
      <c r="CH62" s="19" t="s">
        <v>1410</v>
      </c>
      <c r="CI62" s="19" t="s">
        <v>898</v>
      </c>
      <c r="CJ62" s="19" t="s">
        <v>899</v>
      </c>
      <c r="CK62" s="19" t="s">
        <v>1461</v>
      </c>
      <c r="CL62" s="19" t="s">
        <v>1462</v>
      </c>
      <c r="CM62" s="19" t="s">
        <v>1463</v>
      </c>
      <c r="CN62" s="19" t="s">
        <v>1464</v>
      </c>
      <c r="CO62" s="19" t="s">
        <v>1465</v>
      </c>
      <c r="CP62" s="19" t="s">
        <v>1466</v>
      </c>
      <c r="CQ62" s="19" t="s">
        <v>1690</v>
      </c>
      <c r="CR62" s="19" t="s">
        <v>1691</v>
      </c>
      <c r="CS62" s="19" t="s">
        <v>1467</v>
      </c>
      <c r="CT62" s="19" t="s">
        <v>1468</v>
      </c>
      <c r="CU62" s="19" t="s">
        <v>1430</v>
      </c>
      <c r="CV62" s="19" t="s">
        <v>1431</v>
      </c>
      <c r="CW62" s="19"/>
      <c r="CX62" s="19"/>
      <c r="CY62" s="19"/>
      <c r="CZ62" s="19"/>
      <c r="DA62" s="19"/>
      <c r="DB62" s="19"/>
      <c r="DC62" s="19"/>
      <c r="DD62" s="19"/>
      <c r="DE62" s="19"/>
      <c r="DF62" s="19"/>
    </row>
    <row r="63" spans="1:110" s="7" customFormat="1" x14ac:dyDescent="0.25">
      <c r="A63" s="19" t="s">
        <v>228</v>
      </c>
      <c r="B63" s="19" t="s">
        <v>80</v>
      </c>
      <c r="C63" s="19" t="str">
        <f t="shared" ref="C63:C71" si="25">D63&amp;B63</f>
        <v>94950063India</v>
      </c>
      <c r="D63" s="19">
        <v>94950063</v>
      </c>
      <c r="E63" s="19" t="s">
        <v>241</v>
      </c>
      <c r="F63" s="19" t="s">
        <v>415</v>
      </c>
      <c r="G63" s="20" t="s">
        <v>415</v>
      </c>
      <c r="H63" s="19"/>
      <c r="I63" s="19" t="s">
        <v>230</v>
      </c>
      <c r="J63" s="19" t="s">
        <v>243</v>
      </c>
      <c r="K63" s="19" t="s">
        <v>399</v>
      </c>
      <c r="L63" s="19" t="s">
        <v>264</v>
      </c>
      <c r="M63" s="19" t="s">
        <v>298</v>
      </c>
      <c r="N63" s="19" t="s">
        <v>247</v>
      </c>
      <c r="O63" s="19" t="s">
        <v>335</v>
      </c>
      <c r="P63" s="23" t="s">
        <v>237</v>
      </c>
      <c r="Q63" s="19" t="s">
        <v>248</v>
      </c>
      <c r="R63" s="19">
        <v>4100</v>
      </c>
      <c r="S63" s="19" t="s">
        <v>239</v>
      </c>
      <c r="T63" s="19" t="s">
        <v>240</v>
      </c>
      <c r="U63" s="20" t="s">
        <v>240</v>
      </c>
      <c r="V63" s="19" t="s">
        <v>151</v>
      </c>
      <c r="W63" s="19" t="s">
        <v>221</v>
      </c>
      <c r="X63" s="35">
        <v>120</v>
      </c>
      <c r="Y63" s="35">
        <v>120</v>
      </c>
      <c r="Z63" s="32"/>
      <c r="AA63" s="22">
        <v>36</v>
      </c>
      <c r="AB63" s="22">
        <v>43</v>
      </c>
      <c r="AC63" s="22">
        <v>35</v>
      </c>
      <c r="AD63" s="22">
        <v>40</v>
      </c>
      <c r="AE63" s="61">
        <v>154</v>
      </c>
      <c r="AF63" s="22"/>
      <c r="AG63" s="40">
        <v>154</v>
      </c>
      <c r="AH63" s="24"/>
      <c r="AI63" s="24"/>
      <c r="AJ63" s="24"/>
      <c r="AK63" s="24">
        <v>46</v>
      </c>
      <c r="AL63" s="23">
        <v>200</v>
      </c>
      <c r="AM63" s="25">
        <v>36</v>
      </c>
      <c r="AN63" s="25">
        <v>43</v>
      </c>
      <c r="AO63" s="25">
        <v>50</v>
      </c>
      <c r="AP63" s="25">
        <v>50</v>
      </c>
      <c r="AQ63" s="80">
        <f t="shared" si="23"/>
        <v>179</v>
      </c>
      <c r="AR63" s="13"/>
      <c r="AS63" s="21"/>
      <c r="AT63" s="21"/>
      <c r="AU63" s="21">
        <v>9</v>
      </c>
      <c r="AV63" s="77"/>
      <c r="AW63" s="21">
        <v>9</v>
      </c>
      <c r="AX63" s="21">
        <v>9</v>
      </c>
      <c r="AY63" s="21">
        <v>9</v>
      </c>
      <c r="AZ63" s="21"/>
      <c r="BA63" s="21">
        <v>10</v>
      </c>
      <c r="BB63" s="21">
        <v>10</v>
      </c>
      <c r="BC63" s="77"/>
      <c r="BD63" s="21">
        <v>10</v>
      </c>
      <c r="BE63" s="21">
        <v>13</v>
      </c>
      <c r="BF63" s="21"/>
      <c r="BG63" s="21"/>
      <c r="BH63" s="21"/>
      <c r="BI63" s="21">
        <v>12</v>
      </c>
      <c r="BJ63" s="77"/>
      <c r="BK63" s="21">
        <v>12</v>
      </c>
      <c r="BL63" s="21">
        <v>12</v>
      </c>
      <c r="BM63" s="21">
        <v>14</v>
      </c>
      <c r="BN63" s="21"/>
      <c r="BO63" s="21">
        <v>12</v>
      </c>
      <c r="BP63" s="21">
        <v>13</v>
      </c>
      <c r="BQ63" s="77"/>
      <c r="BR63" s="21"/>
      <c r="BS63" s="21"/>
      <c r="BT63" s="21"/>
      <c r="BU63" s="21"/>
      <c r="BV63" s="21"/>
      <c r="BW63" s="79">
        <f t="shared" si="11"/>
        <v>154</v>
      </c>
      <c r="BX63" s="58">
        <f t="shared" si="12"/>
        <v>25</v>
      </c>
      <c r="BY63" s="26"/>
      <c r="CA63" s="19" t="s">
        <v>415</v>
      </c>
      <c r="CB63" s="50" t="b">
        <f t="shared" ref="CB63:CB71" si="26">CC63=CA63</f>
        <v>1</v>
      </c>
      <c r="CC63" s="19" t="s">
        <v>415</v>
      </c>
      <c r="CD63" s="19" t="s">
        <v>1484</v>
      </c>
      <c r="CE63" s="19" t="s">
        <v>809</v>
      </c>
      <c r="CF63" s="19" t="s">
        <v>810</v>
      </c>
      <c r="CG63" s="19" t="s">
        <v>1451</v>
      </c>
      <c r="CH63" s="19" t="s">
        <v>1410</v>
      </c>
      <c r="CI63" s="19" t="s">
        <v>1422</v>
      </c>
      <c r="CJ63" s="19" t="s">
        <v>1423</v>
      </c>
      <c r="CK63" s="19" t="s">
        <v>1452</v>
      </c>
      <c r="CL63" s="19" t="s">
        <v>1453</v>
      </c>
      <c r="CM63" s="19" t="s">
        <v>1482</v>
      </c>
      <c r="CN63" s="19" t="s">
        <v>1483</v>
      </c>
      <c r="CO63" s="19" t="s">
        <v>1456</v>
      </c>
      <c r="CP63" s="19" t="s">
        <v>1457</v>
      </c>
      <c r="CQ63" s="19" t="s">
        <v>1690</v>
      </c>
      <c r="CR63" s="19" t="s">
        <v>1691</v>
      </c>
      <c r="CS63" s="19" t="s">
        <v>1433</v>
      </c>
      <c r="CT63" s="19" t="s">
        <v>1434</v>
      </c>
      <c r="CU63" s="19" t="s">
        <v>1458</v>
      </c>
      <c r="CV63" s="19" t="s">
        <v>1459</v>
      </c>
      <c r="CW63" s="19"/>
      <c r="CX63" s="19"/>
      <c r="CY63" s="19"/>
      <c r="CZ63" s="19"/>
      <c r="DA63" s="19"/>
      <c r="DB63" s="19"/>
      <c r="DC63" s="19"/>
      <c r="DD63" s="19"/>
      <c r="DE63" s="19"/>
      <c r="DF63" s="19"/>
    </row>
    <row r="64" spans="1:110" s="7" customFormat="1" x14ac:dyDescent="0.25">
      <c r="A64" s="19" t="s">
        <v>228</v>
      </c>
      <c r="B64" s="19" t="s">
        <v>80</v>
      </c>
      <c r="C64" s="19" t="str">
        <f t="shared" si="25"/>
        <v>94951653India</v>
      </c>
      <c r="D64" s="19">
        <v>94951653</v>
      </c>
      <c r="E64" s="19" t="s">
        <v>241</v>
      </c>
      <c r="F64" s="19" t="s">
        <v>416</v>
      </c>
      <c r="G64" s="20" t="s">
        <v>416</v>
      </c>
      <c r="H64" s="19"/>
      <c r="I64" s="19" t="s">
        <v>230</v>
      </c>
      <c r="J64" s="19" t="s">
        <v>243</v>
      </c>
      <c r="K64" s="19" t="s">
        <v>399</v>
      </c>
      <c r="L64" s="19" t="s">
        <v>264</v>
      </c>
      <c r="M64" s="19" t="s">
        <v>298</v>
      </c>
      <c r="N64" s="19" t="s">
        <v>247</v>
      </c>
      <c r="O64" s="19" t="s">
        <v>335</v>
      </c>
      <c r="P64" s="23" t="s">
        <v>237</v>
      </c>
      <c r="Q64" s="19" t="s">
        <v>248</v>
      </c>
      <c r="R64" s="19">
        <v>4100</v>
      </c>
      <c r="S64" s="19" t="s">
        <v>239</v>
      </c>
      <c r="T64" s="19" t="s">
        <v>240</v>
      </c>
      <c r="U64" s="20" t="s">
        <v>240</v>
      </c>
      <c r="V64" s="19" t="s">
        <v>153</v>
      </c>
      <c r="W64" s="19" t="s">
        <v>219</v>
      </c>
      <c r="X64" s="35">
        <v>3</v>
      </c>
      <c r="Y64" s="35">
        <v>3</v>
      </c>
      <c r="Z64" s="32"/>
      <c r="AA64" s="22">
        <v>1</v>
      </c>
      <c r="AB64" s="22">
        <v>1</v>
      </c>
      <c r="AC64" s="22"/>
      <c r="AD64" s="22"/>
      <c r="AE64" s="61">
        <v>2</v>
      </c>
      <c r="AF64" s="22"/>
      <c r="AG64" s="40">
        <v>2</v>
      </c>
      <c r="AH64" s="24"/>
      <c r="AI64" s="24"/>
      <c r="AJ64" s="24"/>
      <c r="AK64" s="24"/>
      <c r="AL64" s="23">
        <v>2</v>
      </c>
      <c r="AM64" s="25">
        <v>1</v>
      </c>
      <c r="AN64" s="25">
        <v>1</v>
      </c>
      <c r="AO64" s="25"/>
      <c r="AP64" s="25"/>
      <c r="AQ64" s="80">
        <f t="shared" si="23"/>
        <v>2</v>
      </c>
      <c r="AR64" s="13"/>
      <c r="AS64" s="21"/>
      <c r="AT64" s="21"/>
      <c r="AU64" s="21"/>
      <c r="AV64" s="77"/>
      <c r="AW64" s="21">
        <v>1</v>
      </c>
      <c r="AX64" s="21"/>
      <c r="AY64" s="21"/>
      <c r="AZ64" s="21"/>
      <c r="BA64" s="21"/>
      <c r="BB64" s="21"/>
      <c r="BC64" s="77"/>
      <c r="BD64" s="21">
        <v>1</v>
      </c>
      <c r="BE64" s="21"/>
      <c r="BF64" s="21"/>
      <c r="BG64" s="21"/>
      <c r="BH64" s="21"/>
      <c r="BI64" s="21"/>
      <c r="BJ64" s="77"/>
      <c r="BK64" s="21"/>
      <c r="BL64" s="21"/>
      <c r="BM64" s="21"/>
      <c r="BN64" s="21"/>
      <c r="BO64" s="21"/>
      <c r="BP64" s="21"/>
      <c r="BQ64" s="77"/>
      <c r="BR64" s="21"/>
      <c r="BS64" s="21"/>
      <c r="BT64" s="21"/>
      <c r="BU64" s="21"/>
      <c r="BV64" s="21"/>
      <c r="BW64" s="79">
        <f t="shared" si="11"/>
        <v>2</v>
      </c>
      <c r="BX64" s="58">
        <f t="shared" si="12"/>
        <v>0</v>
      </c>
      <c r="BY64" s="26"/>
      <c r="CA64" s="19" t="s">
        <v>416</v>
      </c>
      <c r="CB64" s="50" t="b">
        <f t="shared" si="26"/>
        <v>1</v>
      </c>
      <c r="CC64" s="19" t="s">
        <v>416</v>
      </c>
      <c r="CD64" s="19" t="s">
        <v>1485</v>
      </c>
      <c r="CE64" s="19" t="s">
        <v>809</v>
      </c>
      <c r="CF64" s="19" t="s">
        <v>810</v>
      </c>
      <c r="CG64" s="19" t="s">
        <v>1451</v>
      </c>
      <c r="CH64" s="19" t="s">
        <v>1410</v>
      </c>
      <c r="CI64" s="19" t="s">
        <v>1422</v>
      </c>
      <c r="CJ64" s="19" t="s">
        <v>1423</v>
      </c>
      <c r="CK64" s="19" t="s">
        <v>1486</v>
      </c>
      <c r="CL64" s="19" t="s">
        <v>1487</v>
      </c>
      <c r="CM64" s="19" t="s">
        <v>1482</v>
      </c>
      <c r="CN64" s="19" t="s">
        <v>1483</v>
      </c>
      <c r="CO64" s="19" t="s">
        <v>1488</v>
      </c>
      <c r="CP64" s="19" t="s">
        <v>1489</v>
      </c>
      <c r="CQ64" s="19" t="s">
        <v>1690</v>
      </c>
      <c r="CR64" s="19" t="s">
        <v>1691</v>
      </c>
      <c r="CS64" s="19" t="s">
        <v>1433</v>
      </c>
      <c r="CT64" s="19" t="s">
        <v>1434</v>
      </c>
      <c r="CU64" s="19" t="s">
        <v>1458</v>
      </c>
      <c r="CV64" s="19" t="s">
        <v>1459</v>
      </c>
      <c r="CW64" s="19"/>
      <c r="CX64" s="19"/>
      <c r="CY64" s="19"/>
      <c r="CZ64" s="19"/>
      <c r="DA64" s="19"/>
      <c r="DB64" s="19"/>
      <c r="DC64" s="19"/>
      <c r="DD64" s="19"/>
      <c r="DE64" s="19"/>
      <c r="DF64" s="19"/>
    </row>
    <row r="65" spans="1:110" s="7" customFormat="1" x14ac:dyDescent="0.25">
      <c r="A65" s="19" t="s">
        <v>74</v>
      </c>
      <c r="B65" s="19" t="s">
        <v>1531</v>
      </c>
      <c r="C65" s="19" t="str">
        <f t="shared" si="25"/>
        <v>99850161Executive Engineer, Punjab</v>
      </c>
      <c r="D65" s="19">
        <v>99850161</v>
      </c>
      <c r="E65" s="19" t="s">
        <v>406</v>
      </c>
      <c r="F65" s="19" t="s">
        <v>407</v>
      </c>
      <c r="G65" s="20" t="s">
        <v>406</v>
      </c>
      <c r="H65" s="19"/>
      <c r="I65" s="19" t="s">
        <v>230</v>
      </c>
      <c r="J65" s="19" t="s">
        <v>231</v>
      </c>
      <c r="K65" s="19" t="s">
        <v>402</v>
      </c>
      <c r="L65" s="19" t="s">
        <v>252</v>
      </c>
      <c r="M65" s="19" t="s">
        <v>298</v>
      </c>
      <c r="N65" s="19" t="s">
        <v>235</v>
      </c>
      <c r="O65" s="19" t="s">
        <v>368</v>
      </c>
      <c r="P65" s="23" t="s">
        <v>237</v>
      </c>
      <c r="Q65" s="19" t="s">
        <v>403</v>
      </c>
      <c r="R65" s="19">
        <v>4900</v>
      </c>
      <c r="S65" s="19" t="s">
        <v>239</v>
      </c>
      <c r="T65" s="19" t="s">
        <v>263</v>
      </c>
      <c r="U65" s="20" t="s">
        <v>263</v>
      </c>
      <c r="V65" s="19" t="s">
        <v>1537</v>
      </c>
      <c r="W65" s="19" t="s">
        <v>219</v>
      </c>
      <c r="X65" s="35"/>
      <c r="Y65" s="35"/>
      <c r="Z65" s="32"/>
      <c r="AA65" s="22">
        <v>2</v>
      </c>
      <c r="AB65" s="22"/>
      <c r="AC65" s="22"/>
      <c r="AD65" s="22"/>
      <c r="AE65" s="61">
        <f t="shared" ref="AE65:AE69" si="27">SUM(AA65:AD65)</f>
        <v>2</v>
      </c>
      <c r="AF65" s="22"/>
      <c r="AG65" s="40">
        <f t="shared" ref="AG65:AG69" si="28">AF65+AE65</f>
        <v>2</v>
      </c>
      <c r="AH65" s="24"/>
      <c r="AI65" s="24"/>
      <c r="AJ65" s="24"/>
      <c r="AK65" s="24"/>
      <c r="AL65" s="23">
        <f t="shared" ref="AL65:AL69" si="29">AG65-AH65-AI65-AJ65+AK65</f>
        <v>2</v>
      </c>
      <c r="AM65" s="25"/>
      <c r="AN65" s="25">
        <v>2</v>
      </c>
      <c r="AO65" s="25"/>
      <c r="AP65" s="25"/>
      <c r="AQ65" s="25">
        <f t="shared" ref="AQ65:AQ73" si="30">SUM(AM65:AP65)</f>
        <v>2</v>
      </c>
      <c r="AR65" s="13"/>
      <c r="AS65" s="21"/>
      <c r="AT65" s="21"/>
      <c r="AU65" s="21"/>
      <c r="AV65" s="77"/>
      <c r="AW65" s="21"/>
      <c r="AX65" s="21"/>
      <c r="AY65" s="21"/>
      <c r="AZ65" s="21"/>
      <c r="BA65" s="21"/>
      <c r="BB65" s="21"/>
      <c r="BC65" s="77"/>
      <c r="BD65" s="21"/>
      <c r="BE65" s="21">
        <v>2</v>
      </c>
      <c r="BF65" s="21"/>
      <c r="BG65" s="21"/>
      <c r="BH65" s="21"/>
      <c r="BI65" s="21"/>
      <c r="BJ65" s="77"/>
      <c r="BK65" s="21"/>
      <c r="BL65" s="21"/>
      <c r="BM65" s="21"/>
      <c r="BN65" s="21"/>
      <c r="BO65" s="21"/>
      <c r="BP65" s="21"/>
      <c r="BQ65" s="77"/>
      <c r="BR65" s="21"/>
      <c r="BS65" s="21"/>
      <c r="BT65" s="21"/>
      <c r="BU65" s="21"/>
      <c r="BV65" s="21"/>
      <c r="BW65" s="79">
        <f t="shared" si="11"/>
        <v>2</v>
      </c>
      <c r="BX65" s="58">
        <f t="shared" si="12"/>
        <v>0</v>
      </c>
      <c r="BY65" s="26"/>
      <c r="BZ65" s="27"/>
      <c r="CA65" s="51" t="s">
        <v>406</v>
      </c>
      <c r="CB65" s="50" t="b">
        <f t="shared" si="26"/>
        <v>1</v>
      </c>
      <c r="CC65" s="50" t="s">
        <v>406</v>
      </c>
      <c r="CD65" s="19" t="s">
        <v>831</v>
      </c>
      <c r="CE65" s="19" t="s">
        <v>809</v>
      </c>
      <c r="CF65" s="19" t="s">
        <v>810</v>
      </c>
      <c r="CG65" s="19" t="s">
        <v>826</v>
      </c>
      <c r="CH65" s="19" t="s">
        <v>802</v>
      </c>
      <c r="CI65" s="19" t="s">
        <v>812</v>
      </c>
      <c r="CJ65" s="19" t="s">
        <v>813</v>
      </c>
      <c r="CK65" s="19" t="s">
        <v>814</v>
      </c>
      <c r="CL65" s="19" t="s">
        <v>815</v>
      </c>
      <c r="CM65" s="19" t="s">
        <v>816</v>
      </c>
      <c r="CN65" s="19" t="s">
        <v>817</v>
      </c>
      <c r="CO65" s="19" t="s">
        <v>818</v>
      </c>
      <c r="CP65" s="19" t="s">
        <v>819</v>
      </c>
      <c r="CQ65" s="19" t="s">
        <v>820</v>
      </c>
      <c r="CR65" s="19" t="s">
        <v>821</v>
      </c>
      <c r="CS65" s="19" t="s">
        <v>829</v>
      </c>
      <c r="CT65" s="19" t="s">
        <v>830</v>
      </c>
      <c r="CU65" s="19" t="s">
        <v>827</v>
      </c>
      <c r="CV65" s="19" t="s">
        <v>828</v>
      </c>
      <c r="CW65" s="19"/>
      <c r="CX65" s="19"/>
      <c r="CY65" s="19"/>
      <c r="CZ65" s="19"/>
      <c r="DA65" s="19"/>
      <c r="DB65" s="19"/>
      <c r="DC65" s="19"/>
      <c r="DD65" s="19"/>
      <c r="DE65" s="19"/>
      <c r="DF65" s="19"/>
    </row>
    <row r="66" spans="1:110" s="7" customFormat="1" x14ac:dyDescent="0.25">
      <c r="A66" s="19" t="s">
        <v>228</v>
      </c>
      <c r="B66" s="19" t="s">
        <v>80</v>
      </c>
      <c r="C66" s="19" t="str">
        <f t="shared" si="25"/>
        <v>99801222India</v>
      </c>
      <c r="D66" s="19">
        <v>99801222</v>
      </c>
      <c r="E66" s="19" t="s">
        <v>400</v>
      </c>
      <c r="F66" s="19" t="s">
        <v>401</v>
      </c>
      <c r="G66" s="20" t="s">
        <v>400</v>
      </c>
      <c r="H66" s="19"/>
      <c r="I66" s="19" t="s">
        <v>230</v>
      </c>
      <c r="J66" s="19" t="s">
        <v>231</v>
      </c>
      <c r="K66" s="19" t="s">
        <v>402</v>
      </c>
      <c r="L66" s="19" t="s">
        <v>252</v>
      </c>
      <c r="M66" s="19" t="s">
        <v>298</v>
      </c>
      <c r="N66" s="19" t="s">
        <v>235</v>
      </c>
      <c r="O66" s="19" t="s">
        <v>368</v>
      </c>
      <c r="P66" s="23" t="s">
        <v>237</v>
      </c>
      <c r="Q66" s="19" t="s">
        <v>403</v>
      </c>
      <c r="R66" s="19">
        <v>4900</v>
      </c>
      <c r="S66" s="19" t="s">
        <v>239</v>
      </c>
      <c r="T66" s="19" t="s">
        <v>263</v>
      </c>
      <c r="U66" s="20" t="s">
        <v>263</v>
      </c>
      <c r="V66" s="19" t="s">
        <v>146</v>
      </c>
      <c r="W66" s="19" t="s">
        <v>221</v>
      </c>
      <c r="X66" s="35">
        <v>30</v>
      </c>
      <c r="Y66" s="35">
        <v>30</v>
      </c>
      <c r="Z66" s="32"/>
      <c r="AA66" s="22">
        <v>10</v>
      </c>
      <c r="AB66" s="22">
        <v>18</v>
      </c>
      <c r="AC66" s="22">
        <v>8</v>
      </c>
      <c r="AD66" s="22">
        <v>7</v>
      </c>
      <c r="AE66" s="61">
        <f t="shared" si="27"/>
        <v>43</v>
      </c>
      <c r="AF66" s="22"/>
      <c r="AG66" s="40">
        <f t="shared" si="28"/>
        <v>43</v>
      </c>
      <c r="AH66" s="24"/>
      <c r="AI66" s="24"/>
      <c r="AJ66" s="24"/>
      <c r="AK66" s="24">
        <v>20</v>
      </c>
      <c r="AL66" s="23">
        <f t="shared" si="29"/>
        <v>63</v>
      </c>
      <c r="AM66" s="25">
        <v>10</v>
      </c>
      <c r="AN66" s="25">
        <v>18</v>
      </c>
      <c r="AO66" s="25">
        <v>18</v>
      </c>
      <c r="AP66" s="25">
        <v>17</v>
      </c>
      <c r="AQ66" s="25">
        <f t="shared" si="30"/>
        <v>63</v>
      </c>
      <c r="AR66" s="13"/>
      <c r="AS66" s="21"/>
      <c r="AT66" s="21">
        <v>5</v>
      </c>
      <c r="AU66" s="21">
        <v>5</v>
      </c>
      <c r="AV66" s="77"/>
      <c r="AW66" s="21"/>
      <c r="AX66" s="21"/>
      <c r="AY66" s="21"/>
      <c r="AZ66" s="21"/>
      <c r="BA66" s="21">
        <v>6</v>
      </c>
      <c r="BB66" s="21">
        <v>6</v>
      </c>
      <c r="BC66" s="77"/>
      <c r="BD66" s="21">
        <v>6</v>
      </c>
      <c r="BE66" s="21"/>
      <c r="BF66" s="21"/>
      <c r="BG66" s="21"/>
      <c r="BH66" s="21"/>
      <c r="BI66" s="21"/>
      <c r="BJ66" s="77"/>
      <c r="BK66" s="21">
        <v>5</v>
      </c>
      <c r="BL66" s="21">
        <v>5</v>
      </c>
      <c r="BM66" s="21">
        <v>5</v>
      </c>
      <c r="BN66" s="21"/>
      <c r="BO66" s="21"/>
      <c r="BP66" s="21"/>
      <c r="BQ66" s="77"/>
      <c r="BR66" s="21"/>
      <c r="BS66" s="21"/>
      <c r="BT66" s="21"/>
      <c r="BU66" s="21"/>
      <c r="BV66" s="21"/>
      <c r="BW66" s="79">
        <f t="shared" si="11"/>
        <v>43</v>
      </c>
      <c r="BX66" s="58">
        <f t="shared" si="12"/>
        <v>20</v>
      </c>
      <c r="BY66" s="26"/>
      <c r="BZ66" s="27"/>
      <c r="CA66" s="51" t="s">
        <v>400</v>
      </c>
      <c r="CB66" s="50" t="b">
        <f t="shared" si="26"/>
        <v>1</v>
      </c>
      <c r="CC66" s="54" t="s">
        <v>400</v>
      </c>
      <c r="CD66" s="19" t="s">
        <v>808</v>
      </c>
      <c r="CE66" s="19" t="s">
        <v>809</v>
      </c>
      <c r="CF66" s="19" t="s">
        <v>810</v>
      </c>
      <c r="CG66" s="19" t="s">
        <v>811</v>
      </c>
      <c r="CH66" s="19" t="s">
        <v>807</v>
      </c>
      <c r="CI66" s="19" t="s">
        <v>812</v>
      </c>
      <c r="CJ66" s="19" t="s">
        <v>813</v>
      </c>
      <c r="CK66" s="19" t="s">
        <v>814</v>
      </c>
      <c r="CL66" s="19" t="s">
        <v>815</v>
      </c>
      <c r="CM66" s="19" t="s">
        <v>816</v>
      </c>
      <c r="CN66" s="19" t="s">
        <v>817</v>
      </c>
      <c r="CO66" s="19" t="s">
        <v>818</v>
      </c>
      <c r="CP66" s="19" t="s">
        <v>819</v>
      </c>
      <c r="CQ66" s="19" t="s">
        <v>820</v>
      </c>
      <c r="CR66" s="19" t="s">
        <v>821</v>
      </c>
      <c r="CS66" s="19" t="s">
        <v>822</v>
      </c>
      <c r="CT66" s="19" t="s">
        <v>823</v>
      </c>
      <c r="CU66" s="19" t="s">
        <v>824</v>
      </c>
      <c r="CV66" s="19" t="s">
        <v>825</v>
      </c>
      <c r="CW66" s="19"/>
      <c r="CX66" s="19"/>
      <c r="CY66" s="19"/>
      <c r="CZ66" s="19"/>
      <c r="DA66" s="19"/>
      <c r="DB66" s="19"/>
      <c r="DC66" s="19"/>
      <c r="DD66" s="19"/>
      <c r="DE66" s="19"/>
      <c r="DF66" s="19"/>
    </row>
    <row r="67" spans="1:110" s="7" customFormat="1" x14ac:dyDescent="0.25">
      <c r="A67" s="19" t="s">
        <v>228</v>
      </c>
      <c r="B67" s="19" t="s">
        <v>80</v>
      </c>
      <c r="C67" s="19" t="str">
        <f t="shared" si="25"/>
        <v>99801221India</v>
      </c>
      <c r="D67" s="19">
        <v>99801221</v>
      </c>
      <c r="E67" s="19" t="s">
        <v>400</v>
      </c>
      <c r="F67" s="19" t="s">
        <v>401</v>
      </c>
      <c r="G67" s="20" t="s">
        <v>400</v>
      </c>
      <c r="H67" s="19"/>
      <c r="I67" s="19" t="s">
        <v>230</v>
      </c>
      <c r="J67" s="19" t="s">
        <v>231</v>
      </c>
      <c r="K67" s="19" t="s">
        <v>402</v>
      </c>
      <c r="L67" s="19" t="s">
        <v>252</v>
      </c>
      <c r="M67" s="19" t="s">
        <v>298</v>
      </c>
      <c r="N67" s="19" t="s">
        <v>235</v>
      </c>
      <c r="O67" s="19" t="s">
        <v>398</v>
      </c>
      <c r="P67" s="23" t="s">
        <v>237</v>
      </c>
      <c r="Q67" s="19" t="s">
        <v>403</v>
      </c>
      <c r="R67" s="19">
        <v>4900</v>
      </c>
      <c r="S67" s="19" t="s">
        <v>239</v>
      </c>
      <c r="T67" s="19" t="s">
        <v>263</v>
      </c>
      <c r="U67" s="20" t="s">
        <v>263</v>
      </c>
      <c r="V67" s="19" t="s">
        <v>147</v>
      </c>
      <c r="W67" s="19" t="s">
        <v>221</v>
      </c>
      <c r="X67" s="35">
        <v>9</v>
      </c>
      <c r="Y67" s="35">
        <v>9</v>
      </c>
      <c r="Z67" s="32"/>
      <c r="AA67" s="22">
        <v>4</v>
      </c>
      <c r="AB67" s="22">
        <v>6</v>
      </c>
      <c r="AC67" s="22">
        <v>5</v>
      </c>
      <c r="AD67" s="22">
        <v>2</v>
      </c>
      <c r="AE67" s="61">
        <f t="shared" si="27"/>
        <v>17</v>
      </c>
      <c r="AF67" s="22"/>
      <c r="AG67" s="40">
        <f t="shared" si="28"/>
        <v>17</v>
      </c>
      <c r="AH67" s="24"/>
      <c r="AI67" s="24"/>
      <c r="AJ67" s="24"/>
      <c r="AK67" s="24"/>
      <c r="AL67" s="23">
        <f t="shared" si="29"/>
        <v>17</v>
      </c>
      <c r="AM67" s="25">
        <v>4</v>
      </c>
      <c r="AN67" s="25">
        <v>6</v>
      </c>
      <c r="AO67" s="25">
        <v>5</v>
      </c>
      <c r="AP67" s="25">
        <v>2</v>
      </c>
      <c r="AQ67" s="25">
        <f t="shared" si="30"/>
        <v>17</v>
      </c>
      <c r="AR67" s="13"/>
      <c r="AS67" s="21"/>
      <c r="AT67" s="21"/>
      <c r="AU67" s="21"/>
      <c r="AV67" s="77"/>
      <c r="AW67" s="21">
        <v>4</v>
      </c>
      <c r="AX67" s="21"/>
      <c r="AY67" s="21"/>
      <c r="AZ67" s="21"/>
      <c r="BA67" s="21">
        <v>3</v>
      </c>
      <c r="BB67" s="21">
        <v>3</v>
      </c>
      <c r="BC67" s="77"/>
      <c r="BD67" s="21"/>
      <c r="BE67" s="21"/>
      <c r="BF67" s="21"/>
      <c r="BG67" s="21"/>
      <c r="BH67" s="21"/>
      <c r="BI67" s="21">
        <v>2</v>
      </c>
      <c r="BJ67" s="77"/>
      <c r="BK67" s="21">
        <v>3</v>
      </c>
      <c r="BL67" s="21"/>
      <c r="BM67" s="21"/>
      <c r="BN67" s="21"/>
      <c r="BO67" s="21">
        <v>2</v>
      </c>
      <c r="BP67" s="21"/>
      <c r="BQ67" s="77"/>
      <c r="BR67" s="21"/>
      <c r="BS67" s="21"/>
      <c r="BT67" s="21"/>
      <c r="BU67" s="21"/>
      <c r="BV67" s="21"/>
      <c r="BW67" s="79">
        <f t="shared" si="11"/>
        <v>17</v>
      </c>
      <c r="BX67" s="58">
        <f t="shared" si="12"/>
        <v>0</v>
      </c>
      <c r="BY67" s="26"/>
      <c r="BZ67" s="27"/>
      <c r="CA67" s="51" t="s">
        <v>400</v>
      </c>
      <c r="CB67" s="50" t="b">
        <f t="shared" si="26"/>
        <v>1</v>
      </c>
      <c r="CC67" s="54" t="s">
        <v>400</v>
      </c>
      <c r="CD67" s="19" t="s">
        <v>808</v>
      </c>
      <c r="CE67" s="19" t="s">
        <v>809</v>
      </c>
      <c r="CF67" s="19" t="s">
        <v>810</v>
      </c>
      <c r="CG67" s="19" t="s">
        <v>811</v>
      </c>
      <c r="CH67" s="19" t="s">
        <v>807</v>
      </c>
      <c r="CI67" s="19" t="s">
        <v>812</v>
      </c>
      <c r="CJ67" s="19" t="s">
        <v>813</v>
      </c>
      <c r="CK67" s="19" t="s">
        <v>814</v>
      </c>
      <c r="CL67" s="19" t="s">
        <v>815</v>
      </c>
      <c r="CM67" s="19" t="s">
        <v>816</v>
      </c>
      <c r="CN67" s="19" t="s">
        <v>817</v>
      </c>
      <c r="CO67" s="19" t="s">
        <v>818</v>
      </c>
      <c r="CP67" s="19" t="s">
        <v>819</v>
      </c>
      <c r="CQ67" s="19" t="s">
        <v>820</v>
      </c>
      <c r="CR67" s="19" t="s">
        <v>821</v>
      </c>
      <c r="CS67" s="19" t="s">
        <v>822</v>
      </c>
      <c r="CT67" s="19" t="s">
        <v>823</v>
      </c>
      <c r="CU67" s="19" t="s">
        <v>824</v>
      </c>
      <c r="CV67" s="19" t="s">
        <v>825</v>
      </c>
      <c r="CW67" s="19"/>
      <c r="CX67" s="19"/>
      <c r="CY67" s="19"/>
      <c r="CZ67" s="19"/>
      <c r="DA67" s="19"/>
      <c r="DB67" s="19"/>
      <c r="DC67" s="19"/>
      <c r="DD67" s="19"/>
      <c r="DE67" s="19"/>
      <c r="DF67" s="19"/>
    </row>
    <row r="68" spans="1:110" s="7" customFormat="1" x14ac:dyDescent="0.25">
      <c r="A68" s="19" t="s">
        <v>228</v>
      </c>
      <c r="B68" s="19" t="s">
        <v>80</v>
      </c>
      <c r="C68" s="19" t="str">
        <f t="shared" si="25"/>
        <v>99850161India</v>
      </c>
      <c r="D68" s="19">
        <v>99850161</v>
      </c>
      <c r="E68" s="19" t="s">
        <v>406</v>
      </c>
      <c r="F68" s="19" t="s">
        <v>407</v>
      </c>
      <c r="G68" s="20" t="s">
        <v>406</v>
      </c>
      <c r="H68" s="19"/>
      <c r="I68" s="19" t="s">
        <v>230</v>
      </c>
      <c r="J68" s="19" t="s">
        <v>231</v>
      </c>
      <c r="K68" s="19" t="s">
        <v>402</v>
      </c>
      <c r="L68" s="19" t="s">
        <v>252</v>
      </c>
      <c r="M68" s="19" t="s">
        <v>298</v>
      </c>
      <c r="N68" s="19" t="s">
        <v>235</v>
      </c>
      <c r="O68" s="19" t="s">
        <v>368</v>
      </c>
      <c r="P68" s="23" t="s">
        <v>237</v>
      </c>
      <c r="Q68" s="19" t="s">
        <v>403</v>
      </c>
      <c r="R68" s="19">
        <v>4900</v>
      </c>
      <c r="S68" s="19" t="s">
        <v>239</v>
      </c>
      <c r="T68" s="19" t="s">
        <v>263</v>
      </c>
      <c r="U68" s="20" t="s">
        <v>263</v>
      </c>
      <c r="V68" s="19" t="s">
        <v>148</v>
      </c>
      <c r="W68" s="19" t="s">
        <v>219</v>
      </c>
      <c r="X68" s="35">
        <v>4</v>
      </c>
      <c r="Y68" s="35">
        <v>4</v>
      </c>
      <c r="Z68" s="32"/>
      <c r="AA68" s="22">
        <v>1</v>
      </c>
      <c r="AB68" s="22">
        <v>1</v>
      </c>
      <c r="AC68" s="22">
        <v>2</v>
      </c>
      <c r="AD68" s="22">
        <v>3</v>
      </c>
      <c r="AE68" s="61">
        <f t="shared" si="27"/>
        <v>7</v>
      </c>
      <c r="AF68" s="22"/>
      <c r="AG68" s="40">
        <f t="shared" si="28"/>
        <v>7</v>
      </c>
      <c r="AH68" s="24"/>
      <c r="AI68" s="24"/>
      <c r="AJ68" s="24"/>
      <c r="AK68" s="24"/>
      <c r="AL68" s="23">
        <f t="shared" si="29"/>
        <v>7</v>
      </c>
      <c r="AM68" s="25">
        <v>1</v>
      </c>
      <c r="AN68" s="25">
        <v>1</v>
      </c>
      <c r="AO68" s="25">
        <v>2</v>
      </c>
      <c r="AP68" s="25">
        <v>3</v>
      </c>
      <c r="AQ68" s="25">
        <f t="shared" si="30"/>
        <v>7</v>
      </c>
      <c r="AR68" s="13"/>
      <c r="AS68" s="21"/>
      <c r="AT68" s="21"/>
      <c r="AU68" s="21"/>
      <c r="AV68" s="77"/>
      <c r="AW68" s="21">
        <v>1</v>
      </c>
      <c r="AX68" s="21"/>
      <c r="AY68" s="21"/>
      <c r="AZ68" s="21"/>
      <c r="BA68" s="21"/>
      <c r="BB68" s="21"/>
      <c r="BC68" s="77"/>
      <c r="BD68" s="21">
        <v>1</v>
      </c>
      <c r="BE68" s="21"/>
      <c r="BF68" s="21"/>
      <c r="BG68" s="21"/>
      <c r="BH68" s="21"/>
      <c r="BI68" s="21">
        <v>2</v>
      </c>
      <c r="BJ68" s="77"/>
      <c r="BK68" s="21"/>
      <c r="BL68" s="21"/>
      <c r="BM68" s="21"/>
      <c r="BN68" s="21"/>
      <c r="BO68" s="21"/>
      <c r="BP68" s="21">
        <v>3</v>
      </c>
      <c r="BQ68" s="77"/>
      <c r="BR68" s="21"/>
      <c r="BS68" s="21"/>
      <c r="BT68" s="21"/>
      <c r="BU68" s="21"/>
      <c r="BV68" s="21"/>
      <c r="BW68" s="79">
        <f t="shared" si="11"/>
        <v>7</v>
      </c>
      <c r="BX68" s="58">
        <f t="shared" si="12"/>
        <v>0</v>
      </c>
      <c r="BY68" s="26"/>
      <c r="BZ68" s="27"/>
      <c r="CA68" s="51" t="s">
        <v>406</v>
      </c>
      <c r="CB68" s="50" t="b">
        <f t="shared" si="26"/>
        <v>1</v>
      </c>
      <c r="CC68" s="51" t="s">
        <v>406</v>
      </c>
      <c r="CD68" s="19" t="s">
        <v>831</v>
      </c>
      <c r="CE68" s="19" t="s">
        <v>809</v>
      </c>
      <c r="CF68" s="19" t="s">
        <v>810</v>
      </c>
      <c r="CG68" s="19" t="s">
        <v>826</v>
      </c>
      <c r="CH68" s="19" t="s">
        <v>802</v>
      </c>
      <c r="CI68" s="19" t="s">
        <v>812</v>
      </c>
      <c r="CJ68" s="19" t="s">
        <v>813</v>
      </c>
      <c r="CK68" s="19" t="s">
        <v>814</v>
      </c>
      <c r="CL68" s="19" t="s">
        <v>815</v>
      </c>
      <c r="CM68" s="19" t="s">
        <v>816</v>
      </c>
      <c r="CN68" s="19" t="s">
        <v>817</v>
      </c>
      <c r="CO68" s="19" t="s">
        <v>818</v>
      </c>
      <c r="CP68" s="19" t="s">
        <v>819</v>
      </c>
      <c r="CQ68" s="19" t="s">
        <v>820</v>
      </c>
      <c r="CR68" s="19" t="s">
        <v>821</v>
      </c>
      <c r="CS68" s="19" t="s">
        <v>829</v>
      </c>
      <c r="CT68" s="19" t="s">
        <v>830</v>
      </c>
      <c r="CU68" s="19" t="s">
        <v>827</v>
      </c>
      <c r="CV68" s="19" t="s">
        <v>828</v>
      </c>
      <c r="CW68" s="19"/>
      <c r="CX68" s="19"/>
      <c r="CY68" s="19"/>
      <c r="CZ68" s="19"/>
      <c r="DA68" s="19"/>
      <c r="DB68" s="19"/>
      <c r="DC68" s="19"/>
      <c r="DD68" s="19"/>
      <c r="DE68" s="19"/>
      <c r="DF68" s="19"/>
    </row>
    <row r="69" spans="1:110" s="7" customFormat="1" x14ac:dyDescent="0.25">
      <c r="A69" s="19" t="s">
        <v>228</v>
      </c>
      <c r="B69" s="19" t="s">
        <v>80</v>
      </c>
      <c r="C69" s="19" t="str">
        <f t="shared" si="25"/>
        <v>99801225India</v>
      </c>
      <c r="D69" s="19">
        <v>99801225</v>
      </c>
      <c r="E69" s="19" t="s">
        <v>417</v>
      </c>
      <c r="F69" s="19" t="s">
        <v>418</v>
      </c>
      <c r="G69" s="20" t="s">
        <v>417</v>
      </c>
      <c r="H69" s="19"/>
      <c r="I69" s="19" t="s">
        <v>230</v>
      </c>
      <c r="J69" s="19" t="s">
        <v>231</v>
      </c>
      <c r="K69" s="19" t="s">
        <v>402</v>
      </c>
      <c r="L69" s="19" t="s">
        <v>252</v>
      </c>
      <c r="M69" s="19" t="s">
        <v>298</v>
      </c>
      <c r="N69" s="19" t="s">
        <v>235</v>
      </c>
      <c r="O69" s="19" t="s">
        <v>368</v>
      </c>
      <c r="P69" s="23" t="s">
        <v>237</v>
      </c>
      <c r="Q69" s="19" t="s">
        <v>403</v>
      </c>
      <c r="R69" s="19">
        <v>4900</v>
      </c>
      <c r="S69" s="19" t="s">
        <v>239</v>
      </c>
      <c r="T69" s="19" t="s">
        <v>263</v>
      </c>
      <c r="U69" s="20" t="s">
        <v>263</v>
      </c>
      <c r="V69" s="19" t="s">
        <v>154</v>
      </c>
      <c r="W69" s="19" t="s">
        <v>219</v>
      </c>
      <c r="X69" s="35">
        <v>1</v>
      </c>
      <c r="Y69" s="35">
        <v>1</v>
      </c>
      <c r="Z69" s="32"/>
      <c r="AA69" s="22">
        <v>1</v>
      </c>
      <c r="AB69" s="22">
        <v>1</v>
      </c>
      <c r="AC69" s="22"/>
      <c r="AD69" s="22"/>
      <c r="AE69" s="61">
        <f t="shared" si="27"/>
        <v>2</v>
      </c>
      <c r="AF69" s="22"/>
      <c r="AG69" s="40">
        <f t="shared" si="28"/>
        <v>2</v>
      </c>
      <c r="AH69" s="24"/>
      <c r="AI69" s="24"/>
      <c r="AJ69" s="24"/>
      <c r="AK69" s="24"/>
      <c r="AL69" s="23">
        <f t="shared" si="29"/>
        <v>2</v>
      </c>
      <c r="AM69" s="25">
        <v>1</v>
      </c>
      <c r="AN69" s="25">
        <v>1</v>
      </c>
      <c r="AO69" s="25"/>
      <c r="AP69" s="25"/>
      <c r="AQ69" s="25">
        <f t="shared" si="30"/>
        <v>2</v>
      </c>
      <c r="AR69" s="13"/>
      <c r="AS69" s="21"/>
      <c r="AT69" s="21"/>
      <c r="AU69" s="21"/>
      <c r="AV69" s="77"/>
      <c r="AW69" s="21">
        <v>1</v>
      </c>
      <c r="AX69" s="21"/>
      <c r="AY69" s="21"/>
      <c r="AZ69" s="21"/>
      <c r="BA69" s="21"/>
      <c r="BB69" s="21"/>
      <c r="BC69" s="77"/>
      <c r="BD69" s="21">
        <v>1</v>
      </c>
      <c r="BE69" s="21"/>
      <c r="BF69" s="21"/>
      <c r="BG69" s="21"/>
      <c r="BH69" s="21"/>
      <c r="BI69" s="21"/>
      <c r="BJ69" s="77"/>
      <c r="BK69" s="21"/>
      <c r="BL69" s="21"/>
      <c r="BM69" s="21"/>
      <c r="BN69" s="21"/>
      <c r="BO69" s="21"/>
      <c r="BP69" s="21"/>
      <c r="BQ69" s="77"/>
      <c r="BR69" s="21"/>
      <c r="BS69" s="21"/>
      <c r="BT69" s="21"/>
      <c r="BU69" s="21"/>
      <c r="BV69" s="21"/>
      <c r="BW69" s="79">
        <f t="shared" ref="BW69:BW132" si="31">SUM(AS69:BV69)</f>
        <v>2</v>
      </c>
      <c r="BX69" s="58">
        <f t="shared" ref="BX69:BX132" si="32">AQ69-BW69</f>
        <v>0</v>
      </c>
      <c r="BY69" s="26"/>
      <c r="BZ69" s="27"/>
      <c r="CA69" s="51" t="s">
        <v>417</v>
      </c>
      <c r="CB69" s="50" t="b">
        <f t="shared" si="26"/>
        <v>1</v>
      </c>
      <c r="CC69" s="51" t="s">
        <v>417</v>
      </c>
      <c r="CD69" s="19" t="s">
        <v>832</v>
      </c>
      <c r="CE69" s="19" t="s">
        <v>809</v>
      </c>
      <c r="CF69" s="19" t="s">
        <v>810</v>
      </c>
      <c r="CG69" s="19" t="s">
        <v>826</v>
      </c>
      <c r="CH69" s="19" t="s">
        <v>802</v>
      </c>
      <c r="CI69" s="19" t="s">
        <v>812</v>
      </c>
      <c r="CJ69" s="19" t="s">
        <v>813</v>
      </c>
      <c r="CK69" s="19" t="s">
        <v>814</v>
      </c>
      <c r="CL69" s="19" t="s">
        <v>815</v>
      </c>
      <c r="CM69" s="19" t="s">
        <v>816</v>
      </c>
      <c r="CN69" s="19" t="s">
        <v>817</v>
      </c>
      <c r="CO69" s="19" t="s">
        <v>818</v>
      </c>
      <c r="CP69" s="19" t="s">
        <v>819</v>
      </c>
      <c r="CQ69" s="19" t="s">
        <v>820</v>
      </c>
      <c r="CR69" s="19" t="s">
        <v>821</v>
      </c>
      <c r="CS69" s="19" t="s">
        <v>822</v>
      </c>
      <c r="CT69" s="19" t="s">
        <v>823</v>
      </c>
      <c r="CU69" s="19" t="s">
        <v>827</v>
      </c>
      <c r="CV69" s="19" t="s">
        <v>828</v>
      </c>
      <c r="CW69" s="19"/>
      <c r="CX69" s="19"/>
      <c r="CY69" s="19"/>
      <c r="CZ69" s="19"/>
      <c r="DA69" s="19"/>
      <c r="DB69" s="19"/>
      <c r="DC69" s="19"/>
      <c r="DD69" s="19"/>
      <c r="DE69" s="19"/>
      <c r="DF69" s="19"/>
    </row>
    <row r="70" spans="1:110" s="7" customFormat="1" x14ac:dyDescent="0.25">
      <c r="A70" s="19" t="s">
        <v>74</v>
      </c>
      <c r="B70" s="19" t="s">
        <v>75</v>
      </c>
      <c r="C70" s="19" t="str">
        <f t="shared" si="25"/>
        <v>99753255DGBR (64)</v>
      </c>
      <c r="D70" s="19">
        <v>99753255</v>
      </c>
      <c r="E70" s="19" t="s">
        <v>229</v>
      </c>
      <c r="F70" s="19" t="s">
        <v>257</v>
      </c>
      <c r="G70" s="20" t="s">
        <v>257</v>
      </c>
      <c r="H70" s="19"/>
      <c r="I70" s="19" t="s">
        <v>230</v>
      </c>
      <c r="J70" s="19" t="s">
        <v>231</v>
      </c>
      <c r="K70" s="19" t="s">
        <v>232</v>
      </c>
      <c r="L70" s="19" t="s">
        <v>233</v>
      </c>
      <c r="M70" s="19" t="s">
        <v>258</v>
      </c>
      <c r="N70" s="19" t="s">
        <v>235</v>
      </c>
      <c r="O70" s="19" t="s">
        <v>236</v>
      </c>
      <c r="P70" s="23" t="s">
        <v>237</v>
      </c>
      <c r="Q70" s="19" t="s">
        <v>238</v>
      </c>
      <c r="R70" s="19">
        <v>5000</v>
      </c>
      <c r="S70" s="19" t="s">
        <v>239</v>
      </c>
      <c r="T70" s="19" t="s">
        <v>240</v>
      </c>
      <c r="U70" s="20" t="s">
        <v>240</v>
      </c>
      <c r="V70" s="19" t="s">
        <v>106</v>
      </c>
      <c r="W70" s="19" t="s">
        <v>219</v>
      </c>
      <c r="X70" s="35"/>
      <c r="Y70" s="35"/>
      <c r="Z70" s="32"/>
      <c r="AA70" s="22">
        <v>49</v>
      </c>
      <c r="AB70" s="22"/>
      <c r="AC70" s="22"/>
      <c r="AD70" s="22"/>
      <c r="AE70" s="61">
        <v>49</v>
      </c>
      <c r="AF70" s="22"/>
      <c r="AG70" s="40">
        <v>49</v>
      </c>
      <c r="AH70" s="24">
        <v>49</v>
      </c>
      <c r="AI70" s="24"/>
      <c r="AJ70" s="24"/>
      <c r="AK70" s="24"/>
      <c r="AL70" s="23">
        <v>0</v>
      </c>
      <c r="AM70" s="25"/>
      <c r="AN70" s="25"/>
      <c r="AO70" s="25"/>
      <c r="AP70" s="25"/>
      <c r="AQ70" s="25">
        <f t="shared" si="30"/>
        <v>0</v>
      </c>
      <c r="AR70" s="13">
        <v>49</v>
      </c>
      <c r="AS70" s="83">
        <v>9</v>
      </c>
      <c r="AT70" s="83">
        <v>20</v>
      </c>
      <c r="AU70" s="83">
        <v>20</v>
      </c>
      <c r="AV70" s="77"/>
      <c r="AW70" s="21"/>
      <c r="AX70" s="21"/>
      <c r="AY70" s="21"/>
      <c r="AZ70" s="21"/>
      <c r="BA70" s="21"/>
      <c r="BB70" s="21"/>
      <c r="BC70" s="77"/>
      <c r="BD70" s="21"/>
      <c r="BE70" s="21"/>
      <c r="BF70" s="21"/>
      <c r="BG70" s="21"/>
      <c r="BH70" s="21"/>
      <c r="BI70" s="21"/>
      <c r="BJ70" s="77"/>
      <c r="BK70" s="21"/>
      <c r="BL70" s="21"/>
      <c r="BM70" s="21"/>
      <c r="BN70" s="21"/>
      <c r="BO70" s="21"/>
      <c r="BP70" s="21"/>
      <c r="BQ70" s="77"/>
      <c r="BR70" s="21"/>
      <c r="BS70" s="21"/>
      <c r="BT70" s="21"/>
      <c r="BU70" s="21"/>
      <c r="BV70" s="21"/>
      <c r="BW70" s="79">
        <f t="shared" si="31"/>
        <v>49</v>
      </c>
      <c r="BX70" s="58">
        <f t="shared" si="32"/>
        <v>-49</v>
      </c>
      <c r="BY70" s="26"/>
      <c r="CA70" s="19" t="s">
        <v>257</v>
      </c>
      <c r="CB70" s="50" t="b">
        <f t="shared" si="26"/>
        <v>1</v>
      </c>
      <c r="CC70" s="19" t="s">
        <v>257</v>
      </c>
      <c r="CD70" s="19" t="s">
        <v>1497</v>
      </c>
      <c r="CE70" s="19" t="s">
        <v>809</v>
      </c>
      <c r="CF70" s="19" t="s">
        <v>810</v>
      </c>
      <c r="CG70" s="19" t="s">
        <v>826</v>
      </c>
      <c r="CH70" s="19" t="s">
        <v>802</v>
      </c>
      <c r="CI70" s="19" t="s">
        <v>1490</v>
      </c>
      <c r="CJ70" s="19" t="s">
        <v>1491</v>
      </c>
      <c r="CK70" s="19" t="s">
        <v>803</v>
      </c>
      <c r="CL70" s="19" t="s">
        <v>804</v>
      </c>
      <c r="CM70" s="19" t="s">
        <v>1493</v>
      </c>
      <c r="CN70" s="19" t="s">
        <v>1494</v>
      </c>
      <c r="CO70" s="19" t="s">
        <v>1498</v>
      </c>
      <c r="CP70" s="19" t="s">
        <v>1499</v>
      </c>
      <c r="CQ70" s="19" t="s">
        <v>1690</v>
      </c>
      <c r="CR70" s="19" t="s">
        <v>1691</v>
      </c>
      <c r="CS70" s="19" t="s">
        <v>805</v>
      </c>
      <c r="CT70" s="19" t="s">
        <v>806</v>
      </c>
      <c r="CU70" s="19" t="s">
        <v>1495</v>
      </c>
      <c r="CV70" s="19" t="s">
        <v>1496</v>
      </c>
      <c r="CW70" s="19"/>
      <c r="CX70" s="19"/>
      <c r="CY70" s="19"/>
      <c r="CZ70" s="19"/>
      <c r="DA70" s="19"/>
      <c r="DB70" s="19"/>
      <c r="DC70" s="19"/>
      <c r="DD70" s="19"/>
      <c r="DE70" s="19"/>
      <c r="DF70" s="19"/>
    </row>
    <row r="71" spans="1:110" s="7" customFormat="1" x14ac:dyDescent="0.25">
      <c r="A71" s="19" t="s">
        <v>74</v>
      </c>
      <c r="B71" s="19" t="s">
        <v>1535</v>
      </c>
      <c r="C71" s="19" t="str">
        <f t="shared" si="25"/>
        <v>99702214DY SP Logistics (UP)</v>
      </c>
      <c r="D71" s="19">
        <v>99702214</v>
      </c>
      <c r="E71" s="19" t="s">
        <v>1580</v>
      </c>
      <c r="F71" s="19" t="s">
        <v>1581</v>
      </c>
      <c r="G71" s="20" t="s">
        <v>1581</v>
      </c>
      <c r="H71" s="19"/>
      <c r="I71" s="19" t="s">
        <v>230</v>
      </c>
      <c r="J71" s="19" t="s">
        <v>231</v>
      </c>
      <c r="K71" s="19" t="s">
        <v>232</v>
      </c>
      <c r="L71" s="19" t="s">
        <v>233</v>
      </c>
      <c r="M71" s="19" t="s">
        <v>1582</v>
      </c>
      <c r="N71" s="19" t="s">
        <v>235</v>
      </c>
      <c r="O71" s="19" t="s">
        <v>1583</v>
      </c>
      <c r="P71" s="23" t="s">
        <v>237</v>
      </c>
      <c r="Q71" s="19" t="s">
        <v>238</v>
      </c>
      <c r="R71" s="19">
        <v>5000</v>
      </c>
      <c r="S71" s="19" t="s">
        <v>239</v>
      </c>
      <c r="T71" s="19" t="s">
        <v>240</v>
      </c>
      <c r="U71" s="20" t="s">
        <v>240</v>
      </c>
      <c r="V71" s="19" t="s">
        <v>1540</v>
      </c>
      <c r="W71" s="19" t="s">
        <v>219</v>
      </c>
      <c r="X71" s="35"/>
      <c r="Y71" s="35"/>
      <c r="Z71" s="32"/>
      <c r="AA71" s="22">
        <v>5</v>
      </c>
      <c r="AB71" s="22"/>
      <c r="AC71" s="22"/>
      <c r="AD71" s="22"/>
      <c r="AE71" s="61">
        <v>5</v>
      </c>
      <c r="AF71" s="22"/>
      <c r="AG71" s="40">
        <v>5</v>
      </c>
      <c r="AH71" s="24">
        <v>5</v>
      </c>
      <c r="AI71" s="24"/>
      <c r="AJ71" s="24"/>
      <c r="AK71" s="24"/>
      <c r="AL71" s="23">
        <v>0</v>
      </c>
      <c r="AM71" s="25"/>
      <c r="AN71" s="25"/>
      <c r="AO71" s="25"/>
      <c r="AP71" s="25"/>
      <c r="AQ71" s="25">
        <f t="shared" si="30"/>
        <v>0</v>
      </c>
      <c r="AR71" s="13">
        <v>5</v>
      </c>
      <c r="AS71" s="21"/>
      <c r="AT71" s="83">
        <v>2</v>
      </c>
      <c r="AU71" s="83">
        <v>3</v>
      </c>
      <c r="AV71" s="77"/>
      <c r="AW71" s="21"/>
      <c r="AX71" s="21"/>
      <c r="AY71" s="21"/>
      <c r="AZ71" s="21"/>
      <c r="BA71" s="21"/>
      <c r="BB71" s="21"/>
      <c r="BC71" s="77"/>
      <c r="BD71" s="21"/>
      <c r="BE71" s="21"/>
      <c r="BF71" s="21"/>
      <c r="BG71" s="21"/>
      <c r="BH71" s="21"/>
      <c r="BI71" s="21"/>
      <c r="BJ71" s="77"/>
      <c r="BK71" s="21"/>
      <c r="BL71" s="21"/>
      <c r="BM71" s="21"/>
      <c r="BN71" s="21"/>
      <c r="BO71" s="21"/>
      <c r="BP71" s="21"/>
      <c r="BQ71" s="77"/>
      <c r="BR71" s="21"/>
      <c r="BS71" s="21"/>
      <c r="BT71" s="21"/>
      <c r="BU71" s="21"/>
      <c r="BV71" s="21"/>
      <c r="BW71" s="79">
        <f t="shared" si="31"/>
        <v>5</v>
      </c>
      <c r="BX71" s="58">
        <f t="shared" si="32"/>
        <v>-5</v>
      </c>
      <c r="BY71" s="26"/>
      <c r="CA71" s="19" t="s">
        <v>1581</v>
      </c>
      <c r="CB71" s="50" t="b">
        <f t="shared" si="26"/>
        <v>1</v>
      </c>
      <c r="CC71" s="19" t="s">
        <v>1581</v>
      </c>
      <c r="CD71" s="19" t="s">
        <v>1713</v>
      </c>
      <c r="CE71" s="19" t="s">
        <v>809</v>
      </c>
      <c r="CF71" s="19" t="s">
        <v>810</v>
      </c>
      <c r="CG71" s="19" t="s">
        <v>1714</v>
      </c>
      <c r="CH71" s="19" t="s">
        <v>1492</v>
      </c>
      <c r="CI71" s="19" t="s">
        <v>1490</v>
      </c>
      <c r="CJ71" s="19" t="s">
        <v>1491</v>
      </c>
      <c r="CK71" s="19" t="s">
        <v>803</v>
      </c>
      <c r="CL71" s="19" t="s">
        <v>804</v>
      </c>
      <c r="CM71" s="19" t="s">
        <v>1715</v>
      </c>
      <c r="CN71" s="19" t="s">
        <v>1716</v>
      </c>
      <c r="CO71" s="19" t="s">
        <v>1717</v>
      </c>
      <c r="CP71" s="19" t="s">
        <v>1720</v>
      </c>
      <c r="CQ71" s="19" t="s">
        <v>1690</v>
      </c>
      <c r="CR71" s="19" t="s">
        <v>1691</v>
      </c>
      <c r="CS71" s="19" t="s">
        <v>805</v>
      </c>
      <c r="CT71" s="19" t="s">
        <v>806</v>
      </c>
      <c r="CU71" s="19" t="s">
        <v>1718</v>
      </c>
      <c r="CV71" s="19" t="s">
        <v>1719</v>
      </c>
      <c r="CW71" s="19"/>
      <c r="CX71" s="19"/>
      <c r="CY71" s="19"/>
      <c r="CZ71" s="19"/>
      <c r="DA71" s="19"/>
      <c r="DB71" s="19"/>
      <c r="DC71" s="19"/>
      <c r="DD71" s="19"/>
      <c r="DE71" s="19"/>
      <c r="DF71" s="19"/>
    </row>
    <row r="72" spans="1:110" s="7" customFormat="1" x14ac:dyDescent="0.25">
      <c r="A72" s="19" t="s">
        <v>228</v>
      </c>
      <c r="B72" s="19" t="s">
        <v>80</v>
      </c>
      <c r="C72" s="19" t="str">
        <f t="shared" ref="C72:C108" si="33">D72&amp;B72</f>
        <v>99850268India</v>
      </c>
      <c r="D72" s="19">
        <v>99850268</v>
      </c>
      <c r="E72" s="19" t="s">
        <v>408</v>
      </c>
      <c r="F72" s="19" t="s">
        <v>408</v>
      </c>
      <c r="G72" s="20" t="s">
        <v>408</v>
      </c>
      <c r="H72" s="19"/>
      <c r="I72" s="19" t="s">
        <v>230</v>
      </c>
      <c r="J72" s="19" t="s">
        <v>231</v>
      </c>
      <c r="K72" s="19" t="s">
        <v>409</v>
      </c>
      <c r="L72" s="19" t="s">
        <v>252</v>
      </c>
      <c r="M72" s="19" t="s">
        <v>298</v>
      </c>
      <c r="N72" s="19" t="s">
        <v>235</v>
      </c>
      <c r="O72" s="19" t="s">
        <v>368</v>
      </c>
      <c r="P72" s="23" t="s">
        <v>237</v>
      </c>
      <c r="Q72" s="19" t="s">
        <v>410</v>
      </c>
      <c r="R72" s="19">
        <v>5140</v>
      </c>
      <c r="S72" s="19" t="s">
        <v>239</v>
      </c>
      <c r="T72" s="19" t="s">
        <v>240</v>
      </c>
      <c r="U72" s="20" t="s">
        <v>240</v>
      </c>
      <c r="V72" s="19" t="s">
        <v>149</v>
      </c>
      <c r="W72" s="19" t="s">
        <v>222</v>
      </c>
      <c r="X72" s="35">
        <v>14</v>
      </c>
      <c r="Y72" s="35">
        <v>14</v>
      </c>
      <c r="Z72" s="32"/>
      <c r="AA72" s="22">
        <v>3</v>
      </c>
      <c r="AB72" s="22">
        <v>5</v>
      </c>
      <c r="AC72" s="22">
        <v>3</v>
      </c>
      <c r="AD72" s="22">
        <v>3</v>
      </c>
      <c r="AE72" s="61">
        <v>14</v>
      </c>
      <c r="AF72" s="22"/>
      <c r="AG72" s="40">
        <v>14</v>
      </c>
      <c r="AH72" s="24"/>
      <c r="AI72" s="24"/>
      <c r="AJ72" s="24"/>
      <c r="AK72" s="24"/>
      <c r="AL72" s="23">
        <v>14</v>
      </c>
      <c r="AM72" s="25">
        <v>3</v>
      </c>
      <c r="AN72" s="25">
        <v>5</v>
      </c>
      <c r="AO72" s="25">
        <v>3</v>
      </c>
      <c r="AP72" s="25">
        <v>3</v>
      </c>
      <c r="AQ72" s="25">
        <f t="shared" si="30"/>
        <v>14</v>
      </c>
      <c r="AR72" s="13"/>
      <c r="AS72" s="21"/>
      <c r="AT72" s="21"/>
      <c r="AU72" s="21"/>
      <c r="AV72" s="77"/>
      <c r="AW72" s="21">
        <v>3</v>
      </c>
      <c r="AX72" s="21"/>
      <c r="AY72" s="21"/>
      <c r="AZ72" s="21"/>
      <c r="BA72" s="21"/>
      <c r="BB72" s="21"/>
      <c r="BC72" s="77"/>
      <c r="BD72" s="21"/>
      <c r="BE72" s="21">
        <v>5</v>
      </c>
      <c r="BF72" s="21"/>
      <c r="BG72" s="21"/>
      <c r="BH72" s="21"/>
      <c r="BI72" s="21">
        <v>3</v>
      </c>
      <c r="BJ72" s="77"/>
      <c r="BK72" s="21"/>
      <c r="BL72" s="21"/>
      <c r="BM72" s="21"/>
      <c r="BN72" s="21"/>
      <c r="BO72" s="21">
        <v>3</v>
      </c>
      <c r="BP72" s="21"/>
      <c r="BQ72" s="77"/>
      <c r="BR72" s="21"/>
      <c r="BS72" s="21"/>
      <c r="BT72" s="21"/>
      <c r="BU72" s="21"/>
      <c r="BV72" s="21"/>
      <c r="BW72" s="79">
        <f t="shared" si="31"/>
        <v>14</v>
      </c>
      <c r="BX72" s="58">
        <f t="shared" si="32"/>
        <v>0</v>
      </c>
      <c r="BY72" s="26"/>
      <c r="CA72" s="19" t="s">
        <v>408</v>
      </c>
      <c r="CB72" s="50" t="b">
        <f t="shared" ref="CB72:CB108" si="34">CC72=CA72</f>
        <v>1</v>
      </c>
      <c r="CC72" s="19" t="s">
        <v>408</v>
      </c>
      <c r="CD72" s="19" t="s">
        <v>1500</v>
      </c>
      <c r="CE72" s="19" t="s">
        <v>809</v>
      </c>
      <c r="CF72" s="19" t="s">
        <v>810</v>
      </c>
      <c r="CG72" s="19" t="s">
        <v>1501</v>
      </c>
      <c r="CH72" s="19" t="s">
        <v>833</v>
      </c>
      <c r="CI72" s="19" t="s">
        <v>1502</v>
      </c>
      <c r="CJ72" s="19" t="s">
        <v>1503</v>
      </c>
      <c r="CK72" s="19" t="s">
        <v>1504</v>
      </c>
      <c r="CL72" s="19" t="s">
        <v>1505</v>
      </c>
      <c r="CM72" s="19" t="s">
        <v>1506</v>
      </c>
      <c r="CN72" s="19" t="s">
        <v>1507</v>
      </c>
      <c r="CO72" s="19" t="s">
        <v>1508</v>
      </c>
      <c r="CP72" s="19" t="s">
        <v>1509</v>
      </c>
      <c r="CQ72" s="19" t="s">
        <v>1690</v>
      </c>
      <c r="CR72" s="19" t="s">
        <v>1691</v>
      </c>
      <c r="CS72" s="19" t="s">
        <v>1510</v>
      </c>
      <c r="CT72" s="19" t="s">
        <v>1511</v>
      </c>
      <c r="CU72" s="19" t="s">
        <v>1512</v>
      </c>
      <c r="CV72" s="19" t="s">
        <v>1513</v>
      </c>
      <c r="CW72" s="19"/>
      <c r="CX72" s="19"/>
      <c r="CY72" s="19"/>
      <c r="CZ72" s="19"/>
      <c r="DA72" s="19"/>
      <c r="DB72" s="19"/>
      <c r="DC72" s="19"/>
      <c r="DD72" s="19"/>
      <c r="DE72" s="19"/>
      <c r="DF72" s="19"/>
    </row>
    <row r="73" spans="1:110" s="7" customFormat="1" x14ac:dyDescent="0.25">
      <c r="A73" s="19" t="s">
        <v>228</v>
      </c>
      <c r="B73" s="19" t="s">
        <v>80</v>
      </c>
      <c r="C73" s="19" t="str">
        <f t="shared" si="33"/>
        <v>99850523India</v>
      </c>
      <c r="D73" s="19">
        <v>99850523</v>
      </c>
      <c r="E73" s="19" t="s">
        <v>411</v>
      </c>
      <c r="F73" s="19" t="s">
        <v>412</v>
      </c>
      <c r="G73" s="20" t="s">
        <v>412</v>
      </c>
      <c r="H73" s="19"/>
      <c r="I73" s="19" t="s">
        <v>230</v>
      </c>
      <c r="J73" s="19" t="s">
        <v>231</v>
      </c>
      <c r="K73" s="19" t="s">
        <v>413</v>
      </c>
      <c r="L73" s="19" t="s">
        <v>245</v>
      </c>
      <c r="M73" s="19" t="s">
        <v>298</v>
      </c>
      <c r="N73" s="19" t="s">
        <v>235</v>
      </c>
      <c r="O73" s="19" t="s">
        <v>368</v>
      </c>
      <c r="P73" s="23" t="s">
        <v>237</v>
      </c>
      <c r="Q73" s="19" t="s">
        <v>410</v>
      </c>
      <c r="R73" s="19">
        <v>5140</v>
      </c>
      <c r="S73" s="19" t="s">
        <v>239</v>
      </c>
      <c r="T73" s="19" t="s">
        <v>240</v>
      </c>
      <c r="U73" s="20" t="s">
        <v>240</v>
      </c>
      <c r="V73" s="19" t="s">
        <v>1597</v>
      </c>
      <c r="W73" s="19" t="s">
        <v>219</v>
      </c>
      <c r="X73" s="35">
        <v>9</v>
      </c>
      <c r="Y73" s="35">
        <v>8</v>
      </c>
      <c r="Z73" s="32"/>
      <c r="AA73" s="22">
        <v>3</v>
      </c>
      <c r="AB73" s="22">
        <v>3</v>
      </c>
      <c r="AC73" s="22">
        <v>3</v>
      </c>
      <c r="AD73" s="22">
        <v>3</v>
      </c>
      <c r="AE73" s="61">
        <v>12</v>
      </c>
      <c r="AF73" s="22"/>
      <c r="AG73" s="40">
        <v>12</v>
      </c>
      <c r="AH73" s="24"/>
      <c r="AI73" s="24"/>
      <c r="AJ73" s="24"/>
      <c r="AK73" s="24"/>
      <c r="AL73" s="23">
        <v>12</v>
      </c>
      <c r="AM73" s="25">
        <v>3</v>
      </c>
      <c r="AN73" s="25">
        <v>3</v>
      </c>
      <c r="AO73" s="25">
        <v>3</v>
      </c>
      <c r="AP73" s="25">
        <v>3</v>
      </c>
      <c r="AQ73" s="25">
        <f t="shared" si="30"/>
        <v>12</v>
      </c>
      <c r="AR73" s="13"/>
      <c r="AS73" s="21"/>
      <c r="AT73" s="21"/>
      <c r="AU73" s="21"/>
      <c r="AV73" s="77"/>
      <c r="AW73" s="21"/>
      <c r="AX73" s="21">
        <v>3</v>
      </c>
      <c r="AY73" s="21"/>
      <c r="AZ73" s="21"/>
      <c r="BA73" s="21"/>
      <c r="BB73" s="21"/>
      <c r="BC73" s="77"/>
      <c r="BD73" s="21">
        <v>3</v>
      </c>
      <c r="BE73" s="21"/>
      <c r="BF73" s="21"/>
      <c r="BG73" s="21"/>
      <c r="BH73" s="21"/>
      <c r="BI73" s="21"/>
      <c r="BJ73" s="77"/>
      <c r="BK73" s="21">
        <v>3</v>
      </c>
      <c r="BL73" s="21"/>
      <c r="BM73" s="21"/>
      <c r="BN73" s="21"/>
      <c r="BO73" s="21"/>
      <c r="BP73" s="21">
        <v>3</v>
      </c>
      <c r="BQ73" s="77"/>
      <c r="BR73" s="21"/>
      <c r="BS73" s="21"/>
      <c r="BT73" s="21"/>
      <c r="BU73" s="21"/>
      <c r="BV73" s="21"/>
      <c r="BW73" s="79">
        <f t="shared" si="31"/>
        <v>12</v>
      </c>
      <c r="BX73" s="58">
        <f t="shared" si="32"/>
        <v>0</v>
      </c>
      <c r="BY73" s="26"/>
      <c r="CA73" s="19" t="s">
        <v>412</v>
      </c>
      <c r="CB73" s="50" t="b">
        <f t="shared" si="34"/>
        <v>1</v>
      </c>
      <c r="CC73" s="19" t="s">
        <v>412</v>
      </c>
      <c r="CD73" s="19" t="s">
        <v>1514</v>
      </c>
      <c r="CE73" s="19" t="s">
        <v>809</v>
      </c>
      <c r="CF73" s="19" t="s">
        <v>810</v>
      </c>
      <c r="CG73" s="19" t="s">
        <v>1515</v>
      </c>
      <c r="CH73" s="19" t="s">
        <v>1516</v>
      </c>
      <c r="CI73" s="19" t="s">
        <v>1502</v>
      </c>
      <c r="CJ73" s="19" t="s">
        <v>1503</v>
      </c>
      <c r="CK73" s="19" t="s">
        <v>1517</v>
      </c>
      <c r="CL73" s="19" t="s">
        <v>1518</v>
      </c>
      <c r="CM73" s="19" t="s">
        <v>1519</v>
      </c>
      <c r="CN73" s="19" t="s">
        <v>1520</v>
      </c>
      <c r="CO73" s="19" t="s">
        <v>1521</v>
      </c>
      <c r="CP73" s="19" t="s">
        <v>1522</v>
      </c>
      <c r="CQ73" s="19" t="s">
        <v>1690</v>
      </c>
      <c r="CR73" s="19" t="s">
        <v>1691</v>
      </c>
      <c r="CS73" s="19" t="s">
        <v>1510</v>
      </c>
      <c r="CT73" s="19" t="s">
        <v>1511</v>
      </c>
      <c r="CU73" s="19" t="s">
        <v>1523</v>
      </c>
      <c r="CV73" s="19" t="s">
        <v>1524</v>
      </c>
      <c r="CW73" s="19"/>
      <c r="CX73" s="19"/>
      <c r="CY73" s="19"/>
      <c r="CZ73" s="19"/>
      <c r="DA73" s="19"/>
      <c r="DB73" s="19"/>
      <c r="DC73" s="19"/>
      <c r="DD73" s="19"/>
      <c r="DE73" s="19"/>
      <c r="DF73" s="19"/>
    </row>
    <row r="74" spans="1:110" s="7" customFormat="1" x14ac:dyDescent="0.25">
      <c r="A74" s="19" t="s">
        <v>228</v>
      </c>
      <c r="B74" s="19" t="s">
        <v>80</v>
      </c>
      <c r="C74" s="19" t="str">
        <f t="shared" si="33"/>
        <v>95058875India</v>
      </c>
      <c r="D74" s="19">
        <v>95058875</v>
      </c>
      <c r="E74" s="19" t="s">
        <v>446</v>
      </c>
      <c r="F74" s="19" t="s">
        <v>261</v>
      </c>
      <c r="G74" s="20" t="s">
        <v>446</v>
      </c>
      <c r="H74" s="19"/>
      <c r="I74" s="19" t="s">
        <v>230</v>
      </c>
      <c r="J74" s="19" t="s">
        <v>250</v>
      </c>
      <c r="K74" s="19" t="s">
        <v>447</v>
      </c>
      <c r="L74" s="19" t="s">
        <v>332</v>
      </c>
      <c r="M74" s="19" t="s">
        <v>268</v>
      </c>
      <c r="N74" s="19" t="s">
        <v>254</v>
      </c>
      <c r="O74" s="19" t="s">
        <v>275</v>
      </c>
      <c r="P74" s="23" t="s">
        <v>237</v>
      </c>
      <c r="Q74" s="19" t="s">
        <v>448</v>
      </c>
      <c r="R74" s="19">
        <v>5200</v>
      </c>
      <c r="S74" s="19" t="s">
        <v>272</v>
      </c>
      <c r="T74" s="19" t="s">
        <v>263</v>
      </c>
      <c r="U74" s="20" t="s">
        <v>263</v>
      </c>
      <c r="V74" s="19" t="s">
        <v>175</v>
      </c>
      <c r="W74" s="19" t="s">
        <v>222</v>
      </c>
      <c r="X74" s="35">
        <v>14</v>
      </c>
      <c r="Y74" s="35">
        <v>9</v>
      </c>
      <c r="Z74" s="32"/>
      <c r="AA74" s="22">
        <v>1</v>
      </c>
      <c r="AB74" s="22">
        <v>4</v>
      </c>
      <c r="AC74" s="22">
        <v>4</v>
      </c>
      <c r="AD74" s="22">
        <v>10</v>
      </c>
      <c r="AE74" s="61">
        <f t="shared" ref="AE74:AE82" si="35">SUM(AA74:AD74)</f>
        <v>19</v>
      </c>
      <c r="AF74" s="22"/>
      <c r="AG74" s="40">
        <f t="shared" ref="AG74:AG82" si="36">AF74+AE74</f>
        <v>19</v>
      </c>
      <c r="AH74" s="24"/>
      <c r="AI74" s="24"/>
      <c r="AJ74" s="24"/>
      <c r="AK74" s="24"/>
      <c r="AL74" s="23">
        <f t="shared" ref="AL74:AL82" si="37">AG74-AH74-AI74-AJ74+AK74</f>
        <v>19</v>
      </c>
      <c r="AM74" s="25">
        <v>9</v>
      </c>
      <c r="AN74" s="25">
        <v>10</v>
      </c>
      <c r="AO74" s="25"/>
      <c r="AP74" s="25"/>
      <c r="AQ74" s="80">
        <f t="shared" ref="AQ74:AQ111" si="38">SUM(AM74:AP74)</f>
        <v>19</v>
      </c>
      <c r="AR74" s="13"/>
      <c r="AS74" s="21"/>
      <c r="AT74" s="21"/>
      <c r="AU74" s="21"/>
      <c r="AV74" s="77"/>
      <c r="AW74" s="21">
        <v>2</v>
      </c>
      <c r="AX74" s="21">
        <v>2</v>
      </c>
      <c r="AY74" s="21">
        <v>2</v>
      </c>
      <c r="AZ74" s="21">
        <v>3</v>
      </c>
      <c r="BA74" s="21"/>
      <c r="BB74" s="21"/>
      <c r="BC74" s="77"/>
      <c r="BD74" s="21">
        <v>2</v>
      </c>
      <c r="BE74" s="21">
        <v>2</v>
      </c>
      <c r="BF74" s="21">
        <v>3</v>
      </c>
      <c r="BG74" s="21">
        <v>3</v>
      </c>
      <c r="BH74" s="21"/>
      <c r="BI74" s="21"/>
      <c r="BJ74" s="77"/>
      <c r="BK74" s="21"/>
      <c r="BL74" s="21"/>
      <c r="BM74" s="21"/>
      <c r="BN74" s="21"/>
      <c r="BO74" s="21"/>
      <c r="BP74" s="21"/>
      <c r="BQ74" s="77"/>
      <c r="BR74" s="21"/>
      <c r="BS74" s="21"/>
      <c r="BT74" s="21"/>
      <c r="BU74" s="21"/>
      <c r="BV74" s="21"/>
      <c r="BW74" s="79">
        <f t="shared" si="31"/>
        <v>19</v>
      </c>
      <c r="BX74" s="58">
        <f t="shared" si="32"/>
        <v>0</v>
      </c>
      <c r="BY74" s="26"/>
      <c r="BZ74" s="27"/>
      <c r="CA74" s="51" t="s">
        <v>446</v>
      </c>
      <c r="CB74" s="50" t="b">
        <f t="shared" si="34"/>
        <v>1</v>
      </c>
      <c r="CC74" s="51" t="s">
        <v>446</v>
      </c>
      <c r="CD74" s="19" t="s">
        <v>834</v>
      </c>
      <c r="CE74" s="19" t="s">
        <v>835</v>
      </c>
      <c r="CF74" s="19" t="s">
        <v>836</v>
      </c>
      <c r="CG74" s="19" t="s">
        <v>837</v>
      </c>
      <c r="CH74" s="19" t="s">
        <v>838</v>
      </c>
      <c r="CI74" s="19" t="s">
        <v>839</v>
      </c>
      <c r="CJ74" s="19" t="s">
        <v>840</v>
      </c>
      <c r="CK74" s="19" t="s">
        <v>841</v>
      </c>
      <c r="CL74" s="19" t="s">
        <v>842</v>
      </c>
      <c r="CM74" s="19" t="s">
        <v>843</v>
      </c>
      <c r="CN74" s="19" t="s">
        <v>844</v>
      </c>
      <c r="CO74" s="19" t="s">
        <v>845</v>
      </c>
      <c r="CP74" s="19" t="s">
        <v>846</v>
      </c>
      <c r="CQ74" s="19"/>
      <c r="CR74" s="19"/>
      <c r="CS74" s="19" t="s">
        <v>847</v>
      </c>
      <c r="CT74" s="19" t="s">
        <v>848</v>
      </c>
      <c r="CU74" s="19" t="s">
        <v>849</v>
      </c>
      <c r="CV74" s="19" t="s">
        <v>850</v>
      </c>
      <c r="CW74" s="19"/>
      <c r="CX74" s="19"/>
      <c r="CY74" s="19"/>
      <c r="CZ74" s="19"/>
      <c r="DA74" s="19"/>
      <c r="DB74" s="19"/>
      <c r="DC74" s="19"/>
      <c r="DD74" s="19"/>
      <c r="DE74" s="19"/>
      <c r="DF74" s="19"/>
    </row>
    <row r="75" spans="1:110" s="7" customFormat="1" x14ac:dyDescent="0.25">
      <c r="A75" s="19" t="s">
        <v>228</v>
      </c>
      <c r="B75" s="19" t="s">
        <v>80</v>
      </c>
      <c r="C75" s="19" t="str">
        <f t="shared" si="33"/>
        <v>95058874India</v>
      </c>
      <c r="D75" s="19">
        <v>95058874</v>
      </c>
      <c r="E75" s="19" t="s">
        <v>450</v>
      </c>
      <c r="F75" s="19" t="s">
        <v>261</v>
      </c>
      <c r="G75" s="20" t="s">
        <v>450</v>
      </c>
      <c r="H75" s="19"/>
      <c r="I75" s="19" t="s">
        <v>230</v>
      </c>
      <c r="J75" s="19" t="s">
        <v>250</v>
      </c>
      <c r="K75" s="19" t="s">
        <v>447</v>
      </c>
      <c r="L75" s="19" t="s">
        <v>264</v>
      </c>
      <c r="M75" s="19" t="s">
        <v>268</v>
      </c>
      <c r="N75" s="19" t="s">
        <v>254</v>
      </c>
      <c r="O75" s="19" t="s">
        <v>275</v>
      </c>
      <c r="P75" s="23" t="s">
        <v>237</v>
      </c>
      <c r="Q75" s="19" t="s">
        <v>448</v>
      </c>
      <c r="R75" s="19">
        <v>5200</v>
      </c>
      <c r="S75" s="19" t="s">
        <v>272</v>
      </c>
      <c r="T75" s="19" t="s">
        <v>263</v>
      </c>
      <c r="U75" s="20" t="s">
        <v>263</v>
      </c>
      <c r="V75" s="19" t="s">
        <v>177</v>
      </c>
      <c r="W75" s="19" t="s">
        <v>219</v>
      </c>
      <c r="X75" s="35">
        <v>15</v>
      </c>
      <c r="Y75" s="35">
        <v>15</v>
      </c>
      <c r="Z75" s="32"/>
      <c r="AA75" s="22">
        <v>5</v>
      </c>
      <c r="AB75" s="22">
        <v>4</v>
      </c>
      <c r="AC75" s="22">
        <v>2</v>
      </c>
      <c r="AD75" s="22">
        <v>5</v>
      </c>
      <c r="AE75" s="61">
        <f t="shared" si="35"/>
        <v>16</v>
      </c>
      <c r="AF75" s="22"/>
      <c r="AG75" s="40">
        <f t="shared" si="36"/>
        <v>16</v>
      </c>
      <c r="AH75" s="24">
        <v>1</v>
      </c>
      <c r="AI75" s="24"/>
      <c r="AJ75" s="24"/>
      <c r="AK75" s="24">
        <v>15</v>
      </c>
      <c r="AL75" s="23">
        <f t="shared" si="37"/>
        <v>30</v>
      </c>
      <c r="AM75" s="25">
        <v>15</v>
      </c>
      <c r="AN75" s="25">
        <v>15</v>
      </c>
      <c r="AO75" s="25"/>
      <c r="AP75" s="25"/>
      <c r="AQ75" s="80">
        <f t="shared" si="38"/>
        <v>30</v>
      </c>
      <c r="AR75" s="13">
        <v>1</v>
      </c>
      <c r="AS75" s="83">
        <v>1</v>
      </c>
      <c r="AT75" s="21">
        <v>3</v>
      </c>
      <c r="AU75" s="21">
        <v>3</v>
      </c>
      <c r="AV75" s="77"/>
      <c r="AW75" s="21"/>
      <c r="AX75" s="21">
        <v>3</v>
      </c>
      <c r="AY75" s="21">
        <v>3</v>
      </c>
      <c r="AZ75" s="21">
        <v>3</v>
      </c>
      <c r="BA75" s="21"/>
      <c r="BB75" s="21"/>
      <c r="BC75" s="77"/>
      <c r="BD75" s="21"/>
      <c r="BE75" s="21"/>
      <c r="BF75" s="21"/>
      <c r="BG75" s="21"/>
      <c r="BH75" s="21"/>
      <c r="BI75" s="21"/>
      <c r="BJ75" s="77"/>
      <c r="BK75" s="21"/>
      <c r="BL75" s="21"/>
      <c r="BM75" s="21"/>
      <c r="BN75" s="21"/>
      <c r="BO75" s="21"/>
      <c r="BP75" s="81"/>
      <c r="BQ75" s="77"/>
      <c r="BR75" s="81"/>
      <c r="BS75" s="81"/>
      <c r="BT75" s="81"/>
      <c r="BU75" s="81"/>
      <c r="BV75" s="81"/>
      <c r="BW75" s="79">
        <f t="shared" si="31"/>
        <v>16</v>
      </c>
      <c r="BX75" s="58">
        <f t="shared" si="32"/>
        <v>14</v>
      </c>
      <c r="BY75" s="26"/>
      <c r="BZ75" s="27"/>
      <c r="CA75" s="51" t="s">
        <v>450</v>
      </c>
      <c r="CB75" s="50" t="b">
        <f t="shared" si="34"/>
        <v>1</v>
      </c>
      <c r="CC75" s="51" t="s">
        <v>450</v>
      </c>
      <c r="CD75" s="19" t="s">
        <v>851</v>
      </c>
      <c r="CE75" s="19" t="s">
        <v>835</v>
      </c>
      <c r="CF75" s="19" t="s">
        <v>836</v>
      </c>
      <c r="CG75" s="19" t="s">
        <v>837</v>
      </c>
      <c r="CH75" s="19" t="s">
        <v>838</v>
      </c>
      <c r="CI75" s="19" t="s">
        <v>839</v>
      </c>
      <c r="CJ75" s="19" t="s">
        <v>840</v>
      </c>
      <c r="CK75" s="19" t="s">
        <v>841</v>
      </c>
      <c r="CL75" s="19" t="s">
        <v>842</v>
      </c>
      <c r="CM75" s="19" t="s">
        <v>852</v>
      </c>
      <c r="CN75" s="19" t="s">
        <v>853</v>
      </c>
      <c r="CO75" s="19" t="s">
        <v>845</v>
      </c>
      <c r="CP75" s="19" t="s">
        <v>846</v>
      </c>
      <c r="CQ75" s="19"/>
      <c r="CR75" s="19"/>
      <c r="CS75" s="19" t="s">
        <v>847</v>
      </c>
      <c r="CT75" s="19" t="s">
        <v>848</v>
      </c>
      <c r="CU75" s="19" t="s">
        <v>849</v>
      </c>
      <c r="CV75" s="19" t="s">
        <v>850</v>
      </c>
      <c r="CW75" s="19"/>
      <c r="CX75" s="19"/>
      <c r="CY75" s="19"/>
      <c r="CZ75" s="19"/>
      <c r="DA75" s="19"/>
      <c r="DB75" s="19"/>
      <c r="DC75" s="19"/>
      <c r="DD75" s="19"/>
      <c r="DE75" s="19"/>
      <c r="DF75" s="19"/>
    </row>
    <row r="76" spans="1:110" s="7" customFormat="1" x14ac:dyDescent="0.25">
      <c r="A76" s="19" t="s">
        <v>228</v>
      </c>
      <c r="B76" s="19" t="s">
        <v>80</v>
      </c>
      <c r="C76" s="19" t="str">
        <f t="shared" si="33"/>
        <v>95058872India</v>
      </c>
      <c r="D76" s="19">
        <v>95058872</v>
      </c>
      <c r="E76" s="19" t="s">
        <v>467</v>
      </c>
      <c r="F76" s="19" t="s">
        <v>261</v>
      </c>
      <c r="G76" s="20" t="s">
        <v>467</v>
      </c>
      <c r="H76" s="19"/>
      <c r="I76" s="19" t="s">
        <v>230</v>
      </c>
      <c r="J76" s="19" t="s">
        <v>250</v>
      </c>
      <c r="K76" s="19" t="s">
        <v>447</v>
      </c>
      <c r="L76" s="19" t="s">
        <v>264</v>
      </c>
      <c r="M76" s="19" t="s">
        <v>268</v>
      </c>
      <c r="N76" s="19" t="s">
        <v>254</v>
      </c>
      <c r="O76" s="19" t="s">
        <v>275</v>
      </c>
      <c r="P76" s="23" t="s">
        <v>237</v>
      </c>
      <c r="Q76" s="19" t="s">
        <v>448</v>
      </c>
      <c r="R76" s="19">
        <v>5200</v>
      </c>
      <c r="S76" s="19" t="s">
        <v>272</v>
      </c>
      <c r="T76" s="19" t="s">
        <v>263</v>
      </c>
      <c r="U76" s="20" t="s">
        <v>263</v>
      </c>
      <c r="V76" s="19" t="s">
        <v>192</v>
      </c>
      <c r="W76" s="19" t="s">
        <v>219</v>
      </c>
      <c r="X76" s="35">
        <v>3</v>
      </c>
      <c r="Y76" s="35">
        <v>3</v>
      </c>
      <c r="Z76" s="32"/>
      <c r="AA76" s="22">
        <v>7</v>
      </c>
      <c r="AB76" s="22"/>
      <c r="AC76" s="22">
        <v>2</v>
      </c>
      <c r="AD76" s="22">
        <v>2</v>
      </c>
      <c r="AE76" s="61">
        <f t="shared" si="35"/>
        <v>11</v>
      </c>
      <c r="AF76" s="22"/>
      <c r="AG76" s="40">
        <f t="shared" si="36"/>
        <v>11</v>
      </c>
      <c r="AH76" s="24"/>
      <c r="AI76" s="24"/>
      <c r="AJ76" s="24"/>
      <c r="AK76" s="24"/>
      <c r="AL76" s="23">
        <f t="shared" si="37"/>
        <v>11</v>
      </c>
      <c r="AM76" s="25"/>
      <c r="AN76" s="25">
        <v>11</v>
      </c>
      <c r="AO76" s="25"/>
      <c r="AP76" s="25"/>
      <c r="AQ76" s="80">
        <f t="shared" si="38"/>
        <v>11</v>
      </c>
      <c r="AR76" s="13"/>
      <c r="AS76" s="21"/>
      <c r="AT76" s="21"/>
      <c r="AU76" s="21"/>
      <c r="AV76" s="77"/>
      <c r="AW76" s="21"/>
      <c r="AX76" s="21"/>
      <c r="AY76" s="21"/>
      <c r="AZ76" s="21"/>
      <c r="BA76" s="21"/>
      <c r="BB76" s="21"/>
      <c r="BC76" s="77"/>
      <c r="BD76" s="21">
        <v>2</v>
      </c>
      <c r="BE76" s="21">
        <v>2</v>
      </c>
      <c r="BF76" s="21">
        <v>3</v>
      </c>
      <c r="BG76" s="21">
        <v>4</v>
      </c>
      <c r="BH76" s="21"/>
      <c r="BI76" s="21"/>
      <c r="BJ76" s="77"/>
      <c r="BK76" s="21"/>
      <c r="BL76" s="21"/>
      <c r="BM76" s="21"/>
      <c r="BN76" s="21"/>
      <c r="BO76" s="21"/>
      <c r="BP76" s="21"/>
      <c r="BQ76" s="77"/>
      <c r="BR76" s="21"/>
      <c r="BS76" s="21"/>
      <c r="BT76" s="21"/>
      <c r="BU76" s="21"/>
      <c r="BV76" s="21"/>
      <c r="BW76" s="79">
        <f t="shared" si="31"/>
        <v>11</v>
      </c>
      <c r="BX76" s="58">
        <f t="shared" si="32"/>
        <v>0</v>
      </c>
      <c r="BY76" s="26"/>
      <c r="BZ76" s="27"/>
      <c r="CA76" s="51" t="s">
        <v>467</v>
      </c>
      <c r="CB76" s="50" t="b">
        <f t="shared" si="34"/>
        <v>1</v>
      </c>
      <c r="CC76" s="52" t="s">
        <v>467</v>
      </c>
      <c r="CD76" s="19" t="s">
        <v>854</v>
      </c>
      <c r="CE76" s="19" t="s">
        <v>835</v>
      </c>
      <c r="CF76" s="19" t="s">
        <v>836</v>
      </c>
      <c r="CG76" s="19" t="s">
        <v>837</v>
      </c>
      <c r="CH76" s="19" t="s">
        <v>838</v>
      </c>
      <c r="CI76" s="19" t="s">
        <v>839</v>
      </c>
      <c r="CJ76" s="19" t="s">
        <v>840</v>
      </c>
      <c r="CK76" s="19" t="s">
        <v>841</v>
      </c>
      <c r="CL76" s="19" t="s">
        <v>842</v>
      </c>
      <c r="CM76" s="19" t="s">
        <v>852</v>
      </c>
      <c r="CN76" s="19" t="s">
        <v>853</v>
      </c>
      <c r="CO76" s="19" t="s">
        <v>845</v>
      </c>
      <c r="CP76" s="19" t="s">
        <v>846</v>
      </c>
      <c r="CQ76" s="19"/>
      <c r="CR76" s="19"/>
      <c r="CS76" s="19" t="s">
        <v>847</v>
      </c>
      <c r="CT76" s="19" t="s">
        <v>848</v>
      </c>
      <c r="CU76" s="19" t="s">
        <v>849</v>
      </c>
      <c r="CV76" s="19" t="s">
        <v>850</v>
      </c>
      <c r="CW76" s="19"/>
      <c r="CX76" s="19"/>
      <c r="CY76" s="19"/>
      <c r="CZ76" s="19"/>
      <c r="DA76" s="19"/>
      <c r="DB76" s="19"/>
      <c r="DC76" s="19"/>
      <c r="DD76" s="19"/>
      <c r="DE76" s="19"/>
      <c r="DF76" s="19"/>
    </row>
    <row r="77" spans="1:110" s="7" customFormat="1" x14ac:dyDescent="0.25">
      <c r="A77" s="19" t="s">
        <v>228</v>
      </c>
      <c r="B77" s="19" t="s">
        <v>80</v>
      </c>
      <c r="C77" s="19" t="str">
        <f t="shared" si="33"/>
        <v>95058878India</v>
      </c>
      <c r="D77" s="19">
        <v>95058878</v>
      </c>
      <c r="E77" s="19" t="s">
        <v>468</v>
      </c>
      <c r="F77" s="19" t="s">
        <v>261</v>
      </c>
      <c r="G77" s="20" t="s">
        <v>468</v>
      </c>
      <c r="H77" s="19"/>
      <c r="I77" s="19" t="s">
        <v>230</v>
      </c>
      <c r="J77" s="19" t="s">
        <v>250</v>
      </c>
      <c r="K77" s="19" t="s">
        <v>447</v>
      </c>
      <c r="L77" s="19" t="s">
        <v>264</v>
      </c>
      <c r="M77" s="19" t="s">
        <v>268</v>
      </c>
      <c r="N77" s="19" t="s">
        <v>254</v>
      </c>
      <c r="O77" s="19" t="s">
        <v>275</v>
      </c>
      <c r="P77" s="23" t="s">
        <v>237</v>
      </c>
      <c r="Q77" s="19" t="s">
        <v>448</v>
      </c>
      <c r="R77" s="19">
        <v>5200</v>
      </c>
      <c r="S77" s="19" t="s">
        <v>272</v>
      </c>
      <c r="T77" s="19" t="s">
        <v>263</v>
      </c>
      <c r="U77" s="20" t="s">
        <v>263</v>
      </c>
      <c r="V77" s="19" t="s">
        <v>193</v>
      </c>
      <c r="W77" s="19" t="s">
        <v>219</v>
      </c>
      <c r="X77" s="35"/>
      <c r="Y77" s="35"/>
      <c r="Z77" s="32"/>
      <c r="AA77" s="22"/>
      <c r="AB77" s="22"/>
      <c r="AC77" s="22">
        <v>2</v>
      </c>
      <c r="AD77" s="22">
        <v>1</v>
      </c>
      <c r="AE77" s="61">
        <f t="shared" si="35"/>
        <v>3</v>
      </c>
      <c r="AF77" s="22"/>
      <c r="AG77" s="40">
        <f t="shared" si="36"/>
        <v>3</v>
      </c>
      <c r="AH77" s="24"/>
      <c r="AI77" s="24"/>
      <c r="AJ77" s="24"/>
      <c r="AK77" s="24"/>
      <c r="AL77" s="23">
        <f t="shared" si="37"/>
        <v>3</v>
      </c>
      <c r="AM77" s="25"/>
      <c r="AN77" s="25">
        <v>3</v>
      </c>
      <c r="AO77" s="25"/>
      <c r="AP77" s="25"/>
      <c r="AQ77" s="80">
        <f t="shared" si="38"/>
        <v>3</v>
      </c>
      <c r="AR77" s="13"/>
      <c r="AS77" s="21"/>
      <c r="AT77" s="21"/>
      <c r="AU77" s="21"/>
      <c r="AV77" s="77"/>
      <c r="AW77" s="21"/>
      <c r="AX77" s="21"/>
      <c r="AY77" s="21"/>
      <c r="AZ77" s="21"/>
      <c r="BA77" s="21">
        <v>1</v>
      </c>
      <c r="BB77" s="21">
        <v>2</v>
      </c>
      <c r="BC77" s="77"/>
      <c r="BD77" s="21"/>
      <c r="BE77" s="21"/>
      <c r="BF77" s="21"/>
      <c r="BG77" s="21"/>
      <c r="BH77" s="21"/>
      <c r="BI77" s="21"/>
      <c r="BJ77" s="77"/>
      <c r="BK77" s="21"/>
      <c r="BL77" s="21"/>
      <c r="BM77" s="21"/>
      <c r="BN77" s="21"/>
      <c r="BO77" s="21"/>
      <c r="BP77" s="21"/>
      <c r="BQ77" s="77"/>
      <c r="BR77" s="21"/>
      <c r="BS77" s="21"/>
      <c r="BT77" s="21"/>
      <c r="BU77" s="21"/>
      <c r="BV77" s="21"/>
      <c r="BW77" s="79">
        <f t="shared" si="31"/>
        <v>3</v>
      </c>
      <c r="BX77" s="58">
        <f t="shared" si="32"/>
        <v>0</v>
      </c>
      <c r="BY77" s="26"/>
      <c r="BZ77" s="27"/>
      <c r="CA77" s="51" t="s">
        <v>468</v>
      </c>
      <c r="CB77" s="50" t="b">
        <f t="shared" si="34"/>
        <v>1</v>
      </c>
      <c r="CC77" s="52" t="s">
        <v>468</v>
      </c>
      <c r="CD77" s="19" t="s">
        <v>855</v>
      </c>
      <c r="CE77" s="19" t="s">
        <v>835</v>
      </c>
      <c r="CF77" s="19" t="s">
        <v>836</v>
      </c>
      <c r="CG77" s="19" t="s">
        <v>856</v>
      </c>
      <c r="CH77" s="19" t="s">
        <v>857</v>
      </c>
      <c r="CI77" s="19" t="s">
        <v>839</v>
      </c>
      <c r="CJ77" s="19" t="s">
        <v>840</v>
      </c>
      <c r="CK77" s="19" t="s">
        <v>858</v>
      </c>
      <c r="CL77" s="19" t="s">
        <v>859</v>
      </c>
      <c r="CM77" s="19" t="s">
        <v>852</v>
      </c>
      <c r="CN77" s="19" t="s">
        <v>853</v>
      </c>
      <c r="CO77" s="19" t="s">
        <v>860</v>
      </c>
      <c r="CP77" s="19" t="s">
        <v>861</v>
      </c>
      <c r="CQ77" s="19"/>
      <c r="CR77" s="19"/>
      <c r="CS77" s="19" t="s">
        <v>847</v>
      </c>
      <c r="CT77" s="19" t="s">
        <v>848</v>
      </c>
      <c r="CU77" s="19" t="s">
        <v>862</v>
      </c>
      <c r="CV77" s="19" t="s">
        <v>863</v>
      </c>
      <c r="CW77" s="19"/>
      <c r="CX77" s="19"/>
      <c r="CY77" s="19"/>
      <c r="CZ77" s="19"/>
      <c r="DA77" s="19"/>
      <c r="DB77" s="19"/>
      <c r="DC77" s="19"/>
      <c r="DD77" s="19"/>
      <c r="DE77" s="19"/>
      <c r="DF77" s="19"/>
    </row>
    <row r="78" spans="1:110" s="7" customFormat="1" x14ac:dyDescent="0.25">
      <c r="A78" s="19" t="s">
        <v>228</v>
      </c>
      <c r="B78" s="19" t="s">
        <v>80</v>
      </c>
      <c r="C78" s="19" t="str">
        <f t="shared" si="33"/>
        <v>95056713India</v>
      </c>
      <c r="D78" s="19">
        <v>95056713</v>
      </c>
      <c r="E78" s="19" t="s">
        <v>483</v>
      </c>
      <c r="F78" s="19" t="s">
        <v>261</v>
      </c>
      <c r="G78" s="20" t="s">
        <v>483</v>
      </c>
      <c r="H78" s="19"/>
      <c r="I78" s="19" t="s">
        <v>230</v>
      </c>
      <c r="J78" s="19" t="s">
        <v>250</v>
      </c>
      <c r="K78" s="19" t="s">
        <v>447</v>
      </c>
      <c r="L78" s="19" t="s">
        <v>264</v>
      </c>
      <c r="M78" s="19" t="s">
        <v>268</v>
      </c>
      <c r="N78" s="19" t="s">
        <v>254</v>
      </c>
      <c r="O78" s="19" t="s">
        <v>275</v>
      </c>
      <c r="P78" s="23" t="s">
        <v>237</v>
      </c>
      <c r="Q78" s="19" t="s">
        <v>448</v>
      </c>
      <c r="R78" s="19">
        <v>5200</v>
      </c>
      <c r="S78" s="19" t="s">
        <v>422</v>
      </c>
      <c r="T78" s="19" t="s">
        <v>263</v>
      </c>
      <c r="U78" s="20" t="s">
        <v>263</v>
      </c>
      <c r="V78" s="19" t="s">
        <v>209</v>
      </c>
      <c r="W78" s="19" t="s">
        <v>221</v>
      </c>
      <c r="X78" s="35">
        <v>32</v>
      </c>
      <c r="Y78" s="35">
        <v>37</v>
      </c>
      <c r="Z78" s="32"/>
      <c r="AA78" s="22">
        <v>5</v>
      </c>
      <c r="AB78" s="22">
        <v>10</v>
      </c>
      <c r="AC78" s="22">
        <v>10</v>
      </c>
      <c r="AD78" s="22"/>
      <c r="AE78" s="61">
        <f t="shared" si="35"/>
        <v>25</v>
      </c>
      <c r="AF78" s="22">
        <v>27</v>
      </c>
      <c r="AG78" s="40">
        <f t="shared" si="36"/>
        <v>52</v>
      </c>
      <c r="AH78" s="24"/>
      <c r="AI78" s="24"/>
      <c r="AJ78" s="24"/>
      <c r="AK78" s="24"/>
      <c r="AL78" s="23">
        <f t="shared" si="37"/>
        <v>52</v>
      </c>
      <c r="AM78" s="25">
        <v>16</v>
      </c>
      <c r="AN78" s="25">
        <v>16</v>
      </c>
      <c r="AO78" s="25"/>
      <c r="AP78" s="25"/>
      <c r="AQ78" s="80">
        <f t="shared" si="38"/>
        <v>32</v>
      </c>
      <c r="AR78" s="13"/>
      <c r="AS78" s="21"/>
      <c r="AT78" s="21">
        <v>4</v>
      </c>
      <c r="AU78" s="21">
        <v>4</v>
      </c>
      <c r="AV78" s="77"/>
      <c r="AW78" s="21">
        <v>4</v>
      </c>
      <c r="AX78" s="21">
        <v>4</v>
      </c>
      <c r="AY78" s="21"/>
      <c r="AZ78" s="21"/>
      <c r="BA78" s="21">
        <v>4</v>
      </c>
      <c r="BB78" s="21">
        <v>5</v>
      </c>
      <c r="BC78" s="77"/>
      <c r="BD78" s="21"/>
      <c r="BE78" s="21"/>
      <c r="BF78" s="21"/>
      <c r="BG78" s="21"/>
      <c r="BH78" s="21"/>
      <c r="BI78" s="21"/>
      <c r="BJ78" s="77"/>
      <c r="BK78" s="21"/>
      <c r="BL78" s="21"/>
      <c r="BM78" s="21"/>
      <c r="BN78" s="21"/>
      <c r="BO78" s="21"/>
      <c r="BP78" s="81"/>
      <c r="BQ78" s="82"/>
      <c r="BR78" s="81"/>
      <c r="BS78" s="81"/>
      <c r="BT78" s="81"/>
      <c r="BU78" s="81"/>
      <c r="BV78" s="81"/>
      <c r="BW78" s="79">
        <f t="shared" si="31"/>
        <v>25</v>
      </c>
      <c r="BX78" s="58">
        <f t="shared" si="32"/>
        <v>7</v>
      </c>
      <c r="BY78" s="26"/>
      <c r="BZ78" s="27"/>
      <c r="CA78" s="51" t="s">
        <v>483</v>
      </c>
      <c r="CB78" s="50" t="b">
        <f t="shared" si="34"/>
        <v>1</v>
      </c>
      <c r="CC78" s="52" t="s">
        <v>483</v>
      </c>
      <c r="CD78" s="19" t="s">
        <v>864</v>
      </c>
      <c r="CE78" s="19" t="s">
        <v>835</v>
      </c>
      <c r="CF78" s="19" t="s">
        <v>836</v>
      </c>
      <c r="CG78" s="19" t="s">
        <v>837</v>
      </c>
      <c r="CH78" s="19" t="s">
        <v>838</v>
      </c>
      <c r="CI78" s="19" t="s">
        <v>839</v>
      </c>
      <c r="CJ78" s="19" t="s">
        <v>840</v>
      </c>
      <c r="CK78" s="19" t="s">
        <v>841</v>
      </c>
      <c r="CL78" s="19" t="s">
        <v>842</v>
      </c>
      <c r="CM78" s="19" t="s">
        <v>852</v>
      </c>
      <c r="CN78" s="19" t="s">
        <v>853</v>
      </c>
      <c r="CO78" s="19" t="s">
        <v>865</v>
      </c>
      <c r="CP78" s="19" t="s">
        <v>866</v>
      </c>
      <c r="CQ78" s="19"/>
      <c r="CR78" s="19"/>
      <c r="CS78" s="19" t="s">
        <v>847</v>
      </c>
      <c r="CT78" s="19" t="s">
        <v>848</v>
      </c>
      <c r="CU78" s="19" t="s">
        <v>849</v>
      </c>
      <c r="CV78" s="19" t="s">
        <v>850</v>
      </c>
      <c r="CW78" s="19"/>
      <c r="CX78" s="19"/>
      <c r="CY78" s="19"/>
      <c r="CZ78" s="19"/>
      <c r="DA78" s="19"/>
      <c r="DB78" s="19"/>
      <c r="DC78" s="19"/>
      <c r="DD78" s="19"/>
      <c r="DE78" s="19"/>
      <c r="DF78" s="19"/>
    </row>
    <row r="79" spans="1:110" s="7" customFormat="1" x14ac:dyDescent="0.25">
      <c r="A79" s="19" t="s">
        <v>228</v>
      </c>
      <c r="B79" s="19" t="s">
        <v>80</v>
      </c>
      <c r="C79" s="19" t="str">
        <f t="shared" si="33"/>
        <v>95052933India</v>
      </c>
      <c r="D79" s="19">
        <v>95052933</v>
      </c>
      <c r="E79" s="19" t="s">
        <v>490</v>
      </c>
      <c r="F79" s="19" t="s">
        <v>261</v>
      </c>
      <c r="G79" s="20" t="s">
        <v>490</v>
      </c>
      <c r="H79" s="19"/>
      <c r="I79" s="19" t="s">
        <v>230</v>
      </c>
      <c r="J79" s="19" t="s">
        <v>250</v>
      </c>
      <c r="K79" s="19" t="s">
        <v>447</v>
      </c>
      <c r="L79" s="19" t="s">
        <v>264</v>
      </c>
      <c r="M79" s="19" t="s">
        <v>268</v>
      </c>
      <c r="N79" s="19" t="s">
        <v>254</v>
      </c>
      <c r="O79" s="19" t="s">
        <v>275</v>
      </c>
      <c r="P79" s="23" t="s">
        <v>237</v>
      </c>
      <c r="Q79" s="19" t="s">
        <v>448</v>
      </c>
      <c r="R79" s="19">
        <v>5200</v>
      </c>
      <c r="S79" s="19" t="s">
        <v>422</v>
      </c>
      <c r="T79" s="19" t="s">
        <v>263</v>
      </c>
      <c r="U79" s="20" t="s">
        <v>263</v>
      </c>
      <c r="V79" s="19" t="s">
        <v>216</v>
      </c>
      <c r="W79" s="19" t="s">
        <v>221</v>
      </c>
      <c r="X79" s="35"/>
      <c r="Y79" s="35"/>
      <c r="Z79" s="32"/>
      <c r="AA79" s="22"/>
      <c r="AB79" s="22"/>
      <c r="AC79" s="22"/>
      <c r="AD79" s="22">
        <v>3</v>
      </c>
      <c r="AE79" s="61">
        <f t="shared" si="35"/>
        <v>3</v>
      </c>
      <c r="AF79" s="22"/>
      <c r="AG79" s="40">
        <f t="shared" si="36"/>
        <v>3</v>
      </c>
      <c r="AH79" s="24"/>
      <c r="AI79" s="24"/>
      <c r="AJ79" s="24"/>
      <c r="AK79" s="24"/>
      <c r="AL79" s="23">
        <f t="shared" si="37"/>
        <v>3</v>
      </c>
      <c r="AM79" s="25"/>
      <c r="AN79" s="25">
        <v>3</v>
      </c>
      <c r="AO79" s="25"/>
      <c r="AP79" s="25"/>
      <c r="AQ79" s="80">
        <f t="shared" si="38"/>
        <v>3</v>
      </c>
      <c r="AR79" s="13"/>
      <c r="AS79" s="21"/>
      <c r="AT79" s="21"/>
      <c r="AU79" s="21"/>
      <c r="AV79" s="77"/>
      <c r="AW79" s="21"/>
      <c r="AX79" s="21"/>
      <c r="AY79" s="21"/>
      <c r="AZ79" s="21"/>
      <c r="BA79" s="21">
        <v>1</v>
      </c>
      <c r="BB79" s="21">
        <v>2</v>
      </c>
      <c r="BC79" s="77"/>
      <c r="BD79" s="21"/>
      <c r="BE79" s="21"/>
      <c r="BF79" s="21"/>
      <c r="BG79" s="21"/>
      <c r="BH79" s="21"/>
      <c r="BI79" s="21"/>
      <c r="BJ79" s="77"/>
      <c r="BK79" s="21"/>
      <c r="BL79" s="21"/>
      <c r="BM79" s="21"/>
      <c r="BN79" s="21"/>
      <c r="BO79" s="21"/>
      <c r="BP79" s="21"/>
      <c r="BQ79" s="77"/>
      <c r="BR79" s="21"/>
      <c r="BS79" s="21"/>
      <c r="BT79" s="21"/>
      <c r="BU79" s="21"/>
      <c r="BV79" s="21"/>
      <c r="BW79" s="79">
        <f t="shared" si="31"/>
        <v>3</v>
      </c>
      <c r="BX79" s="58">
        <f t="shared" si="32"/>
        <v>0</v>
      </c>
      <c r="BY79" s="26"/>
      <c r="BZ79" s="27"/>
      <c r="CA79" s="51" t="s">
        <v>490</v>
      </c>
      <c r="CB79" s="50" t="b">
        <f t="shared" si="34"/>
        <v>1</v>
      </c>
      <c r="CC79" s="52" t="s">
        <v>490</v>
      </c>
      <c r="CD79" s="19" t="s">
        <v>867</v>
      </c>
      <c r="CE79" s="19" t="s">
        <v>835</v>
      </c>
      <c r="CF79" s="19" t="s">
        <v>836</v>
      </c>
      <c r="CG79" s="19" t="s">
        <v>837</v>
      </c>
      <c r="CH79" s="19" t="s">
        <v>838</v>
      </c>
      <c r="CI79" s="19" t="s">
        <v>839</v>
      </c>
      <c r="CJ79" s="19" t="s">
        <v>840</v>
      </c>
      <c r="CK79" s="19" t="s">
        <v>841</v>
      </c>
      <c r="CL79" s="19" t="s">
        <v>842</v>
      </c>
      <c r="CM79" s="19" t="s">
        <v>852</v>
      </c>
      <c r="CN79" s="19" t="s">
        <v>853</v>
      </c>
      <c r="CO79" s="19" t="s">
        <v>865</v>
      </c>
      <c r="CP79" s="19" t="s">
        <v>866</v>
      </c>
      <c r="CQ79" s="19"/>
      <c r="CR79" s="19"/>
      <c r="CS79" s="19" t="s">
        <v>847</v>
      </c>
      <c r="CT79" s="19" t="s">
        <v>848</v>
      </c>
      <c r="CU79" s="19" t="s">
        <v>849</v>
      </c>
      <c r="CV79" s="19" t="s">
        <v>850</v>
      </c>
      <c r="CW79" s="19"/>
      <c r="CX79" s="19"/>
      <c r="CY79" s="19"/>
      <c r="CZ79" s="19"/>
      <c r="DA79" s="19"/>
      <c r="DB79" s="19"/>
      <c r="DC79" s="19"/>
      <c r="DD79" s="19"/>
      <c r="DE79" s="19"/>
      <c r="DF79" s="19"/>
    </row>
    <row r="80" spans="1:110" s="7" customFormat="1" x14ac:dyDescent="0.25">
      <c r="A80" s="19" t="s">
        <v>224</v>
      </c>
      <c r="B80" s="19" t="s">
        <v>224</v>
      </c>
      <c r="C80" s="19" t="str">
        <f t="shared" si="33"/>
        <v>95056342NPI Proj</v>
      </c>
      <c r="D80" s="19">
        <v>95056342</v>
      </c>
      <c r="E80" s="19" t="s">
        <v>1620</v>
      </c>
      <c r="F80" s="19" t="s">
        <v>261</v>
      </c>
      <c r="G80" s="20" t="s">
        <v>1620</v>
      </c>
      <c r="H80" s="19"/>
      <c r="I80" s="19" t="s">
        <v>230</v>
      </c>
      <c r="J80" s="19" t="s">
        <v>250</v>
      </c>
      <c r="K80" s="19" t="s">
        <v>447</v>
      </c>
      <c r="L80" s="19" t="s">
        <v>252</v>
      </c>
      <c r="M80" s="19" t="s">
        <v>268</v>
      </c>
      <c r="N80" s="19" t="s">
        <v>254</v>
      </c>
      <c r="O80" s="19" t="s">
        <v>275</v>
      </c>
      <c r="P80" s="23" t="s">
        <v>237</v>
      </c>
      <c r="Q80" s="19" t="s">
        <v>448</v>
      </c>
      <c r="R80" s="19">
        <v>5200</v>
      </c>
      <c r="S80" s="19" t="s">
        <v>272</v>
      </c>
      <c r="T80" s="19" t="s">
        <v>263</v>
      </c>
      <c r="U80" s="20" t="s">
        <v>263</v>
      </c>
      <c r="V80" s="19" t="s">
        <v>1570</v>
      </c>
      <c r="W80" s="19"/>
      <c r="X80" s="35">
        <v>5</v>
      </c>
      <c r="Y80" s="35"/>
      <c r="Z80" s="32"/>
      <c r="AA80" s="22"/>
      <c r="AB80" s="22"/>
      <c r="AC80" s="22">
        <v>1</v>
      </c>
      <c r="AD80" s="22"/>
      <c r="AE80" s="61">
        <f t="shared" si="35"/>
        <v>1</v>
      </c>
      <c r="AF80" s="22"/>
      <c r="AG80" s="40">
        <f t="shared" si="36"/>
        <v>1</v>
      </c>
      <c r="AH80" s="24"/>
      <c r="AI80" s="24"/>
      <c r="AJ80" s="24"/>
      <c r="AK80" s="24"/>
      <c r="AL80" s="23">
        <f t="shared" si="37"/>
        <v>1</v>
      </c>
      <c r="AM80" s="25"/>
      <c r="AN80" s="25"/>
      <c r="AO80" s="25"/>
      <c r="AP80" s="25">
        <v>1</v>
      </c>
      <c r="AQ80" s="80">
        <f t="shared" si="38"/>
        <v>1</v>
      </c>
      <c r="AR80" s="13"/>
      <c r="AS80" s="21"/>
      <c r="AT80" s="21"/>
      <c r="AU80" s="21"/>
      <c r="AV80" s="77"/>
      <c r="AW80" s="21"/>
      <c r="AX80" s="21"/>
      <c r="AY80" s="21"/>
      <c r="AZ80" s="21"/>
      <c r="BA80" s="21"/>
      <c r="BB80" s="21"/>
      <c r="BC80" s="77"/>
      <c r="BD80" s="21"/>
      <c r="BE80" s="21"/>
      <c r="BF80" s="21"/>
      <c r="BG80" s="21"/>
      <c r="BH80" s="21"/>
      <c r="BI80" s="21"/>
      <c r="BJ80" s="77"/>
      <c r="BK80" s="21"/>
      <c r="BL80" s="21"/>
      <c r="BM80" s="21"/>
      <c r="BN80" s="21"/>
      <c r="BO80" s="21"/>
      <c r="BP80" s="21"/>
      <c r="BQ80" s="77"/>
      <c r="BR80" s="21"/>
      <c r="BS80" s="21"/>
      <c r="BT80" s="21"/>
      <c r="BU80" s="21"/>
      <c r="BV80" s="21"/>
      <c r="BW80" s="79">
        <f t="shared" si="31"/>
        <v>0</v>
      </c>
      <c r="BX80" s="58">
        <f t="shared" si="32"/>
        <v>1</v>
      </c>
      <c r="BY80" s="26"/>
      <c r="BZ80" s="27"/>
      <c r="CA80" s="51" t="s">
        <v>1620</v>
      </c>
      <c r="CB80" s="50" t="b">
        <f t="shared" si="34"/>
        <v>0</v>
      </c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</row>
    <row r="81" spans="1:110" s="7" customFormat="1" x14ac:dyDescent="0.25">
      <c r="A81" s="19" t="s">
        <v>224</v>
      </c>
      <c r="B81" s="19" t="s">
        <v>224</v>
      </c>
      <c r="C81" s="19" t="str">
        <f t="shared" si="33"/>
        <v>95052736NPI Proj</v>
      </c>
      <c r="D81" s="19">
        <v>95052736</v>
      </c>
      <c r="E81" s="19" t="s">
        <v>1620</v>
      </c>
      <c r="F81" s="19" t="s">
        <v>261</v>
      </c>
      <c r="G81" s="20" t="s">
        <v>1620</v>
      </c>
      <c r="H81" s="19"/>
      <c r="I81" s="19" t="s">
        <v>230</v>
      </c>
      <c r="J81" s="19" t="s">
        <v>250</v>
      </c>
      <c r="K81" s="19" t="s">
        <v>447</v>
      </c>
      <c r="L81" s="19" t="s">
        <v>252</v>
      </c>
      <c r="M81" s="19" t="s">
        <v>268</v>
      </c>
      <c r="N81" s="19" t="s">
        <v>254</v>
      </c>
      <c r="O81" s="19" t="s">
        <v>275</v>
      </c>
      <c r="P81" s="23" t="s">
        <v>237</v>
      </c>
      <c r="Q81" s="19" t="s">
        <v>448</v>
      </c>
      <c r="R81" s="19">
        <v>5200</v>
      </c>
      <c r="S81" s="19" t="s">
        <v>272</v>
      </c>
      <c r="T81" s="19" t="s">
        <v>263</v>
      </c>
      <c r="U81" s="20" t="s">
        <v>263</v>
      </c>
      <c r="V81" s="19" t="s">
        <v>1571</v>
      </c>
      <c r="W81" s="19"/>
      <c r="X81" s="35">
        <v>5</v>
      </c>
      <c r="Y81" s="35"/>
      <c r="Z81" s="32"/>
      <c r="AA81" s="22"/>
      <c r="AB81" s="22"/>
      <c r="AC81" s="22"/>
      <c r="AD81" s="22"/>
      <c r="AE81" s="61">
        <f t="shared" si="35"/>
        <v>0</v>
      </c>
      <c r="AF81" s="22"/>
      <c r="AG81" s="40">
        <f t="shared" si="36"/>
        <v>0</v>
      </c>
      <c r="AH81" s="24"/>
      <c r="AI81" s="24"/>
      <c r="AJ81" s="24"/>
      <c r="AK81" s="24"/>
      <c r="AL81" s="23">
        <f t="shared" si="37"/>
        <v>0</v>
      </c>
      <c r="AM81" s="25"/>
      <c r="AN81" s="25"/>
      <c r="AO81" s="25"/>
      <c r="AP81" s="25"/>
      <c r="AQ81" s="80">
        <f t="shared" si="38"/>
        <v>0</v>
      </c>
      <c r="AR81" s="13"/>
      <c r="AS81" s="21"/>
      <c r="AT81" s="21"/>
      <c r="AU81" s="21"/>
      <c r="AV81" s="77"/>
      <c r="AW81" s="21"/>
      <c r="AX81" s="21"/>
      <c r="AY81" s="21"/>
      <c r="AZ81" s="21"/>
      <c r="BA81" s="21"/>
      <c r="BB81" s="21"/>
      <c r="BC81" s="77"/>
      <c r="BD81" s="21"/>
      <c r="BE81" s="21"/>
      <c r="BF81" s="21"/>
      <c r="BG81" s="21"/>
      <c r="BH81" s="21"/>
      <c r="BI81" s="21"/>
      <c r="BJ81" s="77"/>
      <c r="BK81" s="21"/>
      <c r="BL81" s="21"/>
      <c r="BM81" s="21"/>
      <c r="BN81" s="21"/>
      <c r="BO81" s="21"/>
      <c r="BP81" s="21"/>
      <c r="BQ81" s="77"/>
      <c r="BR81" s="21"/>
      <c r="BS81" s="21"/>
      <c r="BT81" s="21"/>
      <c r="BU81" s="21"/>
      <c r="BV81" s="21"/>
      <c r="BW81" s="79">
        <f t="shared" si="31"/>
        <v>0</v>
      </c>
      <c r="BX81" s="58">
        <f t="shared" si="32"/>
        <v>0</v>
      </c>
      <c r="BY81" s="26"/>
      <c r="BZ81" s="27"/>
      <c r="CA81" s="51" t="s">
        <v>1620</v>
      </c>
      <c r="CB81" s="50" t="b">
        <f t="shared" si="34"/>
        <v>0</v>
      </c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</row>
    <row r="82" spans="1:110" s="7" customFormat="1" x14ac:dyDescent="0.25">
      <c r="A82" s="19" t="s">
        <v>224</v>
      </c>
      <c r="B82" s="19" t="s">
        <v>224</v>
      </c>
      <c r="C82" s="19" t="str">
        <f t="shared" si="33"/>
        <v>95059123NPI Proj</v>
      </c>
      <c r="D82" s="19">
        <v>95059123</v>
      </c>
      <c r="E82" s="19" t="s">
        <v>1621</v>
      </c>
      <c r="F82" s="19" t="s">
        <v>261</v>
      </c>
      <c r="G82" s="20" t="s">
        <v>1621</v>
      </c>
      <c r="H82" s="19"/>
      <c r="I82" s="19" t="s">
        <v>230</v>
      </c>
      <c r="J82" s="19" t="s">
        <v>250</v>
      </c>
      <c r="K82" s="19" t="s">
        <v>447</v>
      </c>
      <c r="L82" s="19" t="s">
        <v>252</v>
      </c>
      <c r="M82" s="19" t="s">
        <v>268</v>
      </c>
      <c r="N82" s="19" t="s">
        <v>254</v>
      </c>
      <c r="O82" s="19" t="s">
        <v>275</v>
      </c>
      <c r="P82" s="23" t="s">
        <v>237</v>
      </c>
      <c r="Q82" s="19" t="s">
        <v>448</v>
      </c>
      <c r="R82" s="19">
        <v>5200</v>
      </c>
      <c r="S82" s="19" t="s">
        <v>272</v>
      </c>
      <c r="T82" s="19" t="s">
        <v>263</v>
      </c>
      <c r="U82" s="20" t="s">
        <v>263</v>
      </c>
      <c r="V82" s="19" t="s">
        <v>1572</v>
      </c>
      <c r="W82" s="19"/>
      <c r="X82" s="35"/>
      <c r="Y82" s="35"/>
      <c r="Z82" s="32"/>
      <c r="AA82" s="22"/>
      <c r="AB82" s="22"/>
      <c r="AC82" s="22">
        <v>1</v>
      </c>
      <c r="AD82" s="22"/>
      <c r="AE82" s="61">
        <f t="shared" si="35"/>
        <v>1</v>
      </c>
      <c r="AF82" s="22"/>
      <c r="AG82" s="40">
        <f t="shared" si="36"/>
        <v>1</v>
      </c>
      <c r="AH82" s="24"/>
      <c r="AI82" s="24"/>
      <c r="AJ82" s="24"/>
      <c r="AK82" s="24"/>
      <c r="AL82" s="23">
        <f t="shared" si="37"/>
        <v>1</v>
      </c>
      <c r="AM82" s="25"/>
      <c r="AN82" s="25"/>
      <c r="AO82" s="25"/>
      <c r="AP82" s="25">
        <v>1</v>
      </c>
      <c r="AQ82" s="80">
        <f t="shared" si="38"/>
        <v>1</v>
      </c>
      <c r="AR82" s="13"/>
      <c r="AS82" s="21"/>
      <c r="AT82" s="21"/>
      <c r="AU82" s="21"/>
      <c r="AV82" s="77"/>
      <c r="AW82" s="21"/>
      <c r="AX82" s="21"/>
      <c r="AY82" s="21"/>
      <c r="AZ82" s="21"/>
      <c r="BA82" s="21"/>
      <c r="BB82" s="21"/>
      <c r="BC82" s="77"/>
      <c r="BD82" s="21"/>
      <c r="BE82" s="21"/>
      <c r="BF82" s="21"/>
      <c r="BG82" s="21"/>
      <c r="BH82" s="21"/>
      <c r="BI82" s="21"/>
      <c r="BJ82" s="77"/>
      <c r="BK82" s="21"/>
      <c r="BL82" s="21"/>
      <c r="BM82" s="21"/>
      <c r="BN82" s="21"/>
      <c r="BO82" s="21"/>
      <c r="BP82" s="21"/>
      <c r="BQ82" s="77"/>
      <c r="BR82" s="21"/>
      <c r="BS82" s="21"/>
      <c r="BT82" s="21"/>
      <c r="BU82" s="21"/>
      <c r="BV82" s="21"/>
      <c r="BW82" s="79">
        <f t="shared" si="31"/>
        <v>0</v>
      </c>
      <c r="BX82" s="58">
        <f t="shared" si="32"/>
        <v>1</v>
      </c>
      <c r="BY82" s="26"/>
      <c r="BZ82" s="27"/>
      <c r="CA82" s="51" t="s">
        <v>1621</v>
      </c>
      <c r="CB82" s="50" t="b">
        <f t="shared" si="34"/>
        <v>0</v>
      </c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</row>
    <row r="83" spans="1:110" s="7" customFormat="1" x14ac:dyDescent="0.25">
      <c r="A83" s="19" t="s">
        <v>228</v>
      </c>
      <c r="B83" s="19" t="s">
        <v>80</v>
      </c>
      <c r="C83" s="19" t="str">
        <f t="shared" si="33"/>
        <v>95155621India</v>
      </c>
      <c r="D83" s="19">
        <v>95155621</v>
      </c>
      <c r="E83" s="19" t="s">
        <v>419</v>
      </c>
      <c r="F83" s="19" t="s">
        <v>261</v>
      </c>
      <c r="G83" s="20" t="s">
        <v>419</v>
      </c>
      <c r="H83" s="19"/>
      <c r="I83" s="19" t="s">
        <v>230</v>
      </c>
      <c r="J83" s="19" t="s">
        <v>250</v>
      </c>
      <c r="K83" s="19" t="s">
        <v>420</v>
      </c>
      <c r="L83" s="19" t="s">
        <v>252</v>
      </c>
      <c r="M83" s="19" t="s">
        <v>268</v>
      </c>
      <c r="N83" s="19" t="s">
        <v>247</v>
      </c>
      <c r="O83" s="19" t="s">
        <v>275</v>
      </c>
      <c r="P83" s="23" t="s">
        <v>237</v>
      </c>
      <c r="Q83" s="19" t="s">
        <v>421</v>
      </c>
      <c r="R83" s="19">
        <v>5300</v>
      </c>
      <c r="S83" s="19" t="s">
        <v>422</v>
      </c>
      <c r="T83" s="19" t="s">
        <v>263</v>
      </c>
      <c r="U83" s="20" t="s">
        <v>1622</v>
      </c>
      <c r="V83" s="19" t="s">
        <v>155</v>
      </c>
      <c r="W83" s="19" t="s">
        <v>221</v>
      </c>
      <c r="X83" s="35">
        <v>141</v>
      </c>
      <c r="Y83" s="35">
        <v>103</v>
      </c>
      <c r="Z83" s="32"/>
      <c r="AA83" s="22">
        <v>25</v>
      </c>
      <c r="AB83" s="22">
        <v>49</v>
      </c>
      <c r="AC83" s="22">
        <v>30</v>
      </c>
      <c r="AD83" s="22">
        <v>30</v>
      </c>
      <c r="AE83" s="61">
        <f t="shared" ref="AE83:AE90" si="39">SUM(AA83:AD83)</f>
        <v>134</v>
      </c>
      <c r="AF83" s="22">
        <v>100</v>
      </c>
      <c r="AG83" s="40">
        <f t="shared" ref="AG83:AG90" si="40">AF83+AE83</f>
        <v>234</v>
      </c>
      <c r="AH83" s="24">
        <v>12</v>
      </c>
      <c r="AI83" s="24"/>
      <c r="AJ83" s="24">
        <v>25</v>
      </c>
      <c r="AK83" s="24"/>
      <c r="AL83" s="23">
        <f t="shared" ref="AL83:AL90" si="41">AG83-AH83-AI83-AJ83+AK83</f>
        <v>197</v>
      </c>
      <c r="AM83" s="25">
        <v>35</v>
      </c>
      <c r="AN83" s="25">
        <v>35</v>
      </c>
      <c r="AO83" s="25">
        <v>45</v>
      </c>
      <c r="AP83" s="25"/>
      <c r="AQ83" s="80">
        <f t="shared" si="38"/>
        <v>115</v>
      </c>
      <c r="AR83" s="13">
        <v>12</v>
      </c>
      <c r="AS83" s="83">
        <v>6</v>
      </c>
      <c r="AT83" s="21">
        <v>6</v>
      </c>
      <c r="AU83" s="21">
        <v>12</v>
      </c>
      <c r="AV83" s="77"/>
      <c r="AW83" s="21">
        <v>6</v>
      </c>
      <c r="AX83" s="21">
        <v>6</v>
      </c>
      <c r="AY83" s="21">
        <v>6</v>
      </c>
      <c r="AZ83" s="21">
        <v>5</v>
      </c>
      <c r="BA83" s="21">
        <v>6</v>
      </c>
      <c r="BB83" s="21">
        <v>6</v>
      </c>
      <c r="BC83" s="77"/>
      <c r="BD83" s="21">
        <v>6</v>
      </c>
      <c r="BE83" s="21">
        <v>6</v>
      </c>
      <c r="BF83" s="21">
        <v>6</v>
      </c>
      <c r="BG83" s="21">
        <v>5</v>
      </c>
      <c r="BH83" s="21"/>
      <c r="BI83" s="21">
        <v>9</v>
      </c>
      <c r="BJ83" s="77"/>
      <c r="BK83" s="21">
        <v>9</v>
      </c>
      <c r="BL83" s="21">
        <v>9</v>
      </c>
      <c r="BM83" s="21">
        <v>9</v>
      </c>
      <c r="BN83" s="21">
        <v>9</v>
      </c>
      <c r="BO83" s="21"/>
      <c r="BP83" s="21"/>
      <c r="BQ83" s="77"/>
      <c r="BR83" s="21"/>
      <c r="BS83" s="21"/>
      <c r="BT83" s="21"/>
      <c r="BU83" s="21"/>
      <c r="BV83" s="21"/>
      <c r="BW83" s="79">
        <f t="shared" si="31"/>
        <v>127</v>
      </c>
      <c r="BX83" s="58">
        <f t="shared" si="32"/>
        <v>-12</v>
      </c>
      <c r="BY83" s="26"/>
      <c r="BZ83" s="27"/>
      <c r="CA83" s="51" t="s">
        <v>419</v>
      </c>
      <c r="CB83" s="50" t="b">
        <f t="shared" si="34"/>
        <v>1</v>
      </c>
      <c r="CC83" s="52" t="s">
        <v>419</v>
      </c>
      <c r="CD83" s="19" t="s">
        <v>868</v>
      </c>
      <c r="CE83" s="19" t="s">
        <v>869</v>
      </c>
      <c r="CF83" s="19" t="s">
        <v>870</v>
      </c>
      <c r="CG83" s="19" t="s">
        <v>871</v>
      </c>
      <c r="CH83" s="19" t="s">
        <v>872</v>
      </c>
      <c r="CI83" s="19" t="s">
        <v>873</v>
      </c>
      <c r="CJ83" s="19" t="s">
        <v>874</v>
      </c>
      <c r="CK83" s="19" t="s">
        <v>875</v>
      </c>
      <c r="CL83" s="19" t="s">
        <v>876</v>
      </c>
      <c r="CM83" s="19" t="s">
        <v>877</v>
      </c>
      <c r="CN83" s="19" t="s">
        <v>878</v>
      </c>
      <c r="CO83" s="19" t="s">
        <v>879</v>
      </c>
      <c r="CP83" s="19" t="s">
        <v>880</v>
      </c>
      <c r="CQ83" s="19"/>
      <c r="CR83" s="19"/>
      <c r="CS83" s="19" t="s">
        <v>881</v>
      </c>
      <c r="CT83" s="19" t="s">
        <v>882</v>
      </c>
      <c r="CU83" s="19" t="s">
        <v>883</v>
      </c>
      <c r="CV83" s="19" t="s">
        <v>884</v>
      </c>
      <c r="CW83" s="19"/>
      <c r="CX83" s="19"/>
      <c r="CY83" s="19"/>
      <c r="CZ83" s="19"/>
      <c r="DA83" s="19"/>
      <c r="DB83" s="19"/>
      <c r="DC83" s="19"/>
      <c r="DD83" s="19"/>
      <c r="DE83" s="19"/>
      <c r="DF83" s="19"/>
    </row>
    <row r="84" spans="1:110" s="7" customFormat="1" x14ac:dyDescent="0.25">
      <c r="A84" s="19" t="s">
        <v>228</v>
      </c>
      <c r="B84" s="19" t="s">
        <v>80</v>
      </c>
      <c r="C84" s="19" t="str">
        <f t="shared" si="33"/>
        <v>95158883India</v>
      </c>
      <c r="D84" s="19">
        <v>95158883</v>
      </c>
      <c r="E84" s="19" t="s">
        <v>1598</v>
      </c>
      <c r="F84" s="19" t="s">
        <v>261</v>
      </c>
      <c r="G84" s="20" t="s">
        <v>1598</v>
      </c>
      <c r="H84" s="19"/>
      <c r="I84" s="19" t="s">
        <v>230</v>
      </c>
      <c r="J84" s="19" t="s">
        <v>250</v>
      </c>
      <c r="K84" s="19" t="s">
        <v>420</v>
      </c>
      <c r="L84" s="19" t="s">
        <v>252</v>
      </c>
      <c r="M84" s="19" t="s">
        <v>268</v>
      </c>
      <c r="N84" s="19" t="s">
        <v>247</v>
      </c>
      <c r="O84" s="19" t="s">
        <v>275</v>
      </c>
      <c r="P84" s="23" t="s">
        <v>237</v>
      </c>
      <c r="Q84" s="19" t="s">
        <v>421</v>
      </c>
      <c r="R84" s="19">
        <v>5300</v>
      </c>
      <c r="S84" s="19" t="s">
        <v>272</v>
      </c>
      <c r="T84" s="19" t="s">
        <v>263</v>
      </c>
      <c r="U84" s="20" t="s">
        <v>1622</v>
      </c>
      <c r="V84" s="19" t="s">
        <v>156</v>
      </c>
      <c r="W84" s="19" t="s">
        <v>221</v>
      </c>
      <c r="X84" s="35">
        <v>99</v>
      </c>
      <c r="Y84" s="35">
        <v>57</v>
      </c>
      <c r="Z84" s="32"/>
      <c r="AA84" s="22">
        <v>5</v>
      </c>
      <c r="AB84" s="22">
        <v>26</v>
      </c>
      <c r="AC84" s="22">
        <v>41</v>
      </c>
      <c r="AD84" s="22">
        <v>30</v>
      </c>
      <c r="AE84" s="61">
        <f t="shared" si="39"/>
        <v>102</v>
      </c>
      <c r="AF84" s="22">
        <v>100</v>
      </c>
      <c r="AG84" s="40">
        <f t="shared" si="40"/>
        <v>202</v>
      </c>
      <c r="AH84" s="24">
        <f>19+25</f>
        <v>44</v>
      </c>
      <c r="AI84" s="24"/>
      <c r="AJ84" s="24"/>
      <c r="AK84" s="24"/>
      <c r="AL84" s="23">
        <f t="shared" si="41"/>
        <v>158</v>
      </c>
      <c r="AM84" s="25">
        <v>15</v>
      </c>
      <c r="AN84" s="25">
        <v>35</v>
      </c>
      <c r="AO84" s="25">
        <v>50</v>
      </c>
      <c r="AP84" s="25"/>
      <c r="AQ84" s="80">
        <f t="shared" si="38"/>
        <v>100</v>
      </c>
      <c r="AR84" s="13">
        <v>44</v>
      </c>
      <c r="AS84" s="83">
        <v>22</v>
      </c>
      <c r="AT84" s="21">
        <v>22</v>
      </c>
      <c r="AU84" s="21">
        <v>6</v>
      </c>
      <c r="AV84" s="77"/>
      <c r="AW84" s="21">
        <v>3</v>
      </c>
      <c r="AX84" s="21">
        <v>3</v>
      </c>
      <c r="AY84" s="21">
        <v>3</v>
      </c>
      <c r="AZ84" s="21"/>
      <c r="BA84" s="21">
        <v>7</v>
      </c>
      <c r="BB84" s="21">
        <v>7</v>
      </c>
      <c r="BC84" s="77"/>
      <c r="BD84" s="21">
        <v>7</v>
      </c>
      <c r="BE84" s="21">
        <v>7</v>
      </c>
      <c r="BF84" s="21">
        <v>7</v>
      </c>
      <c r="BG84" s="21"/>
      <c r="BH84" s="21"/>
      <c r="BI84" s="21">
        <v>6</v>
      </c>
      <c r="BJ84" s="77"/>
      <c r="BK84" s="21"/>
      <c r="BL84" s="21"/>
      <c r="BM84" s="21"/>
      <c r="BN84" s="21"/>
      <c r="BO84" s="21"/>
      <c r="BP84" s="81"/>
      <c r="BQ84" s="82"/>
      <c r="BR84" s="81"/>
      <c r="BS84" s="81"/>
      <c r="BT84" s="81"/>
      <c r="BU84" s="81"/>
      <c r="BV84" s="81"/>
      <c r="BW84" s="79">
        <f t="shared" si="31"/>
        <v>100</v>
      </c>
      <c r="BX84" s="58">
        <f t="shared" si="32"/>
        <v>0</v>
      </c>
      <c r="BY84" s="26"/>
      <c r="BZ84" s="27"/>
      <c r="CA84" s="51" t="s">
        <v>502</v>
      </c>
      <c r="CB84" s="50" t="b">
        <f t="shared" si="34"/>
        <v>1</v>
      </c>
      <c r="CC84" s="52" t="s">
        <v>502</v>
      </c>
      <c r="CD84" s="19" t="s">
        <v>885</v>
      </c>
      <c r="CE84" s="19" t="s">
        <v>886</v>
      </c>
      <c r="CF84" s="19" t="s">
        <v>887</v>
      </c>
      <c r="CG84" s="19" t="s">
        <v>871</v>
      </c>
      <c r="CH84" s="19" t="s">
        <v>872</v>
      </c>
      <c r="CI84" s="19" t="s">
        <v>873</v>
      </c>
      <c r="CJ84" s="19" t="s">
        <v>874</v>
      </c>
      <c r="CK84" s="19" t="s">
        <v>875</v>
      </c>
      <c r="CL84" s="19" t="s">
        <v>876</v>
      </c>
      <c r="CM84" s="19" t="s">
        <v>877</v>
      </c>
      <c r="CN84" s="19" t="s">
        <v>878</v>
      </c>
      <c r="CO84" s="19" t="s">
        <v>888</v>
      </c>
      <c r="CP84" s="19" t="s">
        <v>889</v>
      </c>
      <c r="CQ84" s="19"/>
      <c r="CR84" s="19"/>
      <c r="CS84" s="19" t="s">
        <v>881</v>
      </c>
      <c r="CT84" s="19" t="s">
        <v>882</v>
      </c>
      <c r="CU84" s="19" t="s">
        <v>883</v>
      </c>
      <c r="CV84" s="19" t="s">
        <v>884</v>
      </c>
      <c r="CW84" s="19"/>
      <c r="CX84" s="19"/>
      <c r="CY84" s="19"/>
      <c r="CZ84" s="19"/>
      <c r="DA84" s="19"/>
      <c r="DB84" s="19"/>
      <c r="DC84" s="19"/>
      <c r="DD84" s="19"/>
      <c r="DE84" s="19"/>
      <c r="DF84" s="19"/>
    </row>
    <row r="85" spans="1:110" s="7" customFormat="1" x14ac:dyDescent="0.25">
      <c r="A85" s="19" t="s">
        <v>228</v>
      </c>
      <c r="B85" s="19" t="s">
        <v>80</v>
      </c>
      <c r="C85" s="19" t="str">
        <f t="shared" si="33"/>
        <v>95158881India</v>
      </c>
      <c r="D85" s="19">
        <v>95158881</v>
      </c>
      <c r="E85" s="19" t="s">
        <v>451</v>
      </c>
      <c r="F85" s="19" t="s">
        <v>261</v>
      </c>
      <c r="G85" s="20" t="s">
        <v>451</v>
      </c>
      <c r="H85" s="19"/>
      <c r="I85" s="19" t="s">
        <v>230</v>
      </c>
      <c r="J85" s="19" t="s">
        <v>250</v>
      </c>
      <c r="K85" s="19" t="s">
        <v>420</v>
      </c>
      <c r="L85" s="19" t="s">
        <v>252</v>
      </c>
      <c r="M85" s="19" t="s">
        <v>268</v>
      </c>
      <c r="N85" s="19" t="s">
        <v>247</v>
      </c>
      <c r="O85" s="19" t="s">
        <v>275</v>
      </c>
      <c r="P85" s="23" t="s">
        <v>237</v>
      </c>
      <c r="Q85" s="19" t="s">
        <v>421</v>
      </c>
      <c r="R85" s="19">
        <v>5300</v>
      </c>
      <c r="S85" s="19" t="s">
        <v>272</v>
      </c>
      <c r="T85" s="19" t="s">
        <v>263</v>
      </c>
      <c r="U85" s="20" t="s">
        <v>263</v>
      </c>
      <c r="V85" s="19" t="s">
        <v>178</v>
      </c>
      <c r="W85" s="19" t="s">
        <v>222</v>
      </c>
      <c r="X85" s="35">
        <v>9</v>
      </c>
      <c r="Y85" s="35">
        <v>9</v>
      </c>
      <c r="Z85" s="32"/>
      <c r="AA85" s="22"/>
      <c r="AB85" s="22">
        <v>1</v>
      </c>
      <c r="AC85" s="22">
        <v>4</v>
      </c>
      <c r="AD85" s="22">
        <v>5</v>
      </c>
      <c r="AE85" s="61">
        <f t="shared" si="39"/>
        <v>10</v>
      </c>
      <c r="AF85" s="22"/>
      <c r="AG85" s="40">
        <f t="shared" si="40"/>
        <v>10</v>
      </c>
      <c r="AH85" s="24"/>
      <c r="AI85" s="24"/>
      <c r="AJ85" s="24"/>
      <c r="AK85" s="24"/>
      <c r="AL85" s="23">
        <f t="shared" si="41"/>
        <v>10</v>
      </c>
      <c r="AM85" s="25"/>
      <c r="AN85" s="25">
        <v>10</v>
      </c>
      <c r="AO85" s="25"/>
      <c r="AP85" s="25"/>
      <c r="AQ85" s="80">
        <f t="shared" si="38"/>
        <v>10</v>
      </c>
      <c r="AR85" s="13"/>
      <c r="AS85" s="21"/>
      <c r="AT85" s="21"/>
      <c r="AU85" s="21"/>
      <c r="AV85" s="77"/>
      <c r="AW85" s="21"/>
      <c r="AX85" s="21"/>
      <c r="AY85" s="21"/>
      <c r="AZ85" s="21"/>
      <c r="BA85" s="21"/>
      <c r="BB85" s="21"/>
      <c r="BC85" s="77"/>
      <c r="BD85" s="21">
        <v>2</v>
      </c>
      <c r="BE85" s="21">
        <v>2</v>
      </c>
      <c r="BF85" s="21">
        <v>3</v>
      </c>
      <c r="BG85" s="21">
        <v>3</v>
      </c>
      <c r="BH85" s="21"/>
      <c r="BI85" s="21"/>
      <c r="BJ85" s="77"/>
      <c r="BK85" s="21"/>
      <c r="BL85" s="21"/>
      <c r="BM85" s="21"/>
      <c r="BN85" s="21"/>
      <c r="BO85" s="21"/>
      <c r="BP85" s="21"/>
      <c r="BQ85" s="77"/>
      <c r="BR85" s="21"/>
      <c r="BS85" s="21"/>
      <c r="BT85" s="21"/>
      <c r="BU85" s="21"/>
      <c r="BV85" s="21"/>
      <c r="BW85" s="79">
        <f t="shared" si="31"/>
        <v>10</v>
      </c>
      <c r="BX85" s="58">
        <f t="shared" si="32"/>
        <v>0</v>
      </c>
      <c r="BY85" s="26"/>
      <c r="BZ85" s="27"/>
      <c r="CA85" s="51" t="s">
        <v>451</v>
      </c>
      <c r="CB85" s="50" t="b">
        <f t="shared" si="34"/>
        <v>1</v>
      </c>
      <c r="CC85" s="52" t="s">
        <v>451</v>
      </c>
      <c r="CD85" s="19" t="s">
        <v>890</v>
      </c>
      <c r="CE85" s="19" t="s">
        <v>886</v>
      </c>
      <c r="CF85" s="19" t="s">
        <v>887</v>
      </c>
      <c r="CG85" s="19" t="s">
        <v>871</v>
      </c>
      <c r="CH85" s="19" t="s">
        <v>872</v>
      </c>
      <c r="CI85" s="19" t="s">
        <v>873</v>
      </c>
      <c r="CJ85" s="19" t="s">
        <v>874</v>
      </c>
      <c r="CK85" s="19" t="s">
        <v>875</v>
      </c>
      <c r="CL85" s="19" t="s">
        <v>876</v>
      </c>
      <c r="CM85" s="19" t="s">
        <v>891</v>
      </c>
      <c r="CN85" s="19" t="s">
        <v>892</v>
      </c>
      <c r="CO85" s="19" t="s">
        <v>893</v>
      </c>
      <c r="CP85" s="19" t="s">
        <v>894</v>
      </c>
      <c r="CQ85" s="19"/>
      <c r="CR85" s="19"/>
      <c r="CS85" s="19" t="s">
        <v>881</v>
      </c>
      <c r="CT85" s="19" t="s">
        <v>882</v>
      </c>
      <c r="CU85" s="19" t="s">
        <v>883</v>
      </c>
      <c r="CV85" s="19" t="s">
        <v>884</v>
      </c>
      <c r="CW85" s="19"/>
      <c r="CX85" s="19"/>
      <c r="CY85" s="19"/>
      <c r="CZ85" s="19"/>
      <c r="DA85" s="19"/>
      <c r="DB85" s="19"/>
      <c r="DC85" s="19"/>
      <c r="DD85" s="19"/>
      <c r="DE85" s="19"/>
      <c r="DF85" s="19"/>
    </row>
    <row r="86" spans="1:110" s="7" customFormat="1" x14ac:dyDescent="0.25">
      <c r="A86" s="19" t="s">
        <v>228</v>
      </c>
      <c r="B86" s="19" t="s">
        <v>80</v>
      </c>
      <c r="C86" s="19" t="str">
        <f t="shared" si="33"/>
        <v>95158890India</v>
      </c>
      <c r="D86" s="19">
        <v>95158890</v>
      </c>
      <c r="E86" s="19" t="s">
        <v>465</v>
      </c>
      <c r="F86" s="19" t="s">
        <v>261</v>
      </c>
      <c r="G86" s="20" t="s">
        <v>465</v>
      </c>
      <c r="H86" s="19"/>
      <c r="I86" s="19" t="s">
        <v>230</v>
      </c>
      <c r="J86" s="19" t="s">
        <v>243</v>
      </c>
      <c r="K86" s="19" t="s">
        <v>434</v>
      </c>
      <c r="L86" s="19" t="s">
        <v>252</v>
      </c>
      <c r="M86" s="19" t="s">
        <v>268</v>
      </c>
      <c r="N86" s="19" t="s">
        <v>247</v>
      </c>
      <c r="O86" s="19" t="s">
        <v>275</v>
      </c>
      <c r="P86" s="23" t="s">
        <v>237</v>
      </c>
      <c r="Q86" s="19" t="s">
        <v>440</v>
      </c>
      <c r="R86" s="19">
        <v>5400</v>
      </c>
      <c r="S86" s="19" t="s">
        <v>272</v>
      </c>
      <c r="T86" s="19" t="s">
        <v>263</v>
      </c>
      <c r="U86" s="20" t="s">
        <v>263</v>
      </c>
      <c r="V86" s="19" t="s">
        <v>1552</v>
      </c>
      <c r="W86" s="19" t="s">
        <v>219</v>
      </c>
      <c r="X86" s="35">
        <v>2</v>
      </c>
      <c r="Y86" s="35">
        <v>2</v>
      </c>
      <c r="Z86" s="32"/>
      <c r="AA86" s="22"/>
      <c r="AB86" s="22"/>
      <c r="AC86" s="22"/>
      <c r="AD86" s="22"/>
      <c r="AE86" s="61">
        <f t="shared" si="39"/>
        <v>0</v>
      </c>
      <c r="AF86" s="22"/>
      <c r="AG86" s="40">
        <f t="shared" si="40"/>
        <v>0</v>
      </c>
      <c r="AH86" s="24"/>
      <c r="AI86" s="24"/>
      <c r="AJ86" s="24"/>
      <c r="AK86" s="24"/>
      <c r="AL86" s="23">
        <f t="shared" si="41"/>
        <v>0</v>
      </c>
      <c r="AM86" s="25"/>
      <c r="AN86" s="25"/>
      <c r="AO86" s="25"/>
      <c r="AP86" s="25"/>
      <c r="AQ86" s="80">
        <f t="shared" si="38"/>
        <v>0</v>
      </c>
      <c r="AR86" s="13"/>
      <c r="AS86" s="21"/>
      <c r="AT86" s="21"/>
      <c r="AU86" s="21"/>
      <c r="AV86" s="77"/>
      <c r="AW86" s="21"/>
      <c r="AX86" s="21"/>
      <c r="AY86" s="21"/>
      <c r="AZ86" s="21"/>
      <c r="BA86" s="21"/>
      <c r="BB86" s="21"/>
      <c r="BC86" s="77"/>
      <c r="BD86" s="21"/>
      <c r="BE86" s="21"/>
      <c r="BF86" s="21"/>
      <c r="BG86" s="21"/>
      <c r="BH86" s="21"/>
      <c r="BI86" s="21"/>
      <c r="BJ86" s="77"/>
      <c r="BK86" s="21"/>
      <c r="BL86" s="21"/>
      <c r="BM86" s="21"/>
      <c r="BN86" s="21"/>
      <c r="BO86" s="21"/>
      <c r="BP86" s="21"/>
      <c r="BQ86" s="77"/>
      <c r="BR86" s="21"/>
      <c r="BS86" s="21"/>
      <c r="BT86" s="21"/>
      <c r="BU86" s="21"/>
      <c r="BV86" s="21"/>
      <c r="BW86" s="79">
        <f t="shared" si="31"/>
        <v>0</v>
      </c>
      <c r="BX86" s="58">
        <f t="shared" si="32"/>
        <v>0</v>
      </c>
      <c r="BY86" s="26"/>
      <c r="BZ86" s="27"/>
      <c r="CA86" s="51" t="s">
        <v>465</v>
      </c>
      <c r="CB86" s="50" t="b">
        <f t="shared" si="34"/>
        <v>1</v>
      </c>
      <c r="CC86" s="51" t="s">
        <v>465</v>
      </c>
      <c r="CD86" s="19" t="s">
        <v>917</v>
      </c>
      <c r="CE86" s="19" t="s">
        <v>886</v>
      </c>
      <c r="CF86" s="19" t="s">
        <v>887</v>
      </c>
      <c r="CG86" s="19" t="s">
        <v>908</v>
      </c>
      <c r="CH86" s="19" t="s">
        <v>909</v>
      </c>
      <c r="CI86" s="19" t="s">
        <v>898</v>
      </c>
      <c r="CJ86" s="19" t="s">
        <v>899</v>
      </c>
      <c r="CK86" s="19" t="s">
        <v>875</v>
      </c>
      <c r="CL86" s="19" t="s">
        <v>876</v>
      </c>
      <c r="CM86" s="19" t="s">
        <v>900</v>
      </c>
      <c r="CN86" s="19" t="s">
        <v>901</v>
      </c>
      <c r="CO86" s="19" t="s">
        <v>918</v>
      </c>
      <c r="CP86" s="19" t="s">
        <v>919</v>
      </c>
      <c r="CQ86" s="19"/>
      <c r="CR86" s="19"/>
      <c r="CS86" s="19" t="s">
        <v>904</v>
      </c>
      <c r="CT86" s="19" t="s">
        <v>905</v>
      </c>
      <c r="CU86" s="19" t="s">
        <v>910</v>
      </c>
      <c r="CV86" s="19" t="s">
        <v>911</v>
      </c>
      <c r="CW86" s="19"/>
      <c r="CX86" s="19"/>
      <c r="CY86" s="19"/>
      <c r="CZ86" s="19"/>
      <c r="DA86" s="19"/>
      <c r="DB86" s="19"/>
      <c r="DC86" s="19"/>
      <c r="DD86" s="19"/>
      <c r="DE86" s="19"/>
      <c r="DF86" s="19"/>
    </row>
    <row r="87" spans="1:110" s="7" customFormat="1" x14ac:dyDescent="0.25">
      <c r="A87" s="19" t="s">
        <v>228</v>
      </c>
      <c r="B87" s="19" t="s">
        <v>80</v>
      </c>
      <c r="C87" s="19" t="str">
        <f t="shared" si="33"/>
        <v>95158892India</v>
      </c>
      <c r="D87" s="19">
        <v>95158892</v>
      </c>
      <c r="E87" s="19" t="s">
        <v>439</v>
      </c>
      <c r="F87" s="19" t="s">
        <v>261</v>
      </c>
      <c r="G87" s="20" t="s">
        <v>439</v>
      </c>
      <c r="H87" s="19"/>
      <c r="I87" s="19" t="s">
        <v>230</v>
      </c>
      <c r="J87" s="19" t="s">
        <v>243</v>
      </c>
      <c r="K87" s="19" t="s">
        <v>434</v>
      </c>
      <c r="L87" s="19" t="s">
        <v>252</v>
      </c>
      <c r="M87" s="19" t="s">
        <v>268</v>
      </c>
      <c r="N87" s="19" t="s">
        <v>247</v>
      </c>
      <c r="O87" s="19" t="s">
        <v>275</v>
      </c>
      <c r="P87" s="23" t="s">
        <v>237</v>
      </c>
      <c r="Q87" s="19" t="s">
        <v>440</v>
      </c>
      <c r="R87" s="19">
        <v>5400</v>
      </c>
      <c r="S87" s="19" t="s">
        <v>272</v>
      </c>
      <c r="T87" s="19" t="s">
        <v>263</v>
      </c>
      <c r="U87" s="20" t="s">
        <v>263</v>
      </c>
      <c r="V87" s="19" t="s">
        <v>170</v>
      </c>
      <c r="W87" s="19" t="s">
        <v>219</v>
      </c>
      <c r="X87" s="35">
        <v>21</v>
      </c>
      <c r="Y87" s="35">
        <v>16</v>
      </c>
      <c r="Z87" s="32"/>
      <c r="AA87" s="22">
        <v>2</v>
      </c>
      <c r="AB87" s="22">
        <v>8</v>
      </c>
      <c r="AC87" s="22">
        <v>10</v>
      </c>
      <c r="AD87" s="22"/>
      <c r="AE87" s="61">
        <f t="shared" si="39"/>
        <v>20</v>
      </c>
      <c r="AF87" s="22"/>
      <c r="AG87" s="40">
        <f t="shared" si="40"/>
        <v>20</v>
      </c>
      <c r="AH87" s="24"/>
      <c r="AI87" s="24"/>
      <c r="AJ87" s="24"/>
      <c r="AK87" s="24">
        <v>20</v>
      </c>
      <c r="AL87" s="23">
        <f t="shared" si="41"/>
        <v>40</v>
      </c>
      <c r="AM87" s="25">
        <v>2</v>
      </c>
      <c r="AN87" s="25">
        <v>8</v>
      </c>
      <c r="AO87" s="25">
        <v>10</v>
      </c>
      <c r="AP87" s="25"/>
      <c r="AQ87" s="80">
        <f t="shared" si="38"/>
        <v>20</v>
      </c>
      <c r="AR87" s="13"/>
      <c r="AS87" s="21"/>
      <c r="AT87" s="21"/>
      <c r="AU87" s="21"/>
      <c r="AV87" s="77"/>
      <c r="AW87" s="21"/>
      <c r="AX87" s="21"/>
      <c r="AY87" s="21">
        <v>2</v>
      </c>
      <c r="AZ87" s="21"/>
      <c r="BA87" s="21"/>
      <c r="BB87" s="21"/>
      <c r="BC87" s="77"/>
      <c r="BD87" s="21">
        <v>2</v>
      </c>
      <c r="BE87" s="21">
        <v>2</v>
      </c>
      <c r="BF87" s="21">
        <v>2</v>
      </c>
      <c r="BG87" s="21">
        <v>2</v>
      </c>
      <c r="BH87" s="21">
        <v>4</v>
      </c>
      <c r="BI87" s="21"/>
      <c r="BJ87" s="77"/>
      <c r="BK87" s="21"/>
      <c r="BL87" s="21">
        <v>2</v>
      </c>
      <c r="BM87" s="21">
        <v>4</v>
      </c>
      <c r="BN87" s="21"/>
      <c r="BO87" s="21"/>
      <c r="BP87" s="21"/>
      <c r="BQ87" s="77"/>
      <c r="BR87" s="21"/>
      <c r="BS87" s="21"/>
      <c r="BT87" s="21"/>
      <c r="BU87" s="21"/>
      <c r="BV87" s="21"/>
      <c r="BW87" s="79">
        <f t="shared" si="31"/>
        <v>20</v>
      </c>
      <c r="BX87" s="58">
        <f t="shared" si="32"/>
        <v>0</v>
      </c>
      <c r="BY87" s="26"/>
      <c r="BZ87" s="27"/>
      <c r="CA87" s="51" t="s">
        <v>439</v>
      </c>
      <c r="CB87" s="50" t="b">
        <f t="shared" si="34"/>
        <v>1</v>
      </c>
      <c r="CC87" s="51" t="s">
        <v>439</v>
      </c>
      <c r="CD87" s="19" t="s">
        <v>895</v>
      </c>
      <c r="CE87" s="19" t="s">
        <v>886</v>
      </c>
      <c r="CF87" s="19" t="s">
        <v>887</v>
      </c>
      <c r="CG87" s="19" t="s">
        <v>896</v>
      </c>
      <c r="CH87" s="19" t="s">
        <v>897</v>
      </c>
      <c r="CI87" s="19" t="s">
        <v>898</v>
      </c>
      <c r="CJ87" s="19" t="s">
        <v>899</v>
      </c>
      <c r="CK87" s="19" t="s">
        <v>875</v>
      </c>
      <c r="CL87" s="19" t="s">
        <v>876</v>
      </c>
      <c r="CM87" s="19" t="s">
        <v>900</v>
      </c>
      <c r="CN87" s="19" t="s">
        <v>901</v>
      </c>
      <c r="CO87" s="19" t="s">
        <v>902</v>
      </c>
      <c r="CP87" s="19" t="s">
        <v>903</v>
      </c>
      <c r="CQ87" s="19"/>
      <c r="CR87" s="19"/>
      <c r="CS87" s="19" t="s">
        <v>904</v>
      </c>
      <c r="CT87" s="19" t="s">
        <v>905</v>
      </c>
      <c r="CU87" s="19" t="s">
        <v>906</v>
      </c>
      <c r="CV87" s="19" t="s">
        <v>907</v>
      </c>
      <c r="CW87" s="19"/>
      <c r="CX87" s="19"/>
      <c r="CY87" s="19"/>
      <c r="CZ87" s="19"/>
      <c r="DA87" s="19"/>
      <c r="DB87" s="19"/>
      <c r="DC87" s="19"/>
      <c r="DD87" s="19"/>
      <c r="DE87" s="19"/>
      <c r="DF87" s="19"/>
    </row>
    <row r="88" spans="1:110" s="7" customFormat="1" x14ac:dyDescent="0.25">
      <c r="A88" s="19" t="s">
        <v>228</v>
      </c>
      <c r="B88" s="19" t="s">
        <v>80</v>
      </c>
      <c r="C88" s="19" t="str">
        <f t="shared" si="33"/>
        <v>95158889India</v>
      </c>
      <c r="D88" s="19">
        <v>95158889</v>
      </c>
      <c r="E88" s="19" t="s">
        <v>453</v>
      </c>
      <c r="F88" s="19" t="s">
        <v>261</v>
      </c>
      <c r="G88" s="20" t="s">
        <v>453</v>
      </c>
      <c r="H88" s="19"/>
      <c r="I88" s="19" t="s">
        <v>230</v>
      </c>
      <c r="J88" s="19" t="s">
        <v>243</v>
      </c>
      <c r="K88" s="19" t="s">
        <v>434</v>
      </c>
      <c r="L88" s="19" t="s">
        <v>252</v>
      </c>
      <c r="M88" s="19" t="s">
        <v>268</v>
      </c>
      <c r="N88" s="19" t="s">
        <v>247</v>
      </c>
      <c r="O88" s="19" t="s">
        <v>275</v>
      </c>
      <c r="P88" s="23" t="s">
        <v>237</v>
      </c>
      <c r="Q88" s="19" t="s">
        <v>440</v>
      </c>
      <c r="R88" s="19">
        <v>5400</v>
      </c>
      <c r="S88" s="19" t="s">
        <v>272</v>
      </c>
      <c r="T88" s="19" t="s">
        <v>263</v>
      </c>
      <c r="U88" s="20" t="s">
        <v>263</v>
      </c>
      <c r="V88" s="19" t="s">
        <v>180</v>
      </c>
      <c r="W88" s="19" t="s">
        <v>219</v>
      </c>
      <c r="X88" s="35"/>
      <c r="Y88" s="35"/>
      <c r="Z88" s="32"/>
      <c r="AA88" s="22">
        <v>25</v>
      </c>
      <c r="AB88" s="22"/>
      <c r="AC88" s="22"/>
      <c r="AD88" s="22"/>
      <c r="AE88" s="61">
        <f t="shared" si="39"/>
        <v>25</v>
      </c>
      <c r="AF88" s="22"/>
      <c r="AG88" s="40">
        <f t="shared" si="40"/>
        <v>25</v>
      </c>
      <c r="AH88" s="24"/>
      <c r="AI88" s="24"/>
      <c r="AJ88" s="24"/>
      <c r="AK88" s="24"/>
      <c r="AL88" s="23">
        <f t="shared" si="41"/>
        <v>25</v>
      </c>
      <c r="AM88" s="25">
        <v>25</v>
      </c>
      <c r="AN88" s="25"/>
      <c r="AO88" s="25"/>
      <c r="AP88" s="25"/>
      <c r="AQ88" s="80">
        <f t="shared" si="38"/>
        <v>25</v>
      </c>
      <c r="AR88" s="13"/>
      <c r="AS88" s="21"/>
      <c r="AT88" s="21">
        <v>5</v>
      </c>
      <c r="AU88" s="21">
        <v>5</v>
      </c>
      <c r="AV88" s="77"/>
      <c r="AW88" s="21"/>
      <c r="AX88" s="21">
        <v>5</v>
      </c>
      <c r="AY88" s="21">
        <v>5</v>
      </c>
      <c r="AZ88" s="21">
        <v>5</v>
      </c>
      <c r="BA88" s="21"/>
      <c r="BB88" s="21"/>
      <c r="BC88" s="77"/>
      <c r="BD88" s="21"/>
      <c r="BE88" s="21"/>
      <c r="BF88" s="21"/>
      <c r="BG88" s="21"/>
      <c r="BH88" s="21"/>
      <c r="BI88" s="21"/>
      <c r="BJ88" s="77"/>
      <c r="BK88" s="21"/>
      <c r="BL88" s="21"/>
      <c r="BM88" s="21"/>
      <c r="BN88" s="21"/>
      <c r="BO88" s="21"/>
      <c r="BP88" s="21"/>
      <c r="BQ88" s="77"/>
      <c r="BR88" s="21"/>
      <c r="BS88" s="21"/>
      <c r="BT88" s="21"/>
      <c r="BU88" s="21"/>
      <c r="BV88" s="21"/>
      <c r="BW88" s="79">
        <f t="shared" si="31"/>
        <v>25</v>
      </c>
      <c r="BX88" s="58">
        <f t="shared" si="32"/>
        <v>0</v>
      </c>
      <c r="BY88" s="26"/>
      <c r="BZ88" s="27"/>
      <c r="CA88" s="51" t="s">
        <v>453</v>
      </c>
      <c r="CB88" s="50" t="b">
        <f t="shared" si="34"/>
        <v>1</v>
      </c>
      <c r="CC88" s="51" t="s">
        <v>453</v>
      </c>
      <c r="CD88" s="19" t="s">
        <v>912</v>
      </c>
      <c r="CE88" s="19" t="s">
        <v>886</v>
      </c>
      <c r="CF88" s="19" t="s">
        <v>887</v>
      </c>
      <c r="CG88" s="19" t="s">
        <v>908</v>
      </c>
      <c r="CH88" s="19" t="s">
        <v>909</v>
      </c>
      <c r="CI88" s="19" t="s">
        <v>898</v>
      </c>
      <c r="CJ88" s="19" t="s">
        <v>899</v>
      </c>
      <c r="CK88" s="19" t="s">
        <v>875</v>
      </c>
      <c r="CL88" s="19" t="s">
        <v>876</v>
      </c>
      <c r="CM88" s="19" t="s">
        <v>913</v>
      </c>
      <c r="CN88" s="19" t="s">
        <v>914</v>
      </c>
      <c r="CO88" s="19" t="s">
        <v>915</v>
      </c>
      <c r="CP88" s="19" t="s">
        <v>916</v>
      </c>
      <c r="CQ88" s="19"/>
      <c r="CR88" s="19"/>
      <c r="CS88" s="19" t="s">
        <v>904</v>
      </c>
      <c r="CT88" s="19" t="s">
        <v>905</v>
      </c>
      <c r="CU88" s="19" t="s">
        <v>910</v>
      </c>
      <c r="CV88" s="19" t="s">
        <v>911</v>
      </c>
      <c r="CW88" s="19"/>
      <c r="CX88" s="19"/>
      <c r="CY88" s="19"/>
      <c r="CZ88" s="19"/>
      <c r="DA88" s="19"/>
      <c r="DB88" s="19"/>
      <c r="DC88" s="19"/>
      <c r="DD88" s="19"/>
      <c r="DE88" s="19"/>
      <c r="DF88" s="19"/>
    </row>
    <row r="89" spans="1:110" s="7" customFormat="1" x14ac:dyDescent="0.25">
      <c r="A89" s="19" t="s">
        <v>228</v>
      </c>
      <c r="B89" s="19" t="s">
        <v>80</v>
      </c>
      <c r="C89" s="19" t="str">
        <f t="shared" si="33"/>
        <v>95158893India</v>
      </c>
      <c r="D89" s="19">
        <v>95158893</v>
      </c>
      <c r="E89" s="19" t="s">
        <v>465</v>
      </c>
      <c r="F89" s="19" t="s">
        <v>261</v>
      </c>
      <c r="G89" s="20" t="s">
        <v>465</v>
      </c>
      <c r="H89" s="19"/>
      <c r="I89" s="19" t="s">
        <v>230</v>
      </c>
      <c r="J89" s="19" t="s">
        <v>243</v>
      </c>
      <c r="K89" s="19" t="s">
        <v>434</v>
      </c>
      <c r="L89" s="19" t="s">
        <v>252</v>
      </c>
      <c r="M89" s="19" t="s">
        <v>268</v>
      </c>
      <c r="N89" s="19" t="s">
        <v>247</v>
      </c>
      <c r="O89" s="19" t="s">
        <v>275</v>
      </c>
      <c r="P89" s="23" t="s">
        <v>237</v>
      </c>
      <c r="Q89" s="19" t="s">
        <v>440</v>
      </c>
      <c r="R89" s="19">
        <v>5400</v>
      </c>
      <c r="S89" s="19" t="s">
        <v>272</v>
      </c>
      <c r="T89" s="19" t="s">
        <v>263</v>
      </c>
      <c r="U89" s="20" t="s">
        <v>263</v>
      </c>
      <c r="V89" s="19" t="s">
        <v>188</v>
      </c>
      <c r="W89" s="19" t="s">
        <v>222</v>
      </c>
      <c r="X89" s="35">
        <v>12</v>
      </c>
      <c r="Y89" s="35">
        <v>7</v>
      </c>
      <c r="Z89" s="32"/>
      <c r="AA89" s="22"/>
      <c r="AB89" s="22">
        <v>8</v>
      </c>
      <c r="AC89" s="22">
        <v>10</v>
      </c>
      <c r="AD89" s="22"/>
      <c r="AE89" s="61">
        <f t="shared" si="39"/>
        <v>18</v>
      </c>
      <c r="AF89" s="22"/>
      <c r="AG89" s="40">
        <f t="shared" si="40"/>
        <v>18</v>
      </c>
      <c r="AH89" s="24">
        <v>12</v>
      </c>
      <c r="AI89" s="24"/>
      <c r="AJ89" s="24"/>
      <c r="AK89" s="24"/>
      <c r="AL89" s="23">
        <f t="shared" si="41"/>
        <v>6</v>
      </c>
      <c r="AM89" s="25"/>
      <c r="AN89" s="25">
        <v>2</v>
      </c>
      <c r="AO89" s="25">
        <v>4</v>
      </c>
      <c r="AP89" s="25"/>
      <c r="AQ89" s="80">
        <f t="shared" si="38"/>
        <v>6</v>
      </c>
      <c r="AR89" s="13">
        <v>12</v>
      </c>
      <c r="AS89" s="83">
        <v>12</v>
      </c>
      <c r="AT89" s="21"/>
      <c r="AU89" s="21"/>
      <c r="AV89" s="77"/>
      <c r="AW89" s="21"/>
      <c r="AX89" s="21"/>
      <c r="AY89" s="21"/>
      <c r="AZ89" s="21"/>
      <c r="BA89" s="21"/>
      <c r="BB89" s="21"/>
      <c r="BC89" s="77"/>
      <c r="BD89" s="21"/>
      <c r="BE89" s="21"/>
      <c r="BF89" s="21">
        <v>2</v>
      </c>
      <c r="BG89" s="21"/>
      <c r="BH89" s="21">
        <v>2</v>
      </c>
      <c r="BI89" s="21">
        <v>2</v>
      </c>
      <c r="BJ89" s="77"/>
      <c r="BK89" s="21"/>
      <c r="BL89" s="21"/>
      <c r="BM89" s="21"/>
      <c r="BN89" s="21"/>
      <c r="BO89" s="21"/>
      <c r="BP89" s="21"/>
      <c r="BQ89" s="77"/>
      <c r="BR89" s="21"/>
      <c r="BS89" s="21"/>
      <c r="BT89" s="21"/>
      <c r="BU89" s="21"/>
      <c r="BV89" s="21"/>
      <c r="BW89" s="79">
        <f t="shared" si="31"/>
        <v>18</v>
      </c>
      <c r="BX89" s="58">
        <f t="shared" si="32"/>
        <v>-12</v>
      </c>
      <c r="BY89" s="26"/>
      <c r="BZ89" s="27"/>
      <c r="CA89" s="51" t="s">
        <v>465</v>
      </c>
      <c r="CB89" s="50" t="b">
        <f t="shared" si="34"/>
        <v>1</v>
      </c>
      <c r="CC89" s="51" t="s">
        <v>465</v>
      </c>
      <c r="CD89" s="19" t="s">
        <v>917</v>
      </c>
      <c r="CE89" s="19" t="s">
        <v>886</v>
      </c>
      <c r="CF89" s="19" t="s">
        <v>887</v>
      </c>
      <c r="CG89" s="19" t="s">
        <v>908</v>
      </c>
      <c r="CH89" s="19" t="s">
        <v>909</v>
      </c>
      <c r="CI89" s="19" t="s">
        <v>898</v>
      </c>
      <c r="CJ89" s="19" t="s">
        <v>899</v>
      </c>
      <c r="CK89" s="19" t="s">
        <v>875</v>
      </c>
      <c r="CL89" s="19" t="s">
        <v>876</v>
      </c>
      <c r="CM89" s="19" t="s">
        <v>900</v>
      </c>
      <c r="CN89" s="19" t="s">
        <v>901</v>
      </c>
      <c r="CO89" s="19" t="s">
        <v>918</v>
      </c>
      <c r="CP89" s="19" t="s">
        <v>919</v>
      </c>
      <c r="CQ89" s="19"/>
      <c r="CR89" s="19"/>
      <c r="CS89" s="19" t="s">
        <v>904</v>
      </c>
      <c r="CT89" s="19" t="s">
        <v>905</v>
      </c>
      <c r="CU89" s="19" t="s">
        <v>910</v>
      </c>
      <c r="CV89" s="19" t="s">
        <v>911</v>
      </c>
      <c r="CW89" s="19"/>
      <c r="CX89" s="19"/>
      <c r="CY89" s="19"/>
      <c r="CZ89" s="19"/>
      <c r="DA89" s="19"/>
      <c r="DB89" s="19"/>
      <c r="DC89" s="19"/>
      <c r="DD89" s="19"/>
      <c r="DE89" s="19"/>
      <c r="DF89" s="19"/>
    </row>
    <row r="90" spans="1:110" s="7" customFormat="1" x14ac:dyDescent="0.25">
      <c r="A90" s="19" t="s">
        <v>228</v>
      </c>
      <c r="B90" s="19" t="s">
        <v>80</v>
      </c>
      <c r="C90" s="19" t="str">
        <f t="shared" si="33"/>
        <v>95155496India</v>
      </c>
      <c r="D90" s="19">
        <v>95155496</v>
      </c>
      <c r="E90" s="19" t="s">
        <v>439</v>
      </c>
      <c r="F90" s="19" t="s">
        <v>261</v>
      </c>
      <c r="G90" s="20" t="s">
        <v>439</v>
      </c>
      <c r="H90" s="19"/>
      <c r="I90" s="19" t="s">
        <v>230</v>
      </c>
      <c r="J90" s="19" t="s">
        <v>243</v>
      </c>
      <c r="K90" s="19" t="s">
        <v>434</v>
      </c>
      <c r="L90" s="19" t="s">
        <v>252</v>
      </c>
      <c r="M90" s="19" t="s">
        <v>268</v>
      </c>
      <c r="N90" s="19" t="s">
        <v>247</v>
      </c>
      <c r="O90" s="19" t="s">
        <v>275</v>
      </c>
      <c r="P90" s="23" t="s">
        <v>237</v>
      </c>
      <c r="Q90" s="19" t="s">
        <v>440</v>
      </c>
      <c r="R90" s="19">
        <v>5400</v>
      </c>
      <c r="S90" s="19" t="s">
        <v>272</v>
      </c>
      <c r="T90" s="19" t="s">
        <v>263</v>
      </c>
      <c r="U90" s="20" t="s">
        <v>263</v>
      </c>
      <c r="V90" s="19" t="s">
        <v>1607</v>
      </c>
      <c r="W90" s="19" t="s">
        <v>219</v>
      </c>
      <c r="X90" s="35">
        <v>16</v>
      </c>
      <c r="Y90" s="35">
        <v>6</v>
      </c>
      <c r="Z90" s="32"/>
      <c r="AA90" s="22"/>
      <c r="AB90" s="22">
        <v>10</v>
      </c>
      <c r="AC90" s="22">
        <v>7</v>
      </c>
      <c r="AD90" s="22"/>
      <c r="AE90" s="61">
        <f t="shared" si="39"/>
        <v>17</v>
      </c>
      <c r="AF90" s="22"/>
      <c r="AG90" s="40">
        <f t="shared" si="40"/>
        <v>17</v>
      </c>
      <c r="AH90" s="24"/>
      <c r="AI90" s="24"/>
      <c r="AJ90" s="24"/>
      <c r="AK90" s="24"/>
      <c r="AL90" s="23">
        <f t="shared" si="41"/>
        <v>17</v>
      </c>
      <c r="AM90" s="25"/>
      <c r="AN90" s="25">
        <v>10</v>
      </c>
      <c r="AO90" s="25">
        <v>7</v>
      </c>
      <c r="AP90" s="25"/>
      <c r="AQ90" s="80">
        <f t="shared" si="38"/>
        <v>17</v>
      </c>
      <c r="AR90" s="13"/>
      <c r="AS90" s="21"/>
      <c r="AT90" s="21"/>
      <c r="AU90" s="21"/>
      <c r="AV90" s="77"/>
      <c r="AW90" s="21"/>
      <c r="AX90" s="21"/>
      <c r="AY90" s="21"/>
      <c r="AZ90" s="21"/>
      <c r="BA90" s="21">
        <v>2</v>
      </c>
      <c r="BB90" s="21">
        <v>2</v>
      </c>
      <c r="BC90" s="77"/>
      <c r="BD90" s="21">
        <v>2</v>
      </c>
      <c r="BE90" s="21">
        <v>2</v>
      </c>
      <c r="BF90" s="21">
        <v>2</v>
      </c>
      <c r="BG90" s="21"/>
      <c r="BH90" s="21">
        <v>2</v>
      </c>
      <c r="BI90" s="21">
        <v>2</v>
      </c>
      <c r="BJ90" s="77"/>
      <c r="BK90" s="21">
        <v>3</v>
      </c>
      <c r="BL90" s="21"/>
      <c r="BM90" s="21"/>
      <c r="BN90" s="21"/>
      <c r="BO90" s="21"/>
      <c r="BP90" s="21"/>
      <c r="BQ90" s="77"/>
      <c r="BR90" s="21"/>
      <c r="BS90" s="21"/>
      <c r="BT90" s="21"/>
      <c r="BU90" s="21"/>
      <c r="BV90" s="21"/>
      <c r="BW90" s="79">
        <f t="shared" si="31"/>
        <v>17</v>
      </c>
      <c r="BX90" s="58">
        <f t="shared" si="32"/>
        <v>0</v>
      </c>
      <c r="BY90" s="26"/>
      <c r="BZ90" s="27"/>
      <c r="CA90" s="51" t="s">
        <v>439</v>
      </c>
      <c r="CB90" s="50" t="b">
        <f t="shared" si="34"/>
        <v>1</v>
      </c>
      <c r="CC90" s="51" t="s">
        <v>439</v>
      </c>
      <c r="CD90" s="19" t="s">
        <v>895</v>
      </c>
      <c r="CE90" s="19" t="s">
        <v>886</v>
      </c>
      <c r="CF90" s="19" t="s">
        <v>887</v>
      </c>
      <c r="CG90" s="19" t="s">
        <v>896</v>
      </c>
      <c r="CH90" s="19" t="s">
        <v>897</v>
      </c>
      <c r="CI90" s="19" t="s">
        <v>898</v>
      </c>
      <c r="CJ90" s="19" t="s">
        <v>899</v>
      </c>
      <c r="CK90" s="19" t="s">
        <v>875</v>
      </c>
      <c r="CL90" s="19" t="s">
        <v>876</v>
      </c>
      <c r="CM90" s="19" t="s">
        <v>900</v>
      </c>
      <c r="CN90" s="19" t="s">
        <v>901</v>
      </c>
      <c r="CO90" s="19" t="s">
        <v>902</v>
      </c>
      <c r="CP90" s="19" t="s">
        <v>903</v>
      </c>
      <c r="CQ90" s="19"/>
      <c r="CR90" s="19"/>
      <c r="CS90" s="19" t="s">
        <v>904</v>
      </c>
      <c r="CT90" s="19" t="s">
        <v>905</v>
      </c>
      <c r="CU90" s="19" t="s">
        <v>906</v>
      </c>
      <c r="CV90" s="19" t="s">
        <v>907</v>
      </c>
      <c r="CW90" s="19"/>
      <c r="CX90" s="19"/>
      <c r="CY90" s="19"/>
      <c r="CZ90" s="19"/>
      <c r="DA90" s="19"/>
      <c r="DB90" s="19"/>
      <c r="DC90" s="19"/>
      <c r="DD90" s="19"/>
      <c r="DE90" s="19"/>
      <c r="DF90" s="19"/>
    </row>
    <row r="91" spans="1:110" s="7" customFormat="1" x14ac:dyDescent="0.25">
      <c r="A91" s="19" t="s">
        <v>228</v>
      </c>
      <c r="B91" s="19" t="s">
        <v>80</v>
      </c>
      <c r="C91" s="19" t="str">
        <f t="shared" si="33"/>
        <v>95158942India</v>
      </c>
      <c r="D91" s="19">
        <v>95158942</v>
      </c>
      <c r="E91" s="19" t="s">
        <v>433</v>
      </c>
      <c r="F91" s="19" t="s">
        <v>261</v>
      </c>
      <c r="G91" s="20" t="s">
        <v>433</v>
      </c>
      <c r="H91" s="19"/>
      <c r="I91" s="19" t="s">
        <v>230</v>
      </c>
      <c r="J91" s="19" t="s">
        <v>334</v>
      </c>
      <c r="K91" s="19" t="s">
        <v>434</v>
      </c>
      <c r="L91" s="19" t="s">
        <v>252</v>
      </c>
      <c r="M91" s="19" t="s">
        <v>268</v>
      </c>
      <c r="N91" s="19" t="s">
        <v>247</v>
      </c>
      <c r="O91" s="19" t="s">
        <v>275</v>
      </c>
      <c r="P91" s="23" t="s">
        <v>237</v>
      </c>
      <c r="Q91" s="19" t="s">
        <v>435</v>
      </c>
      <c r="R91" s="19">
        <v>5500</v>
      </c>
      <c r="S91" s="19" t="s">
        <v>272</v>
      </c>
      <c r="T91" s="19" t="s">
        <v>263</v>
      </c>
      <c r="U91" s="20" t="s">
        <v>263</v>
      </c>
      <c r="V91" s="19" t="s">
        <v>167</v>
      </c>
      <c r="W91" s="19" t="s">
        <v>222</v>
      </c>
      <c r="X91" s="35">
        <v>5</v>
      </c>
      <c r="Y91" s="35">
        <v>4</v>
      </c>
      <c r="Z91" s="32"/>
      <c r="AA91" s="22">
        <v>3</v>
      </c>
      <c r="AB91" s="22">
        <v>4</v>
      </c>
      <c r="AC91" s="22">
        <v>1</v>
      </c>
      <c r="AD91" s="22">
        <v>1</v>
      </c>
      <c r="AE91" s="61">
        <f t="shared" ref="AE91:AE111" si="42">SUM(AA91:AD91)</f>
        <v>9</v>
      </c>
      <c r="AF91" s="22"/>
      <c r="AG91" s="40">
        <f t="shared" ref="AG91:AG111" si="43">AF91+AE91</f>
        <v>9</v>
      </c>
      <c r="AH91" s="24"/>
      <c r="AI91" s="24"/>
      <c r="AJ91" s="24"/>
      <c r="AK91" s="24"/>
      <c r="AL91" s="23">
        <f t="shared" ref="AL91:AL104" si="44">AG91-AH91-AI91-AJ91+AK91</f>
        <v>9</v>
      </c>
      <c r="AM91" s="25">
        <v>3</v>
      </c>
      <c r="AN91" s="25">
        <v>4</v>
      </c>
      <c r="AO91" s="25">
        <v>1</v>
      </c>
      <c r="AP91" s="25">
        <v>1</v>
      </c>
      <c r="AQ91" s="25">
        <f t="shared" si="38"/>
        <v>9</v>
      </c>
      <c r="AR91" s="13"/>
      <c r="AS91" s="21"/>
      <c r="AT91" s="21">
        <v>1</v>
      </c>
      <c r="AU91" s="21">
        <v>2</v>
      </c>
      <c r="AV91" s="77"/>
      <c r="AW91" s="21"/>
      <c r="AX91" s="21"/>
      <c r="AY91" s="21"/>
      <c r="AZ91" s="21"/>
      <c r="BA91" s="21">
        <v>2</v>
      </c>
      <c r="BB91" s="21">
        <v>2</v>
      </c>
      <c r="BC91" s="77"/>
      <c r="BD91" s="21"/>
      <c r="BE91" s="21"/>
      <c r="BF91" s="21"/>
      <c r="BG91" s="21"/>
      <c r="BH91" s="21">
        <v>1</v>
      </c>
      <c r="BI91" s="21"/>
      <c r="BJ91" s="77"/>
      <c r="BK91" s="21"/>
      <c r="BL91" s="21"/>
      <c r="BM91" s="21"/>
      <c r="BN91" s="21"/>
      <c r="BO91" s="21">
        <v>1</v>
      </c>
      <c r="BP91" s="21"/>
      <c r="BQ91" s="77"/>
      <c r="BR91" s="21"/>
      <c r="BS91" s="21"/>
      <c r="BT91" s="21"/>
      <c r="BU91" s="21"/>
      <c r="BV91" s="21"/>
      <c r="BW91" s="79">
        <f t="shared" si="31"/>
        <v>9</v>
      </c>
      <c r="BX91" s="58">
        <f t="shared" si="32"/>
        <v>0</v>
      </c>
      <c r="BY91" s="26"/>
      <c r="BZ91" s="27"/>
      <c r="CA91" s="51" t="s">
        <v>433</v>
      </c>
      <c r="CB91" s="50" t="b">
        <f t="shared" si="34"/>
        <v>1</v>
      </c>
      <c r="CC91" s="51" t="s">
        <v>433</v>
      </c>
      <c r="CD91" s="19" t="s">
        <v>920</v>
      </c>
      <c r="CE91" s="19" t="s">
        <v>921</v>
      </c>
      <c r="CF91" s="19" t="s">
        <v>922</v>
      </c>
      <c r="CG91" s="19" t="s">
        <v>923</v>
      </c>
      <c r="CH91" s="19" t="s">
        <v>924</v>
      </c>
      <c r="CI91" s="19" t="s">
        <v>925</v>
      </c>
      <c r="CJ91" s="19" t="s">
        <v>926</v>
      </c>
      <c r="CK91" s="19" t="s">
        <v>927</v>
      </c>
      <c r="CL91" s="19" t="s">
        <v>928</v>
      </c>
      <c r="CM91" s="19" t="s">
        <v>929</v>
      </c>
      <c r="CN91" s="19" t="s">
        <v>930</v>
      </c>
      <c r="CO91" s="19" t="s">
        <v>931</v>
      </c>
      <c r="CP91" s="19" t="s">
        <v>932</v>
      </c>
      <c r="CQ91" s="19"/>
      <c r="CR91" s="19"/>
      <c r="CS91" s="19" t="s">
        <v>538</v>
      </c>
      <c r="CT91" s="19" t="s">
        <v>539</v>
      </c>
      <c r="CU91" s="19" t="s">
        <v>933</v>
      </c>
      <c r="CV91" s="19" t="s">
        <v>934</v>
      </c>
      <c r="CW91" s="19"/>
      <c r="CX91" s="19"/>
      <c r="CY91" s="19"/>
      <c r="CZ91" s="19"/>
      <c r="DA91" s="19"/>
      <c r="DB91" s="19"/>
      <c r="DC91" s="19"/>
      <c r="DD91" s="19"/>
      <c r="DE91" s="19"/>
      <c r="DF91" s="19"/>
    </row>
    <row r="92" spans="1:110" s="7" customFormat="1" x14ac:dyDescent="0.25">
      <c r="A92" s="19" t="s">
        <v>228</v>
      </c>
      <c r="B92" s="19" t="s">
        <v>80</v>
      </c>
      <c r="C92" s="19" t="str">
        <f t="shared" si="33"/>
        <v>95158941India</v>
      </c>
      <c r="D92" s="19">
        <v>95158941</v>
      </c>
      <c r="E92" s="19" t="s">
        <v>443</v>
      </c>
      <c r="F92" s="19" t="s">
        <v>261</v>
      </c>
      <c r="G92" s="20" t="s">
        <v>443</v>
      </c>
      <c r="H92" s="19"/>
      <c r="I92" s="19" t="s">
        <v>230</v>
      </c>
      <c r="J92" s="19" t="s">
        <v>334</v>
      </c>
      <c r="K92" s="19" t="s">
        <v>434</v>
      </c>
      <c r="L92" s="19" t="s">
        <v>252</v>
      </c>
      <c r="M92" s="19" t="s">
        <v>268</v>
      </c>
      <c r="N92" s="19" t="s">
        <v>247</v>
      </c>
      <c r="O92" s="19" t="s">
        <v>275</v>
      </c>
      <c r="P92" s="23" t="s">
        <v>237</v>
      </c>
      <c r="Q92" s="19" t="s">
        <v>435</v>
      </c>
      <c r="R92" s="19">
        <v>5500</v>
      </c>
      <c r="S92" s="19" t="s">
        <v>272</v>
      </c>
      <c r="T92" s="19" t="s">
        <v>263</v>
      </c>
      <c r="U92" s="20" t="s">
        <v>263</v>
      </c>
      <c r="V92" s="19" t="s">
        <v>172</v>
      </c>
      <c r="W92" s="19" t="s">
        <v>219</v>
      </c>
      <c r="X92" s="35">
        <v>4</v>
      </c>
      <c r="Y92" s="35">
        <v>3</v>
      </c>
      <c r="Z92" s="32"/>
      <c r="AA92" s="22">
        <v>1</v>
      </c>
      <c r="AB92" s="22">
        <v>1</v>
      </c>
      <c r="AC92" s="22">
        <v>3</v>
      </c>
      <c r="AD92" s="22">
        <v>2</v>
      </c>
      <c r="AE92" s="61">
        <f t="shared" si="42"/>
        <v>7</v>
      </c>
      <c r="AF92" s="22"/>
      <c r="AG92" s="40">
        <f t="shared" si="43"/>
        <v>7</v>
      </c>
      <c r="AH92" s="24"/>
      <c r="AI92" s="24"/>
      <c r="AJ92" s="24"/>
      <c r="AK92" s="24"/>
      <c r="AL92" s="23">
        <f t="shared" si="44"/>
        <v>7</v>
      </c>
      <c r="AM92" s="25">
        <v>1</v>
      </c>
      <c r="AN92" s="25">
        <v>1</v>
      </c>
      <c r="AO92" s="25">
        <v>3</v>
      </c>
      <c r="AP92" s="25">
        <v>2</v>
      </c>
      <c r="AQ92" s="25">
        <f t="shared" si="38"/>
        <v>7</v>
      </c>
      <c r="AR92" s="13"/>
      <c r="AS92" s="21"/>
      <c r="AT92" s="21"/>
      <c r="AU92" s="21">
        <v>1</v>
      </c>
      <c r="AV92" s="77"/>
      <c r="AW92" s="21"/>
      <c r="AX92" s="21"/>
      <c r="AY92" s="21"/>
      <c r="AZ92" s="21"/>
      <c r="BA92" s="21">
        <v>1</v>
      </c>
      <c r="BB92" s="21"/>
      <c r="BC92" s="77"/>
      <c r="BD92" s="21"/>
      <c r="BE92" s="21"/>
      <c r="BF92" s="21"/>
      <c r="BG92" s="21"/>
      <c r="BH92" s="21">
        <v>1</v>
      </c>
      <c r="BI92" s="21">
        <v>2</v>
      </c>
      <c r="BJ92" s="77"/>
      <c r="BK92" s="21"/>
      <c r="BL92" s="21"/>
      <c r="BM92" s="21"/>
      <c r="BN92" s="21"/>
      <c r="BO92" s="21">
        <v>2</v>
      </c>
      <c r="BP92" s="21"/>
      <c r="BQ92" s="77"/>
      <c r="BR92" s="21"/>
      <c r="BS92" s="21"/>
      <c r="BT92" s="21"/>
      <c r="BU92" s="21"/>
      <c r="BV92" s="21"/>
      <c r="BW92" s="79">
        <f t="shared" si="31"/>
        <v>7</v>
      </c>
      <c r="BX92" s="58">
        <f t="shared" si="32"/>
        <v>0</v>
      </c>
      <c r="BY92" s="26"/>
      <c r="BZ92" s="27"/>
      <c r="CA92" s="51" t="s">
        <v>443</v>
      </c>
      <c r="CB92" s="50" t="b">
        <f t="shared" si="34"/>
        <v>1</v>
      </c>
      <c r="CC92" s="52" t="s">
        <v>443</v>
      </c>
      <c r="CD92" s="19" t="s">
        <v>935</v>
      </c>
      <c r="CE92" s="19" t="s">
        <v>921</v>
      </c>
      <c r="CF92" s="19" t="s">
        <v>922</v>
      </c>
      <c r="CG92" s="19" t="s">
        <v>936</v>
      </c>
      <c r="CH92" s="19" t="s">
        <v>937</v>
      </c>
      <c r="CI92" s="19" t="s">
        <v>925</v>
      </c>
      <c r="CJ92" s="19" t="s">
        <v>926</v>
      </c>
      <c r="CK92" s="19" t="s">
        <v>938</v>
      </c>
      <c r="CL92" s="19" t="s">
        <v>939</v>
      </c>
      <c r="CM92" s="19" t="s">
        <v>940</v>
      </c>
      <c r="CN92" s="19" t="s">
        <v>941</v>
      </c>
      <c r="CO92" s="19" t="s">
        <v>942</v>
      </c>
      <c r="CP92" s="19" t="s">
        <v>943</v>
      </c>
      <c r="CQ92" s="19"/>
      <c r="CR92" s="19"/>
      <c r="CS92" s="19" t="s">
        <v>538</v>
      </c>
      <c r="CT92" s="19" t="s">
        <v>539</v>
      </c>
      <c r="CU92" s="19" t="s">
        <v>944</v>
      </c>
      <c r="CV92" s="19" t="s">
        <v>945</v>
      </c>
      <c r="CW92" s="19"/>
      <c r="CX92" s="19"/>
      <c r="CY92" s="19"/>
      <c r="CZ92" s="19"/>
      <c r="DA92" s="19"/>
      <c r="DB92" s="19"/>
      <c r="DC92" s="19"/>
      <c r="DD92" s="19"/>
      <c r="DE92" s="19"/>
      <c r="DF92" s="19"/>
    </row>
    <row r="93" spans="1:110" s="7" customFormat="1" x14ac:dyDescent="0.25">
      <c r="A93" s="19" t="s">
        <v>228</v>
      </c>
      <c r="B93" s="19" t="s">
        <v>80</v>
      </c>
      <c r="C93" s="19" t="str">
        <f t="shared" si="33"/>
        <v>95158943India</v>
      </c>
      <c r="D93" s="19">
        <v>95158943</v>
      </c>
      <c r="E93" s="19" t="s">
        <v>480</v>
      </c>
      <c r="F93" s="19" t="s">
        <v>261</v>
      </c>
      <c r="G93" s="20" t="s">
        <v>480</v>
      </c>
      <c r="H93" s="19"/>
      <c r="I93" s="19" t="s">
        <v>230</v>
      </c>
      <c r="J93" s="19" t="s">
        <v>334</v>
      </c>
      <c r="K93" s="19" t="s">
        <v>434</v>
      </c>
      <c r="L93" s="19" t="s">
        <v>252</v>
      </c>
      <c r="M93" s="19" t="s">
        <v>268</v>
      </c>
      <c r="N93" s="19" t="s">
        <v>247</v>
      </c>
      <c r="O93" s="19" t="s">
        <v>275</v>
      </c>
      <c r="P93" s="23" t="s">
        <v>237</v>
      </c>
      <c r="Q93" s="19" t="s">
        <v>435</v>
      </c>
      <c r="R93" s="19">
        <v>5500</v>
      </c>
      <c r="S93" s="19" t="s">
        <v>272</v>
      </c>
      <c r="T93" s="19" t="s">
        <v>263</v>
      </c>
      <c r="U93" s="20" t="s">
        <v>263</v>
      </c>
      <c r="V93" s="19" t="s">
        <v>1610</v>
      </c>
      <c r="W93" s="19" t="s">
        <v>219</v>
      </c>
      <c r="X93" s="35"/>
      <c r="Y93" s="35"/>
      <c r="Z93" s="32"/>
      <c r="AA93" s="22">
        <v>12</v>
      </c>
      <c r="AB93" s="22">
        <v>5</v>
      </c>
      <c r="AC93" s="22"/>
      <c r="AD93" s="22"/>
      <c r="AE93" s="61">
        <f t="shared" si="42"/>
        <v>17</v>
      </c>
      <c r="AF93" s="22"/>
      <c r="AG93" s="40">
        <f t="shared" si="43"/>
        <v>17</v>
      </c>
      <c r="AH93" s="24"/>
      <c r="AI93" s="24"/>
      <c r="AJ93" s="24"/>
      <c r="AK93" s="24"/>
      <c r="AL93" s="23">
        <f t="shared" si="44"/>
        <v>17</v>
      </c>
      <c r="AM93" s="25">
        <v>12</v>
      </c>
      <c r="AN93" s="25">
        <v>5</v>
      </c>
      <c r="AO93" s="25"/>
      <c r="AP93" s="25"/>
      <c r="AQ93" s="25">
        <f t="shared" si="38"/>
        <v>17</v>
      </c>
      <c r="AR93" s="13"/>
      <c r="AS93" s="21"/>
      <c r="AT93" s="21">
        <v>4</v>
      </c>
      <c r="AU93" s="21">
        <v>4</v>
      </c>
      <c r="AV93" s="77"/>
      <c r="AW93" s="21">
        <v>4</v>
      </c>
      <c r="AX93" s="21"/>
      <c r="AY93" s="21"/>
      <c r="AZ93" s="21"/>
      <c r="BA93" s="21">
        <v>2</v>
      </c>
      <c r="BB93" s="21">
        <v>3</v>
      </c>
      <c r="BC93" s="77"/>
      <c r="BD93" s="21"/>
      <c r="BE93" s="21"/>
      <c r="BF93" s="21"/>
      <c r="BG93" s="21"/>
      <c r="BH93" s="21"/>
      <c r="BI93" s="21"/>
      <c r="BJ93" s="77"/>
      <c r="BK93" s="21"/>
      <c r="BL93" s="21"/>
      <c r="BM93" s="21"/>
      <c r="BN93" s="21"/>
      <c r="BO93" s="21"/>
      <c r="BP93" s="21"/>
      <c r="BQ93" s="77"/>
      <c r="BR93" s="21"/>
      <c r="BS93" s="21"/>
      <c r="BT93" s="21"/>
      <c r="BU93" s="21"/>
      <c r="BV93" s="21"/>
      <c r="BW93" s="79">
        <f t="shared" si="31"/>
        <v>17</v>
      </c>
      <c r="BX93" s="58">
        <f t="shared" si="32"/>
        <v>0</v>
      </c>
      <c r="BY93" s="26"/>
      <c r="BZ93" s="27"/>
      <c r="CA93" s="51" t="s">
        <v>480</v>
      </c>
      <c r="CB93" s="50" t="b">
        <f t="shared" si="34"/>
        <v>1</v>
      </c>
      <c r="CC93" s="71" t="s">
        <v>480</v>
      </c>
      <c r="CD93" s="7" t="s">
        <v>213</v>
      </c>
      <c r="CE93" s="7" t="s">
        <v>921</v>
      </c>
      <c r="CF93" s="7" t="s">
        <v>922</v>
      </c>
      <c r="CG93" s="7" t="s">
        <v>923</v>
      </c>
      <c r="CH93" s="7" t="s">
        <v>924</v>
      </c>
      <c r="CI93" s="7" t="s">
        <v>925</v>
      </c>
      <c r="CJ93" s="7" t="s">
        <v>926</v>
      </c>
      <c r="CK93" s="7" t="s">
        <v>946</v>
      </c>
      <c r="CL93" s="7" t="s">
        <v>947</v>
      </c>
      <c r="CM93" s="7" t="s">
        <v>948</v>
      </c>
      <c r="CN93" s="7" t="s">
        <v>949</v>
      </c>
      <c r="CO93" s="7" t="s">
        <v>950</v>
      </c>
      <c r="CP93" s="7" t="s">
        <v>206</v>
      </c>
      <c r="CS93" s="7" t="s">
        <v>538</v>
      </c>
      <c r="CT93" s="7" t="s">
        <v>539</v>
      </c>
      <c r="CU93" s="7" t="s">
        <v>933</v>
      </c>
      <c r="CV93" s="7" t="s">
        <v>934</v>
      </c>
    </row>
    <row r="94" spans="1:110" s="7" customFormat="1" x14ac:dyDescent="0.25">
      <c r="A94" s="19" t="s">
        <v>81</v>
      </c>
      <c r="B94" s="19" t="s">
        <v>83</v>
      </c>
      <c r="C94" s="19" t="str">
        <f t="shared" si="33"/>
        <v>80752513NEPAL</v>
      </c>
      <c r="D94" s="19">
        <v>80752513</v>
      </c>
      <c r="E94" s="19" t="s">
        <v>1594</v>
      </c>
      <c r="F94" s="19" t="s">
        <v>261</v>
      </c>
      <c r="G94" s="20" t="s">
        <v>1594</v>
      </c>
      <c r="H94" s="19"/>
      <c r="I94" s="19" t="s">
        <v>230</v>
      </c>
      <c r="J94" s="19" t="s">
        <v>243</v>
      </c>
      <c r="K94" s="19" t="s">
        <v>274</v>
      </c>
      <c r="L94" s="19" t="s">
        <v>282</v>
      </c>
      <c r="M94" s="19" t="s">
        <v>268</v>
      </c>
      <c r="N94" s="19" t="s">
        <v>247</v>
      </c>
      <c r="O94" s="19" t="s">
        <v>275</v>
      </c>
      <c r="P94" s="23" t="s">
        <v>237</v>
      </c>
      <c r="Q94" s="19" t="s">
        <v>276</v>
      </c>
      <c r="R94" s="19">
        <v>5600</v>
      </c>
      <c r="S94" s="19" t="s">
        <v>272</v>
      </c>
      <c r="T94" s="19" t="s">
        <v>263</v>
      </c>
      <c r="U94" s="20" t="s">
        <v>263</v>
      </c>
      <c r="V94" s="19" t="s">
        <v>1549</v>
      </c>
      <c r="W94" s="19" t="s">
        <v>219</v>
      </c>
      <c r="X94" s="35"/>
      <c r="Y94" s="35">
        <v>2</v>
      </c>
      <c r="Z94" s="32"/>
      <c r="AA94" s="22"/>
      <c r="AB94" s="22"/>
      <c r="AC94" s="22"/>
      <c r="AD94" s="22"/>
      <c r="AE94" s="61">
        <f t="shared" si="42"/>
        <v>0</v>
      </c>
      <c r="AF94" s="22"/>
      <c r="AG94" s="40">
        <f t="shared" si="43"/>
        <v>0</v>
      </c>
      <c r="AH94" s="24"/>
      <c r="AI94" s="24"/>
      <c r="AJ94" s="24"/>
      <c r="AK94" s="24"/>
      <c r="AL94" s="23">
        <f t="shared" si="44"/>
        <v>0</v>
      </c>
      <c r="AM94" s="25"/>
      <c r="AN94" s="25"/>
      <c r="AO94" s="25"/>
      <c r="AP94" s="25"/>
      <c r="AQ94" s="80">
        <f t="shared" si="38"/>
        <v>0</v>
      </c>
      <c r="AR94" s="13"/>
      <c r="AS94" s="21"/>
      <c r="AT94" s="21"/>
      <c r="AU94" s="21"/>
      <c r="AV94" s="77"/>
      <c r="AW94" s="21"/>
      <c r="AX94" s="21"/>
      <c r="AY94" s="21"/>
      <c r="AZ94" s="21"/>
      <c r="BA94" s="21"/>
      <c r="BB94" s="21"/>
      <c r="BC94" s="77"/>
      <c r="BD94" s="21"/>
      <c r="BE94" s="21"/>
      <c r="BF94" s="21"/>
      <c r="BG94" s="21"/>
      <c r="BH94" s="21"/>
      <c r="BI94" s="21"/>
      <c r="BJ94" s="77"/>
      <c r="BK94" s="21"/>
      <c r="BL94" s="21"/>
      <c r="BM94" s="21"/>
      <c r="BN94" s="21"/>
      <c r="BO94" s="21"/>
      <c r="BP94" s="21"/>
      <c r="BQ94" s="77"/>
      <c r="BR94" s="21"/>
      <c r="BS94" s="21"/>
      <c r="BT94" s="21"/>
      <c r="BU94" s="21"/>
      <c r="BV94" s="21"/>
      <c r="BW94" s="79">
        <f t="shared" si="31"/>
        <v>0</v>
      </c>
      <c r="BX94" s="58">
        <f t="shared" si="32"/>
        <v>0</v>
      </c>
      <c r="BY94" s="26"/>
      <c r="BZ94" s="27"/>
      <c r="CA94" s="51" t="s">
        <v>1594</v>
      </c>
      <c r="CB94" s="50" t="b">
        <f t="shared" si="34"/>
        <v>1</v>
      </c>
      <c r="CC94" s="52" t="s">
        <v>1594</v>
      </c>
      <c r="CD94" s="19" t="s">
        <v>1647</v>
      </c>
      <c r="CE94" s="19" t="s">
        <v>886</v>
      </c>
      <c r="CF94" s="19" t="s">
        <v>887</v>
      </c>
      <c r="CG94" s="19" t="s">
        <v>908</v>
      </c>
      <c r="CH94" s="19" t="s">
        <v>909</v>
      </c>
      <c r="CI94" s="19" t="s">
        <v>898</v>
      </c>
      <c r="CJ94" s="19" t="s">
        <v>899</v>
      </c>
      <c r="CK94" s="19" t="s">
        <v>1648</v>
      </c>
      <c r="CL94" s="19" t="s">
        <v>1649</v>
      </c>
      <c r="CM94" s="19" t="s">
        <v>1650</v>
      </c>
      <c r="CN94" s="19" t="s">
        <v>1651</v>
      </c>
      <c r="CO94" s="19" t="s">
        <v>1652</v>
      </c>
      <c r="CP94" s="19" t="s">
        <v>1653</v>
      </c>
      <c r="CQ94" s="19"/>
      <c r="CR94" s="19"/>
      <c r="CS94" s="19" t="s">
        <v>904</v>
      </c>
      <c r="CT94" s="19" t="s">
        <v>905</v>
      </c>
      <c r="CU94" s="19" t="s">
        <v>910</v>
      </c>
      <c r="CV94" s="19" t="s">
        <v>911</v>
      </c>
      <c r="CW94" s="19"/>
      <c r="CX94" s="19"/>
      <c r="CY94" s="19"/>
      <c r="CZ94" s="19"/>
      <c r="DA94" s="19"/>
      <c r="DB94" s="19"/>
      <c r="DC94" s="19"/>
      <c r="DD94" s="19"/>
      <c r="DE94" s="19"/>
      <c r="DF94" s="19"/>
    </row>
    <row r="95" spans="1:110" s="7" customFormat="1" x14ac:dyDescent="0.25">
      <c r="A95" s="19" t="s">
        <v>81</v>
      </c>
      <c r="B95" s="19" t="s">
        <v>83</v>
      </c>
      <c r="C95" s="19" t="str">
        <f t="shared" si="33"/>
        <v>80752514NEPAL</v>
      </c>
      <c r="D95" s="19">
        <v>80752514</v>
      </c>
      <c r="E95" s="19" t="s">
        <v>1595</v>
      </c>
      <c r="F95" s="19" t="s">
        <v>261</v>
      </c>
      <c r="G95" s="20" t="s">
        <v>1595</v>
      </c>
      <c r="H95" s="19"/>
      <c r="I95" s="19" t="s">
        <v>230</v>
      </c>
      <c r="J95" s="19" t="s">
        <v>243</v>
      </c>
      <c r="K95" s="19" t="s">
        <v>274</v>
      </c>
      <c r="L95" s="19" t="s">
        <v>233</v>
      </c>
      <c r="M95" s="19" t="s">
        <v>268</v>
      </c>
      <c r="N95" s="19" t="s">
        <v>247</v>
      </c>
      <c r="O95" s="19" t="s">
        <v>275</v>
      </c>
      <c r="P95" s="23" t="s">
        <v>237</v>
      </c>
      <c r="Q95" s="19" t="s">
        <v>276</v>
      </c>
      <c r="R95" s="19">
        <v>5600</v>
      </c>
      <c r="S95" s="19" t="s">
        <v>272</v>
      </c>
      <c r="T95" s="19" t="s">
        <v>263</v>
      </c>
      <c r="U95" s="20" t="s">
        <v>263</v>
      </c>
      <c r="V95" s="19" t="s">
        <v>1550</v>
      </c>
      <c r="W95" s="19" t="s">
        <v>219</v>
      </c>
      <c r="X95" s="35">
        <v>5</v>
      </c>
      <c r="Y95" s="35"/>
      <c r="Z95" s="32"/>
      <c r="AA95" s="22"/>
      <c r="AB95" s="22"/>
      <c r="AC95" s="22"/>
      <c r="AD95" s="22"/>
      <c r="AE95" s="61">
        <f t="shared" si="42"/>
        <v>0</v>
      </c>
      <c r="AF95" s="22"/>
      <c r="AG95" s="40">
        <f t="shared" si="43"/>
        <v>0</v>
      </c>
      <c r="AH95" s="24"/>
      <c r="AI95" s="24"/>
      <c r="AJ95" s="24"/>
      <c r="AK95" s="24"/>
      <c r="AL95" s="23">
        <f t="shared" si="44"/>
        <v>0</v>
      </c>
      <c r="AM95" s="25"/>
      <c r="AN95" s="25"/>
      <c r="AO95" s="25"/>
      <c r="AP95" s="25"/>
      <c r="AQ95" s="80">
        <f t="shared" si="38"/>
        <v>0</v>
      </c>
      <c r="AR95" s="13"/>
      <c r="AS95" s="21"/>
      <c r="AT95" s="21"/>
      <c r="AU95" s="21"/>
      <c r="AV95" s="77"/>
      <c r="AW95" s="21"/>
      <c r="AX95" s="21"/>
      <c r="AY95" s="21"/>
      <c r="AZ95" s="21"/>
      <c r="BA95" s="21"/>
      <c r="BB95" s="21"/>
      <c r="BC95" s="77"/>
      <c r="BD95" s="21"/>
      <c r="BE95" s="21"/>
      <c r="BF95" s="21"/>
      <c r="BG95" s="21"/>
      <c r="BH95" s="21"/>
      <c r="BI95" s="21"/>
      <c r="BJ95" s="77"/>
      <c r="BK95" s="21"/>
      <c r="BL95" s="21"/>
      <c r="BM95" s="21"/>
      <c r="BN95" s="21"/>
      <c r="BO95" s="21"/>
      <c r="BP95" s="21"/>
      <c r="BQ95" s="77"/>
      <c r="BR95" s="21"/>
      <c r="BS95" s="21"/>
      <c r="BT95" s="21"/>
      <c r="BU95" s="21"/>
      <c r="BV95" s="21"/>
      <c r="BW95" s="79">
        <f t="shared" si="31"/>
        <v>0</v>
      </c>
      <c r="BX95" s="58">
        <f t="shared" si="32"/>
        <v>0</v>
      </c>
      <c r="BY95" s="26"/>
      <c r="BZ95" s="27"/>
      <c r="CA95" s="51" t="s">
        <v>1595</v>
      </c>
      <c r="CB95" s="50" t="b">
        <f t="shared" si="34"/>
        <v>1</v>
      </c>
      <c r="CC95" s="52" t="s">
        <v>1595</v>
      </c>
      <c r="CD95" s="19" t="s">
        <v>1654</v>
      </c>
      <c r="CE95" s="19" t="s">
        <v>886</v>
      </c>
      <c r="CF95" s="19" t="s">
        <v>887</v>
      </c>
      <c r="CG95" s="19" t="s">
        <v>908</v>
      </c>
      <c r="CH95" s="19" t="s">
        <v>909</v>
      </c>
      <c r="CI95" s="19" t="s">
        <v>898</v>
      </c>
      <c r="CJ95" s="19" t="s">
        <v>899</v>
      </c>
      <c r="CK95" s="19" t="s">
        <v>1648</v>
      </c>
      <c r="CL95" s="19" t="s">
        <v>1649</v>
      </c>
      <c r="CM95" s="19" t="s">
        <v>1655</v>
      </c>
      <c r="CN95" s="19" t="s">
        <v>1550</v>
      </c>
      <c r="CO95" s="19" t="s">
        <v>1652</v>
      </c>
      <c r="CP95" s="19" t="s">
        <v>1653</v>
      </c>
      <c r="CQ95" s="19"/>
      <c r="CR95" s="19"/>
      <c r="CS95" s="19" t="s">
        <v>904</v>
      </c>
      <c r="CT95" s="19" t="s">
        <v>905</v>
      </c>
      <c r="CU95" s="19" t="s">
        <v>910</v>
      </c>
      <c r="CV95" s="19" t="s">
        <v>911</v>
      </c>
      <c r="CW95" s="19"/>
      <c r="CX95" s="19"/>
      <c r="CY95" s="19"/>
      <c r="CZ95" s="19"/>
      <c r="DA95" s="19"/>
      <c r="DB95" s="19"/>
      <c r="DC95" s="19"/>
      <c r="DD95" s="19"/>
      <c r="DE95" s="19"/>
      <c r="DF95" s="19"/>
    </row>
    <row r="96" spans="1:110" s="7" customFormat="1" x14ac:dyDescent="0.25">
      <c r="A96" s="19" t="s">
        <v>228</v>
      </c>
      <c r="B96" s="19" t="s">
        <v>80</v>
      </c>
      <c r="C96" s="19" t="str">
        <f t="shared" si="33"/>
        <v>95155523India</v>
      </c>
      <c r="D96" s="19">
        <v>95155523</v>
      </c>
      <c r="E96" s="19" t="s">
        <v>423</v>
      </c>
      <c r="F96" s="19" t="s">
        <v>261</v>
      </c>
      <c r="G96" s="20" t="s">
        <v>423</v>
      </c>
      <c r="H96" s="19"/>
      <c r="I96" s="19" t="s">
        <v>230</v>
      </c>
      <c r="J96" s="19" t="s">
        <v>243</v>
      </c>
      <c r="K96" s="19" t="s">
        <v>274</v>
      </c>
      <c r="L96" s="19" t="s">
        <v>233</v>
      </c>
      <c r="M96" s="19" t="s">
        <v>268</v>
      </c>
      <c r="N96" s="19" t="s">
        <v>247</v>
      </c>
      <c r="O96" s="19" t="s">
        <v>275</v>
      </c>
      <c r="P96" s="23" t="s">
        <v>237</v>
      </c>
      <c r="Q96" s="19" t="s">
        <v>276</v>
      </c>
      <c r="R96" s="19">
        <v>5600</v>
      </c>
      <c r="S96" s="19" t="s">
        <v>422</v>
      </c>
      <c r="T96" s="19" t="s">
        <v>263</v>
      </c>
      <c r="U96" s="20" t="s">
        <v>263</v>
      </c>
      <c r="V96" s="19" t="s">
        <v>157</v>
      </c>
      <c r="W96" s="19" t="s">
        <v>221</v>
      </c>
      <c r="X96" s="35">
        <v>131</v>
      </c>
      <c r="Y96" s="35">
        <v>99</v>
      </c>
      <c r="Z96" s="32"/>
      <c r="AA96" s="22">
        <v>20</v>
      </c>
      <c r="AB96" s="22">
        <v>25</v>
      </c>
      <c r="AC96" s="22">
        <v>31</v>
      </c>
      <c r="AD96" s="22">
        <v>61</v>
      </c>
      <c r="AE96" s="61">
        <f t="shared" si="42"/>
        <v>137</v>
      </c>
      <c r="AF96" s="22">
        <v>120</v>
      </c>
      <c r="AG96" s="40">
        <f t="shared" si="43"/>
        <v>257</v>
      </c>
      <c r="AH96" s="24">
        <v>24</v>
      </c>
      <c r="AI96" s="24"/>
      <c r="AJ96" s="24">
        <v>35</v>
      </c>
      <c r="AK96" s="24"/>
      <c r="AL96" s="23">
        <f t="shared" si="44"/>
        <v>198</v>
      </c>
      <c r="AM96" s="25">
        <v>20</v>
      </c>
      <c r="AN96" s="25">
        <v>25</v>
      </c>
      <c r="AO96" s="25">
        <v>50</v>
      </c>
      <c r="AP96" s="25">
        <v>50</v>
      </c>
      <c r="AQ96" s="80">
        <f t="shared" si="38"/>
        <v>145</v>
      </c>
      <c r="AR96" s="13">
        <v>24</v>
      </c>
      <c r="AS96" s="83">
        <v>24</v>
      </c>
      <c r="AT96" s="21">
        <v>4</v>
      </c>
      <c r="AU96" s="21">
        <v>4</v>
      </c>
      <c r="AV96" s="77"/>
      <c r="AW96" s="21">
        <v>4</v>
      </c>
      <c r="AX96" s="21">
        <v>4</v>
      </c>
      <c r="AY96" s="21">
        <v>4</v>
      </c>
      <c r="AZ96" s="21"/>
      <c r="BA96" s="21">
        <v>4</v>
      </c>
      <c r="BB96" s="21">
        <v>4</v>
      </c>
      <c r="BC96" s="77"/>
      <c r="BD96" s="21">
        <v>4</v>
      </c>
      <c r="BE96" s="21">
        <v>4</v>
      </c>
      <c r="BF96" s="21">
        <v>4</v>
      </c>
      <c r="BG96" s="21">
        <v>5</v>
      </c>
      <c r="BH96" s="21"/>
      <c r="BI96" s="21">
        <v>12</v>
      </c>
      <c r="BJ96" s="77"/>
      <c r="BK96" s="21">
        <v>12</v>
      </c>
      <c r="BL96" s="21">
        <v>12</v>
      </c>
      <c r="BM96" s="21">
        <v>14</v>
      </c>
      <c r="BN96" s="21"/>
      <c r="BO96" s="21">
        <v>18</v>
      </c>
      <c r="BP96" s="81"/>
      <c r="BQ96" s="82"/>
      <c r="BR96" s="81"/>
      <c r="BS96" s="81"/>
      <c r="BT96" s="81"/>
      <c r="BU96" s="81"/>
      <c r="BV96" s="81"/>
      <c r="BW96" s="79">
        <f t="shared" si="31"/>
        <v>137</v>
      </c>
      <c r="BX96" s="58">
        <f t="shared" si="32"/>
        <v>8</v>
      </c>
      <c r="BY96" s="26"/>
      <c r="BZ96" s="27"/>
      <c r="CA96" s="51" t="s">
        <v>423</v>
      </c>
      <c r="CB96" s="50" t="b">
        <f t="shared" si="34"/>
        <v>1</v>
      </c>
      <c r="CC96" s="52" t="s">
        <v>423</v>
      </c>
      <c r="CD96" s="19" t="s">
        <v>961</v>
      </c>
      <c r="CE96" s="19" t="s">
        <v>869</v>
      </c>
      <c r="CF96" s="19" t="s">
        <v>870</v>
      </c>
      <c r="CG96" s="19" t="s">
        <v>908</v>
      </c>
      <c r="CH96" s="19" t="s">
        <v>909</v>
      </c>
      <c r="CI96" s="19" t="s">
        <v>898</v>
      </c>
      <c r="CJ96" s="19" t="s">
        <v>899</v>
      </c>
      <c r="CK96" s="19" t="s">
        <v>875</v>
      </c>
      <c r="CL96" s="19" t="s">
        <v>876</v>
      </c>
      <c r="CM96" s="19" t="s">
        <v>952</v>
      </c>
      <c r="CN96" s="19" t="s">
        <v>953</v>
      </c>
      <c r="CO96" s="19" t="s">
        <v>962</v>
      </c>
      <c r="CP96" s="19" t="s">
        <v>963</v>
      </c>
      <c r="CQ96" s="19"/>
      <c r="CR96" s="19"/>
      <c r="CS96" s="19" t="s">
        <v>904</v>
      </c>
      <c r="CT96" s="19" t="s">
        <v>905</v>
      </c>
      <c r="CU96" s="19" t="s">
        <v>910</v>
      </c>
      <c r="CV96" s="19" t="s">
        <v>911</v>
      </c>
      <c r="CW96" s="19"/>
      <c r="CX96" s="19"/>
      <c r="CY96" s="19"/>
      <c r="CZ96" s="19"/>
      <c r="DA96" s="19"/>
      <c r="DB96" s="19"/>
      <c r="DC96" s="19"/>
      <c r="DD96" s="19"/>
      <c r="DE96" s="19"/>
      <c r="DF96" s="19"/>
    </row>
    <row r="97" spans="1:110" s="7" customFormat="1" x14ac:dyDescent="0.25">
      <c r="A97" s="19" t="s">
        <v>228</v>
      </c>
      <c r="B97" s="19" t="s">
        <v>80</v>
      </c>
      <c r="C97" s="19" t="str">
        <f t="shared" si="33"/>
        <v>95158906India</v>
      </c>
      <c r="D97" s="19">
        <v>95158906</v>
      </c>
      <c r="E97" s="19" t="s">
        <v>273</v>
      </c>
      <c r="F97" s="19" t="s">
        <v>261</v>
      </c>
      <c r="G97" s="20" t="s">
        <v>273</v>
      </c>
      <c r="H97" s="19"/>
      <c r="I97" s="19" t="s">
        <v>230</v>
      </c>
      <c r="J97" s="19" t="s">
        <v>243</v>
      </c>
      <c r="K97" s="19" t="s">
        <v>274</v>
      </c>
      <c r="L97" s="19" t="s">
        <v>233</v>
      </c>
      <c r="M97" s="19" t="s">
        <v>268</v>
      </c>
      <c r="N97" s="19" t="s">
        <v>247</v>
      </c>
      <c r="O97" s="19" t="s">
        <v>275</v>
      </c>
      <c r="P97" s="23" t="s">
        <v>237</v>
      </c>
      <c r="Q97" s="19" t="s">
        <v>276</v>
      </c>
      <c r="R97" s="19">
        <v>5600</v>
      </c>
      <c r="S97" s="19" t="s">
        <v>272</v>
      </c>
      <c r="T97" s="19" t="s">
        <v>263</v>
      </c>
      <c r="U97" s="20" t="s">
        <v>263</v>
      </c>
      <c r="V97" s="19" t="s">
        <v>159</v>
      </c>
      <c r="W97" s="19" t="s">
        <v>221</v>
      </c>
      <c r="X97" s="35">
        <v>159</v>
      </c>
      <c r="Y97" s="35">
        <v>104</v>
      </c>
      <c r="Z97" s="32"/>
      <c r="AA97" s="22">
        <v>25</v>
      </c>
      <c r="AB97" s="22">
        <v>30</v>
      </c>
      <c r="AC97" s="22">
        <v>44</v>
      </c>
      <c r="AD97" s="22">
        <v>65</v>
      </c>
      <c r="AE97" s="61">
        <f t="shared" si="42"/>
        <v>164</v>
      </c>
      <c r="AF97" s="22">
        <v>105</v>
      </c>
      <c r="AG97" s="40">
        <f t="shared" si="43"/>
        <v>269</v>
      </c>
      <c r="AH97" s="24"/>
      <c r="AI97" s="24"/>
      <c r="AJ97" s="24"/>
      <c r="AK97" s="24"/>
      <c r="AL97" s="23">
        <f t="shared" si="44"/>
        <v>269</v>
      </c>
      <c r="AM97" s="25">
        <v>25</v>
      </c>
      <c r="AN97" s="25">
        <v>40</v>
      </c>
      <c r="AO97" s="25">
        <v>50</v>
      </c>
      <c r="AP97" s="25">
        <v>80</v>
      </c>
      <c r="AQ97" s="80">
        <f t="shared" si="38"/>
        <v>195</v>
      </c>
      <c r="AR97" s="13"/>
      <c r="AS97" s="21"/>
      <c r="AT97" s="21">
        <v>5</v>
      </c>
      <c r="AU97" s="21">
        <v>5</v>
      </c>
      <c r="AV97" s="77"/>
      <c r="AW97" s="21">
        <v>5</v>
      </c>
      <c r="AX97" s="21">
        <v>5</v>
      </c>
      <c r="AY97" s="21">
        <v>5</v>
      </c>
      <c r="AZ97" s="21"/>
      <c r="BA97" s="21">
        <v>8</v>
      </c>
      <c r="BB97" s="21">
        <v>8</v>
      </c>
      <c r="BC97" s="77"/>
      <c r="BD97" s="21">
        <v>8</v>
      </c>
      <c r="BE97" s="21">
        <v>8</v>
      </c>
      <c r="BF97" s="21">
        <v>8</v>
      </c>
      <c r="BG97" s="21"/>
      <c r="BH97" s="21"/>
      <c r="BI97" s="21">
        <v>12</v>
      </c>
      <c r="BJ97" s="77"/>
      <c r="BK97" s="21">
        <v>13</v>
      </c>
      <c r="BL97" s="21">
        <v>12</v>
      </c>
      <c r="BM97" s="21">
        <v>13</v>
      </c>
      <c r="BN97" s="21">
        <v>24</v>
      </c>
      <c r="BO97" s="21">
        <v>25</v>
      </c>
      <c r="BP97" s="81"/>
      <c r="BQ97" s="82"/>
      <c r="BR97" s="81"/>
      <c r="BS97" s="81"/>
      <c r="BT97" s="81"/>
      <c r="BU97" s="81"/>
      <c r="BV97" s="81"/>
      <c r="BW97" s="79">
        <f t="shared" si="31"/>
        <v>164</v>
      </c>
      <c r="BX97" s="58">
        <f t="shared" si="32"/>
        <v>31</v>
      </c>
      <c r="BY97" s="26"/>
      <c r="BZ97" s="27"/>
      <c r="CA97" s="51" t="s">
        <v>273</v>
      </c>
      <c r="CB97" s="50" t="b">
        <f t="shared" si="34"/>
        <v>1</v>
      </c>
      <c r="CC97" s="53" t="s">
        <v>273</v>
      </c>
      <c r="CD97" s="19" t="s">
        <v>951</v>
      </c>
      <c r="CE97" s="19" t="s">
        <v>886</v>
      </c>
      <c r="CF97" s="19" t="s">
        <v>887</v>
      </c>
      <c r="CG97" s="19" t="s">
        <v>908</v>
      </c>
      <c r="CH97" s="19" t="s">
        <v>909</v>
      </c>
      <c r="CI97" s="19" t="s">
        <v>898</v>
      </c>
      <c r="CJ97" s="19" t="s">
        <v>899</v>
      </c>
      <c r="CK97" s="19" t="s">
        <v>875</v>
      </c>
      <c r="CL97" s="19" t="s">
        <v>876</v>
      </c>
      <c r="CM97" s="19" t="s">
        <v>952</v>
      </c>
      <c r="CN97" s="19" t="s">
        <v>953</v>
      </c>
      <c r="CO97" s="19" t="s">
        <v>954</v>
      </c>
      <c r="CP97" s="19" t="s">
        <v>955</v>
      </c>
      <c r="CQ97" s="19"/>
      <c r="CR97" s="19"/>
      <c r="CS97" s="19" t="s">
        <v>904</v>
      </c>
      <c r="CT97" s="19" t="s">
        <v>905</v>
      </c>
      <c r="CU97" s="19" t="s">
        <v>910</v>
      </c>
      <c r="CV97" s="19" t="s">
        <v>911</v>
      </c>
      <c r="CW97" s="19"/>
      <c r="CX97" s="19"/>
      <c r="CY97" s="19"/>
      <c r="CZ97" s="19"/>
      <c r="DA97" s="19"/>
      <c r="DB97" s="19"/>
      <c r="DC97" s="19"/>
      <c r="DD97" s="19"/>
      <c r="DE97" s="19"/>
      <c r="DF97" s="19"/>
    </row>
    <row r="98" spans="1:110" s="7" customFormat="1" x14ac:dyDescent="0.25">
      <c r="A98" s="19" t="s">
        <v>228</v>
      </c>
      <c r="B98" s="19" t="s">
        <v>80</v>
      </c>
      <c r="C98" s="19" t="str">
        <f t="shared" si="33"/>
        <v>95158903India</v>
      </c>
      <c r="D98" s="19">
        <v>95158903</v>
      </c>
      <c r="E98" s="19" t="s">
        <v>431</v>
      </c>
      <c r="F98" s="19" t="s">
        <v>261</v>
      </c>
      <c r="G98" s="20" t="s">
        <v>431</v>
      </c>
      <c r="H98" s="19"/>
      <c r="I98" s="19" t="s">
        <v>230</v>
      </c>
      <c r="J98" s="19" t="s">
        <v>243</v>
      </c>
      <c r="K98" s="19" t="s">
        <v>274</v>
      </c>
      <c r="L98" s="19" t="s">
        <v>233</v>
      </c>
      <c r="M98" s="19" t="s">
        <v>268</v>
      </c>
      <c r="N98" s="19" t="s">
        <v>247</v>
      </c>
      <c r="O98" s="19" t="s">
        <v>275</v>
      </c>
      <c r="P98" s="23" t="s">
        <v>237</v>
      </c>
      <c r="Q98" s="19" t="s">
        <v>276</v>
      </c>
      <c r="R98" s="19">
        <v>5600</v>
      </c>
      <c r="S98" s="19" t="s">
        <v>272</v>
      </c>
      <c r="T98" s="19" t="s">
        <v>263</v>
      </c>
      <c r="U98" s="20" t="s">
        <v>263</v>
      </c>
      <c r="V98" s="19" t="s">
        <v>165</v>
      </c>
      <c r="W98" s="19" t="s">
        <v>221</v>
      </c>
      <c r="X98" s="35">
        <v>20</v>
      </c>
      <c r="Y98" s="35">
        <v>20</v>
      </c>
      <c r="Z98" s="32"/>
      <c r="AA98" s="22"/>
      <c r="AB98" s="22">
        <v>6</v>
      </c>
      <c r="AC98" s="22">
        <v>9</v>
      </c>
      <c r="AD98" s="22"/>
      <c r="AE98" s="61">
        <f t="shared" si="42"/>
        <v>15</v>
      </c>
      <c r="AF98" s="22"/>
      <c r="AG98" s="40">
        <f t="shared" si="43"/>
        <v>15</v>
      </c>
      <c r="AH98" s="24">
        <v>3</v>
      </c>
      <c r="AI98" s="24"/>
      <c r="AJ98" s="24"/>
      <c r="AK98" s="24"/>
      <c r="AL98" s="23">
        <f t="shared" si="44"/>
        <v>12</v>
      </c>
      <c r="AM98" s="25"/>
      <c r="AN98" s="25">
        <v>6</v>
      </c>
      <c r="AO98" s="25">
        <v>6</v>
      </c>
      <c r="AP98" s="25"/>
      <c r="AQ98" s="80">
        <f t="shared" si="38"/>
        <v>12</v>
      </c>
      <c r="AR98" s="13">
        <v>3</v>
      </c>
      <c r="AS98" s="21"/>
      <c r="AT98" s="21"/>
      <c r="AU98" s="83">
        <v>3</v>
      </c>
      <c r="AV98" s="77"/>
      <c r="AW98" s="21"/>
      <c r="AX98" s="21"/>
      <c r="AY98" s="21"/>
      <c r="AZ98" s="21"/>
      <c r="BA98" s="21"/>
      <c r="BB98" s="21"/>
      <c r="BC98" s="77"/>
      <c r="BD98" s="21"/>
      <c r="BE98" s="21">
        <v>2</v>
      </c>
      <c r="BF98" s="21">
        <v>2</v>
      </c>
      <c r="BG98" s="21">
        <v>2</v>
      </c>
      <c r="BH98" s="21">
        <v>3</v>
      </c>
      <c r="BI98" s="21"/>
      <c r="BJ98" s="77"/>
      <c r="BK98" s="21"/>
      <c r="BL98" s="21">
        <v>1</v>
      </c>
      <c r="BM98" s="21">
        <v>2</v>
      </c>
      <c r="BN98" s="21"/>
      <c r="BO98" s="21"/>
      <c r="BP98" s="21"/>
      <c r="BQ98" s="77"/>
      <c r="BR98" s="21"/>
      <c r="BS98" s="21"/>
      <c r="BT98" s="21"/>
      <c r="BU98" s="21"/>
      <c r="BV98" s="21"/>
      <c r="BW98" s="79">
        <f t="shared" si="31"/>
        <v>15</v>
      </c>
      <c r="BX98" s="58">
        <f t="shared" si="32"/>
        <v>-3</v>
      </c>
      <c r="BY98" s="26"/>
      <c r="BZ98" s="27"/>
      <c r="CA98" s="51" t="s">
        <v>431</v>
      </c>
      <c r="CB98" s="50" t="b">
        <f t="shared" si="34"/>
        <v>1</v>
      </c>
      <c r="CC98" s="53" t="s">
        <v>431</v>
      </c>
      <c r="CD98" s="19" t="s">
        <v>964</v>
      </c>
      <c r="CE98" s="19" t="s">
        <v>886</v>
      </c>
      <c r="CF98" s="19" t="s">
        <v>887</v>
      </c>
      <c r="CG98" s="19" t="s">
        <v>908</v>
      </c>
      <c r="CH98" s="19" t="s">
        <v>909</v>
      </c>
      <c r="CI98" s="19" t="s">
        <v>898</v>
      </c>
      <c r="CJ98" s="19" t="s">
        <v>899</v>
      </c>
      <c r="CK98" s="19" t="s">
        <v>875</v>
      </c>
      <c r="CL98" s="19" t="s">
        <v>876</v>
      </c>
      <c r="CM98" s="19" t="s">
        <v>965</v>
      </c>
      <c r="CN98" s="19" t="s">
        <v>966</v>
      </c>
      <c r="CO98" s="19" t="s">
        <v>967</v>
      </c>
      <c r="CP98" s="19" t="s">
        <v>968</v>
      </c>
      <c r="CQ98" s="19"/>
      <c r="CR98" s="19"/>
      <c r="CS98" s="19" t="s">
        <v>904</v>
      </c>
      <c r="CT98" s="19" t="s">
        <v>905</v>
      </c>
      <c r="CU98" s="19" t="s">
        <v>910</v>
      </c>
      <c r="CV98" s="19" t="s">
        <v>911</v>
      </c>
      <c r="CW98" s="19"/>
      <c r="CX98" s="19"/>
      <c r="CY98" s="19"/>
      <c r="CZ98" s="19"/>
      <c r="DA98" s="19"/>
      <c r="DB98" s="19"/>
      <c r="DC98" s="19"/>
      <c r="DD98" s="19"/>
      <c r="DE98" s="19"/>
      <c r="DF98" s="19"/>
    </row>
    <row r="99" spans="1:110" s="7" customFormat="1" x14ac:dyDescent="0.25">
      <c r="A99" s="19" t="s">
        <v>228</v>
      </c>
      <c r="B99" s="19" t="s">
        <v>80</v>
      </c>
      <c r="C99" s="19" t="str">
        <f t="shared" si="33"/>
        <v>95159058India</v>
      </c>
      <c r="D99" s="19">
        <v>95159058</v>
      </c>
      <c r="E99" s="19" t="s">
        <v>438</v>
      </c>
      <c r="F99" s="19" t="s">
        <v>261</v>
      </c>
      <c r="G99" s="20" t="s">
        <v>438</v>
      </c>
      <c r="H99" s="19"/>
      <c r="I99" s="19" t="s">
        <v>230</v>
      </c>
      <c r="J99" s="19" t="s">
        <v>243</v>
      </c>
      <c r="K99" s="19" t="s">
        <v>274</v>
      </c>
      <c r="L99" s="19" t="s">
        <v>233</v>
      </c>
      <c r="M99" s="19" t="s">
        <v>268</v>
      </c>
      <c r="N99" s="19" t="s">
        <v>247</v>
      </c>
      <c r="O99" s="19" t="s">
        <v>275</v>
      </c>
      <c r="P99" s="23" t="s">
        <v>237</v>
      </c>
      <c r="Q99" s="19" t="s">
        <v>276</v>
      </c>
      <c r="R99" s="19">
        <v>5600</v>
      </c>
      <c r="S99" s="19" t="s">
        <v>272</v>
      </c>
      <c r="T99" s="19" t="s">
        <v>263</v>
      </c>
      <c r="U99" s="20" t="s">
        <v>263</v>
      </c>
      <c r="V99" s="19" t="s">
        <v>169</v>
      </c>
      <c r="W99" s="19" t="s">
        <v>219</v>
      </c>
      <c r="X99" s="35">
        <v>13</v>
      </c>
      <c r="Y99" s="35">
        <v>7</v>
      </c>
      <c r="Z99" s="32"/>
      <c r="AA99" s="22"/>
      <c r="AB99" s="22">
        <v>3</v>
      </c>
      <c r="AC99" s="22">
        <v>7</v>
      </c>
      <c r="AD99" s="22">
        <v>7</v>
      </c>
      <c r="AE99" s="61">
        <f t="shared" si="42"/>
        <v>17</v>
      </c>
      <c r="AF99" s="22"/>
      <c r="AG99" s="40">
        <f t="shared" si="43"/>
        <v>17</v>
      </c>
      <c r="AH99" s="24"/>
      <c r="AI99" s="24"/>
      <c r="AJ99" s="24"/>
      <c r="AK99" s="24">
        <v>8</v>
      </c>
      <c r="AL99" s="23">
        <f t="shared" si="44"/>
        <v>25</v>
      </c>
      <c r="AM99" s="25"/>
      <c r="AN99" s="25">
        <v>3</v>
      </c>
      <c r="AO99" s="25">
        <v>7</v>
      </c>
      <c r="AP99" s="25">
        <v>7</v>
      </c>
      <c r="AQ99" s="80">
        <f t="shared" si="38"/>
        <v>17</v>
      </c>
      <c r="AR99" s="13"/>
      <c r="AS99" s="21"/>
      <c r="AT99" s="21"/>
      <c r="AU99" s="21"/>
      <c r="AV99" s="77"/>
      <c r="AW99" s="21"/>
      <c r="AX99" s="21"/>
      <c r="AY99" s="21"/>
      <c r="AZ99" s="21"/>
      <c r="BA99" s="21"/>
      <c r="BB99" s="21"/>
      <c r="BC99" s="77"/>
      <c r="BD99" s="21"/>
      <c r="BE99" s="21"/>
      <c r="BF99" s="21"/>
      <c r="BG99" s="21">
        <v>3</v>
      </c>
      <c r="BH99" s="21">
        <v>3</v>
      </c>
      <c r="BI99" s="21"/>
      <c r="BJ99" s="77"/>
      <c r="BK99" s="21"/>
      <c r="BL99" s="21">
        <v>2</v>
      </c>
      <c r="BM99" s="21">
        <v>2</v>
      </c>
      <c r="BN99" s="21"/>
      <c r="BO99" s="21">
        <v>2</v>
      </c>
      <c r="BP99" s="21">
        <v>2</v>
      </c>
      <c r="BQ99" s="77"/>
      <c r="BR99" s="21"/>
      <c r="BS99" s="21"/>
      <c r="BT99" s="21"/>
      <c r="BU99" s="21"/>
      <c r="BV99" s="21"/>
      <c r="BW99" s="79">
        <f t="shared" si="31"/>
        <v>14</v>
      </c>
      <c r="BX99" s="58">
        <f t="shared" si="32"/>
        <v>3</v>
      </c>
      <c r="BY99" s="26"/>
      <c r="BZ99" s="27"/>
      <c r="CA99" s="51" t="s">
        <v>438</v>
      </c>
      <c r="CB99" s="50" t="b">
        <f t="shared" si="34"/>
        <v>1</v>
      </c>
      <c r="CC99" s="51" t="s">
        <v>438</v>
      </c>
      <c r="CD99" s="19" t="s">
        <v>969</v>
      </c>
      <c r="CE99" s="19" t="s">
        <v>886</v>
      </c>
      <c r="CF99" s="19" t="s">
        <v>887</v>
      </c>
      <c r="CG99" s="19" t="s">
        <v>908</v>
      </c>
      <c r="CH99" s="19" t="s">
        <v>909</v>
      </c>
      <c r="CI99" s="19" t="s">
        <v>898</v>
      </c>
      <c r="CJ99" s="19" t="s">
        <v>899</v>
      </c>
      <c r="CK99" s="19" t="s">
        <v>875</v>
      </c>
      <c r="CL99" s="19" t="s">
        <v>876</v>
      </c>
      <c r="CM99" s="19" t="s">
        <v>952</v>
      </c>
      <c r="CN99" s="19" t="s">
        <v>953</v>
      </c>
      <c r="CO99" s="19" t="s">
        <v>918</v>
      </c>
      <c r="CP99" s="19" t="s">
        <v>919</v>
      </c>
      <c r="CQ99" s="19"/>
      <c r="CR99" s="19"/>
      <c r="CS99" s="19" t="s">
        <v>904</v>
      </c>
      <c r="CT99" s="19" t="s">
        <v>905</v>
      </c>
      <c r="CU99" s="19" t="s">
        <v>910</v>
      </c>
      <c r="CV99" s="19" t="s">
        <v>911</v>
      </c>
      <c r="CW99" s="19"/>
      <c r="CX99" s="19"/>
      <c r="CY99" s="19"/>
      <c r="CZ99" s="19"/>
      <c r="DA99" s="19"/>
      <c r="DB99" s="19"/>
      <c r="DC99" s="19"/>
      <c r="DD99" s="19"/>
      <c r="DE99" s="19"/>
      <c r="DF99" s="19"/>
    </row>
    <row r="100" spans="1:110" s="7" customFormat="1" x14ac:dyDescent="0.25">
      <c r="A100" s="19" t="s">
        <v>228</v>
      </c>
      <c r="B100" s="19" t="s">
        <v>80</v>
      </c>
      <c r="C100" s="19" t="str">
        <f t="shared" si="33"/>
        <v>95158913India</v>
      </c>
      <c r="D100" s="19">
        <v>95158913</v>
      </c>
      <c r="E100" s="19" t="s">
        <v>442</v>
      </c>
      <c r="F100" s="19" t="s">
        <v>261</v>
      </c>
      <c r="G100" s="20" t="s">
        <v>442</v>
      </c>
      <c r="H100" s="19"/>
      <c r="I100" s="19" t="s">
        <v>230</v>
      </c>
      <c r="J100" s="19" t="s">
        <v>243</v>
      </c>
      <c r="K100" s="19" t="s">
        <v>274</v>
      </c>
      <c r="L100" s="19" t="s">
        <v>233</v>
      </c>
      <c r="M100" s="19" t="s">
        <v>268</v>
      </c>
      <c r="N100" s="19" t="s">
        <v>247</v>
      </c>
      <c r="O100" s="19" t="s">
        <v>275</v>
      </c>
      <c r="P100" s="23" t="s">
        <v>237</v>
      </c>
      <c r="Q100" s="19" t="s">
        <v>276</v>
      </c>
      <c r="R100" s="19">
        <v>5600</v>
      </c>
      <c r="S100" s="19" t="s">
        <v>272</v>
      </c>
      <c r="T100" s="19" t="s">
        <v>263</v>
      </c>
      <c r="U100" s="20" t="s">
        <v>263</v>
      </c>
      <c r="V100" s="19" t="s">
        <v>171</v>
      </c>
      <c r="W100" s="19" t="s">
        <v>219</v>
      </c>
      <c r="X100" s="35">
        <v>10</v>
      </c>
      <c r="Y100" s="35">
        <v>5</v>
      </c>
      <c r="Z100" s="32"/>
      <c r="AA100" s="22"/>
      <c r="AB100" s="22"/>
      <c r="AC100" s="22">
        <v>6</v>
      </c>
      <c r="AD100" s="22">
        <v>6</v>
      </c>
      <c r="AE100" s="61">
        <f t="shared" si="42"/>
        <v>12</v>
      </c>
      <c r="AF100" s="22"/>
      <c r="AG100" s="40">
        <f t="shared" si="43"/>
        <v>12</v>
      </c>
      <c r="AH100" s="24"/>
      <c r="AI100" s="24"/>
      <c r="AJ100" s="24"/>
      <c r="AK100" s="24">
        <v>5</v>
      </c>
      <c r="AL100" s="23">
        <f t="shared" si="44"/>
        <v>17</v>
      </c>
      <c r="AM100" s="25"/>
      <c r="AN100" s="25"/>
      <c r="AO100" s="25">
        <v>6</v>
      </c>
      <c r="AP100" s="25">
        <v>6</v>
      </c>
      <c r="AQ100" s="80">
        <f t="shared" si="38"/>
        <v>12</v>
      </c>
      <c r="AR100" s="13"/>
      <c r="AS100" s="21"/>
      <c r="AT100" s="21"/>
      <c r="AU100" s="21"/>
      <c r="AV100" s="77"/>
      <c r="AW100" s="21"/>
      <c r="AX100" s="21"/>
      <c r="AY100" s="21"/>
      <c r="AZ100" s="21"/>
      <c r="BA100" s="21"/>
      <c r="BB100" s="21"/>
      <c r="BC100" s="77"/>
      <c r="BD100" s="21"/>
      <c r="BE100" s="21"/>
      <c r="BF100" s="21"/>
      <c r="BG100" s="21"/>
      <c r="BH100" s="21">
        <v>3</v>
      </c>
      <c r="BI100" s="21">
        <v>3</v>
      </c>
      <c r="BJ100" s="77"/>
      <c r="BK100" s="21"/>
      <c r="BL100" s="21"/>
      <c r="BM100" s="21"/>
      <c r="BN100" s="21"/>
      <c r="BO100" s="21">
        <v>3</v>
      </c>
      <c r="BP100" s="21">
        <v>3</v>
      </c>
      <c r="BQ100" s="77"/>
      <c r="BR100" s="21"/>
      <c r="BS100" s="21"/>
      <c r="BT100" s="21"/>
      <c r="BU100" s="21"/>
      <c r="BV100" s="21"/>
      <c r="BW100" s="79">
        <f t="shared" si="31"/>
        <v>12</v>
      </c>
      <c r="BX100" s="58">
        <f t="shared" si="32"/>
        <v>0</v>
      </c>
      <c r="BY100" s="26"/>
      <c r="BZ100" s="27"/>
      <c r="CA100" s="51" t="s">
        <v>442</v>
      </c>
      <c r="CB100" s="50" t="b">
        <f t="shared" si="34"/>
        <v>1</v>
      </c>
      <c r="CC100" s="51" t="s">
        <v>442</v>
      </c>
      <c r="CD100" s="19" t="s">
        <v>970</v>
      </c>
      <c r="CE100" s="19" t="s">
        <v>886</v>
      </c>
      <c r="CF100" s="19" t="s">
        <v>887</v>
      </c>
      <c r="CG100" s="19" t="s">
        <v>896</v>
      </c>
      <c r="CH100" s="19" t="s">
        <v>897</v>
      </c>
      <c r="CI100" s="19" t="s">
        <v>898</v>
      </c>
      <c r="CJ100" s="19" t="s">
        <v>899</v>
      </c>
      <c r="CK100" s="19" t="s">
        <v>875</v>
      </c>
      <c r="CL100" s="19" t="s">
        <v>876</v>
      </c>
      <c r="CM100" s="19" t="s">
        <v>952</v>
      </c>
      <c r="CN100" s="19" t="s">
        <v>953</v>
      </c>
      <c r="CO100" s="19" t="s">
        <v>902</v>
      </c>
      <c r="CP100" s="19" t="s">
        <v>903</v>
      </c>
      <c r="CQ100" s="19"/>
      <c r="CR100" s="19"/>
      <c r="CS100" s="19" t="s">
        <v>904</v>
      </c>
      <c r="CT100" s="19" t="s">
        <v>905</v>
      </c>
      <c r="CU100" s="19" t="s">
        <v>906</v>
      </c>
      <c r="CV100" s="19" t="s">
        <v>907</v>
      </c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</row>
    <row r="101" spans="1:110" s="7" customFormat="1" x14ac:dyDescent="0.25">
      <c r="A101" s="19" t="s">
        <v>228</v>
      </c>
      <c r="B101" s="19" t="s">
        <v>80</v>
      </c>
      <c r="C101" s="19" t="str">
        <f t="shared" si="33"/>
        <v>95158897India</v>
      </c>
      <c r="D101" s="19">
        <v>95158897</v>
      </c>
      <c r="E101" s="19" t="s">
        <v>458</v>
      </c>
      <c r="F101" s="19" t="s">
        <v>261</v>
      </c>
      <c r="G101" s="20" t="s">
        <v>458</v>
      </c>
      <c r="H101" s="19"/>
      <c r="I101" s="19" t="s">
        <v>230</v>
      </c>
      <c r="J101" s="19" t="s">
        <v>243</v>
      </c>
      <c r="K101" s="19" t="s">
        <v>274</v>
      </c>
      <c r="L101" s="19" t="s">
        <v>282</v>
      </c>
      <c r="M101" s="19" t="s">
        <v>268</v>
      </c>
      <c r="N101" s="19" t="s">
        <v>247</v>
      </c>
      <c r="O101" s="19" t="s">
        <v>275</v>
      </c>
      <c r="P101" s="23" t="s">
        <v>237</v>
      </c>
      <c r="Q101" s="19" t="s">
        <v>276</v>
      </c>
      <c r="R101" s="19">
        <v>5600</v>
      </c>
      <c r="S101" s="19" t="s">
        <v>272</v>
      </c>
      <c r="T101" s="19" t="s">
        <v>263</v>
      </c>
      <c r="U101" s="20" t="s">
        <v>263</v>
      </c>
      <c r="V101" s="19" t="s">
        <v>182</v>
      </c>
      <c r="W101" s="19" t="s">
        <v>219</v>
      </c>
      <c r="X101" s="35">
        <v>4</v>
      </c>
      <c r="Y101" s="35">
        <v>4</v>
      </c>
      <c r="Z101" s="32"/>
      <c r="AA101" s="22">
        <v>18</v>
      </c>
      <c r="AB101" s="22">
        <v>10</v>
      </c>
      <c r="AC101" s="22"/>
      <c r="AD101" s="22"/>
      <c r="AE101" s="61">
        <f t="shared" si="42"/>
        <v>28</v>
      </c>
      <c r="AF101" s="22"/>
      <c r="AG101" s="40">
        <f t="shared" si="43"/>
        <v>28</v>
      </c>
      <c r="AH101" s="24"/>
      <c r="AI101" s="24"/>
      <c r="AJ101" s="24"/>
      <c r="AK101" s="24"/>
      <c r="AL101" s="23">
        <f t="shared" si="44"/>
        <v>28</v>
      </c>
      <c r="AM101" s="25">
        <v>18</v>
      </c>
      <c r="AN101" s="25">
        <v>10</v>
      </c>
      <c r="AO101" s="25"/>
      <c r="AP101" s="25"/>
      <c r="AQ101" s="80">
        <f t="shared" si="38"/>
        <v>28</v>
      </c>
      <c r="AR101" s="13"/>
      <c r="AS101" s="21"/>
      <c r="AT101" s="21"/>
      <c r="AU101" s="21"/>
      <c r="AV101" s="77"/>
      <c r="AW101" s="21">
        <v>6</v>
      </c>
      <c r="AX101" s="21">
        <v>6</v>
      </c>
      <c r="AY101" s="21">
        <v>6</v>
      </c>
      <c r="AZ101" s="21"/>
      <c r="BA101" s="21"/>
      <c r="BB101" s="21"/>
      <c r="BC101" s="77"/>
      <c r="BD101" s="21">
        <v>2</v>
      </c>
      <c r="BE101" s="21">
        <v>2</v>
      </c>
      <c r="BF101" s="21">
        <v>2</v>
      </c>
      <c r="BG101" s="21">
        <v>4</v>
      </c>
      <c r="BH101" s="21"/>
      <c r="BI101" s="21"/>
      <c r="BJ101" s="77"/>
      <c r="BK101" s="21"/>
      <c r="BL101" s="21"/>
      <c r="BM101" s="21"/>
      <c r="BN101" s="21"/>
      <c r="BO101" s="21"/>
      <c r="BP101" s="21"/>
      <c r="BQ101" s="77"/>
      <c r="BR101" s="21"/>
      <c r="BS101" s="21"/>
      <c r="BT101" s="21"/>
      <c r="BU101" s="21"/>
      <c r="BV101" s="21"/>
      <c r="BW101" s="79">
        <f t="shared" si="31"/>
        <v>28</v>
      </c>
      <c r="BX101" s="58">
        <f t="shared" si="32"/>
        <v>0</v>
      </c>
      <c r="BY101" s="26"/>
      <c r="BZ101" s="27"/>
      <c r="CA101" s="51" t="s">
        <v>458</v>
      </c>
      <c r="CB101" s="50" t="b">
        <f t="shared" si="34"/>
        <v>1</v>
      </c>
      <c r="CC101" s="51" t="s">
        <v>458</v>
      </c>
      <c r="CD101" s="19" t="s">
        <v>971</v>
      </c>
      <c r="CE101" s="19" t="s">
        <v>886</v>
      </c>
      <c r="CF101" s="19" t="s">
        <v>887</v>
      </c>
      <c r="CG101" s="19" t="s">
        <v>908</v>
      </c>
      <c r="CH101" s="19" t="s">
        <v>909</v>
      </c>
      <c r="CI101" s="19" t="s">
        <v>898</v>
      </c>
      <c r="CJ101" s="19" t="s">
        <v>899</v>
      </c>
      <c r="CK101" s="19" t="s">
        <v>875</v>
      </c>
      <c r="CL101" s="19" t="s">
        <v>876</v>
      </c>
      <c r="CM101" s="19" t="s">
        <v>972</v>
      </c>
      <c r="CN101" s="19" t="s">
        <v>973</v>
      </c>
      <c r="CO101" s="19" t="s">
        <v>967</v>
      </c>
      <c r="CP101" s="19" t="s">
        <v>968</v>
      </c>
      <c r="CQ101" s="19"/>
      <c r="CR101" s="19"/>
      <c r="CS101" s="19" t="s">
        <v>904</v>
      </c>
      <c r="CT101" s="19" t="s">
        <v>905</v>
      </c>
      <c r="CU101" s="19" t="s">
        <v>910</v>
      </c>
      <c r="CV101" s="19" t="s">
        <v>911</v>
      </c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</row>
    <row r="102" spans="1:110" x14ac:dyDescent="0.25">
      <c r="A102" s="7" t="s">
        <v>228</v>
      </c>
      <c r="B102" s="7" t="s">
        <v>80</v>
      </c>
      <c r="C102" s="19" t="str">
        <f t="shared" si="33"/>
        <v>95158904India</v>
      </c>
      <c r="D102" s="7">
        <v>95158904</v>
      </c>
      <c r="E102" s="7" t="s">
        <v>1603</v>
      </c>
      <c r="F102" s="7" t="s">
        <v>261</v>
      </c>
      <c r="G102" s="62" t="s">
        <v>1603</v>
      </c>
      <c r="H102" s="7"/>
      <c r="I102" s="7" t="s">
        <v>230</v>
      </c>
      <c r="J102" s="7" t="s">
        <v>243</v>
      </c>
      <c r="K102" s="7" t="s">
        <v>274</v>
      </c>
      <c r="L102" s="7" t="s">
        <v>233</v>
      </c>
      <c r="M102" s="7" t="s">
        <v>268</v>
      </c>
      <c r="N102" s="7" t="s">
        <v>247</v>
      </c>
      <c r="O102" s="7" t="s">
        <v>275</v>
      </c>
      <c r="P102" s="69" t="s">
        <v>237</v>
      </c>
      <c r="Q102" s="7" t="s">
        <v>276</v>
      </c>
      <c r="R102" s="7">
        <v>5600</v>
      </c>
      <c r="S102" s="7" t="s">
        <v>272</v>
      </c>
      <c r="T102" s="7" t="s">
        <v>263</v>
      </c>
      <c r="U102" s="62" t="s">
        <v>263</v>
      </c>
      <c r="V102" s="7" t="s">
        <v>1557</v>
      </c>
      <c r="W102" s="7" t="s">
        <v>219</v>
      </c>
      <c r="X102" s="63">
        <v>2</v>
      </c>
      <c r="Y102" s="63">
        <v>2</v>
      </c>
      <c r="Z102" s="64"/>
      <c r="AA102" s="65"/>
      <c r="AB102" s="65"/>
      <c r="AC102" s="65"/>
      <c r="AD102" s="65"/>
      <c r="AE102" s="66">
        <f t="shared" si="42"/>
        <v>0</v>
      </c>
      <c r="AF102" s="65"/>
      <c r="AG102" s="67">
        <f t="shared" si="43"/>
        <v>0</v>
      </c>
      <c r="AH102" s="68"/>
      <c r="AI102" s="68"/>
      <c r="AJ102" s="68"/>
      <c r="AK102" s="68"/>
      <c r="AL102" s="69">
        <f t="shared" si="44"/>
        <v>0</v>
      </c>
      <c r="AM102" s="25"/>
      <c r="AN102" s="25"/>
      <c r="AO102" s="25"/>
      <c r="AP102" s="25"/>
      <c r="AQ102" s="80">
        <f t="shared" si="38"/>
        <v>0</v>
      </c>
      <c r="AR102" s="13"/>
      <c r="AS102" s="27"/>
      <c r="AT102" s="27"/>
      <c r="AU102" s="27"/>
      <c r="AV102" s="78"/>
      <c r="AW102" s="27"/>
      <c r="AX102" s="27"/>
      <c r="AY102" s="27"/>
      <c r="AZ102" s="27"/>
      <c r="BA102" s="27"/>
      <c r="BB102" s="27"/>
      <c r="BC102" s="78"/>
      <c r="BD102" s="27"/>
      <c r="BE102" s="27"/>
      <c r="BF102" s="27"/>
      <c r="BG102" s="27"/>
      <c r="BH102" s="27"/>
      <c r="BI102" s="27"/>
      <c r="BJ102" s="78"/>
      <c r="BK102" s="27"/>
      <c r="BL102" s="27"/>
      <c r="BM102" s="27"/>
      <c r="BN102" s="27"/>
      <c r="BO102" s="27"/>
      <c r="BP102" s="27"/>
      <c r="BQ102" s="78"/>
      <c r="BR102" s="27"/>
      <c r="BS102" s="27"/>
      <c r="BT102" s="27"/>
      <c r="BU102" s="27"/>
      <c r="BV102" s="27"/>
      <c r="BW102" s="79">
        <f t="shared" si="31"/>
        <v>0</v>
      </c>
      <c r="BX102" s="58">
        <f t="shared" si="32"/>
        <v>0</v>
      </c>
      <c r="BY102" s="26"/>
      <c r="BZ102" s="27"/>
      <c r="CA102" s="71" t="s">
        <v>1603</v>
      </c>
      <c r="CB102" s="50" t="b">
        <f t="shared" si="34"/>
        <v>1</v>
      </c>
      <c r="CC102" s="71" t="s">
        <v>1603</v>
      </c>
      <c r="CD102" s="7" t="s">
        <v>1656</v>
      </c>
      <c r="CE102" s="7" t="s">
        <v>886</v>
      </c>
      <c r="CF102" s="7" t="s">
        <v>887</v>
      </c>
      <c r="CG102" s="7" t="s">
        <v>896</v>
      </c>
      <c r="CH102" s="7" t="s">
        <v>897</v>
      </c>
      <c r="CI102" s="7" t="s">
        <v>898</v>
      </c>
      <c r="CJ102" s="7" t="s">
        <v>899</v>
      </c>
      <c r="CK102" s="7" t="s">
        <v>875</v>
      </c>
      <c r="CL102" s="7" t="s">
        <v>876</v>
      </c>
      <c r="CM102" s="7" t="s">
        <v>965</v>
      </c>
      <c r="CN102" s="7" t="s">
        <v>966</v>
      </c>
      <c r="CO102" s="7" t="s">
        <v>1657</v>
      </c>
      <c r="CP102" s="7" t="s">
        <v>1658</v>
      </c>
      <c r="CQ102" s="7"/>
      <c r="CR102" s="7"/>
      <c r="CS102" s="7" t="s">
        <v>904</v>
      </c>
      <c r="CT102" s="7" t="s">
        <v>905</v>
      </c>
      <c r="CU102" s="7" t="s">
        <v>906</v>
      </c>
      <c r="CV102" s="7" t="s">
        <v>907</v>
      </c>
      <c r="CW102" s="7"/>
      <c r="CX102" s="7"/>
      <c r="CY102" s="7"/>
      <c r="CZ102" s="7"/>
      <c r="DA102" s="7"/>
      <c r="DB102" s="7"/>
      <c r="DC102" s="7"/>
      <c r="DD102" s="7"/>
      <c r="DE102" s="7"/>
      <c r="DF102" s="7"/>
    </row>
    <row r="103" spans="1:110" x14ac:dyDescent="0.25">
      <c r="A103" s="7" t="s">
        <v>228</v>
      </c>
      <c r="B103" s="7" t="s">
        <v>80</v>
      </c>
      <c r="C103" s="19" t="str">
        <f t="shared" si="33"/>
        <v>95158916India</v>
      </c>
      <c r="D103" s="7">
        <v>95158916</v>
      </c>
      <c r="E103" s="7" t="s">
        <v>281</v>
      </c>
      <c r="F103" s="7" t="s">
        <v>261</v>
      </c>
      <c r="G103" s="62" t="s">
        <v>281</v>
      </c>
      <c r="H103" s="7"/>
      <c r="I103" s="7" t="s">
        <v>230</v>
      </c>
      <c r="J103" s="7" t="s">
        <v>243</v>
      </c>
      <c r="K103" s="7" t="s">
        <v>274</v>
      </c>
      <c r="L103" s="7" t="s">
        <v>282</v>
      </c>
      <c r="M103" s="7" t="s">
        <v>268</v>
      </c>
      <c r="N103" s="7" t="s">
        <v>247</v>
      </c>
      <c r="O103" s="7" t="s">
        <v>275</v>
      </c>
      <c r="P103" s="69" t="s">
        <v>237</v>
      </c>
      <c r="Q103" s="7" t="s">
        <v>276</v>
      </c>
      <c r="R103" s="7">
        <v>5600</v>
      </c>
      <c r="S103" s="7" t="s">
        <v>272</v>
      </c>
      <c r="T103" s="7" t="s">
        <v>263</v>
      </c>
      <c r="U103" s="62" t="s">
        <v>263</v>
      </c>
      <c r="V103" s="7" t="s">
        <v>190</v>
      </c>
      <c r="W103" s="7" t="s">
        <v>222</v>
      </c>
      <c r="X103" s="63">
        <v>10</v>
      </c>
      <c r="Y103" s="63">
        <v>7</v>
      </c>
      <c r="Z103" s="64"/>
      <c r="AA103" s="65"/>
      <c r="AB103" s="65"/>
      <c r="AC103" s="65">
        <v>7</v>
      </c>
      <c r="AD103" s="65">
        <v>6</v>
      </c>
      <c r="AE103" s="66">
        <f t="shared" si="42"/>
        <v>13</v>
      </c>
      <c r="AF103" s="65"/>
      <c r="AG103" s="67">
        <f t="shared" si="43"/>
        <v>13</v>
      </c>
      <c r="AH103" s="68">
        <v>10</v>
      </c>
      <c r="AI103" s="68"/>
      <c r="AJ103" s="68"/>
      <c r="AK103" s="68"/>
      <c r="AL103" s="69">
        <f t="shared" si="44"/>
        <v>3</v>
      </c>
      <c r="AM103" s="25"/>
      <c r="AN103" s="25"/>
      <c r="AO103" s="25"/>
      <c r="AP103" s="25">
        <v>3</v>
      </c>
      <c r="AQ103" s="80">
        <f t="shared" si="38"/>
        <v>3</v>
      </c>
      <c r="AR103" s="13">
        <v>10</v>
      </c>
      <c r="AS103" s="21"/>
      <c r="AT103" s="83">
        <v>5</v>
      </c>
      <c r="AU103" s="83">
        <v>5</v>
      </c>
      <c r="AV103" s="77"/>
      <c r="AW103" s="21"/>
      <c r="AX103" s="21"/>
      <c r="AY103" s="21"/>
      <c r="AZ103" s="21"/>
      <c r="BA103" s="21"/>
      <c r="BB103" s="21"/>
      <c r="BC103" s="77"/>
      <c r="BD103" s="21"/>
      <c r="BE103" s="21"/>
      <c r="BF103" s="21"/>
      <c r="BG103" s="21"/>
      <c r="BH103" s="21"/>
      <c r="BI103" s="21"/>
      <c r="BJ103" s="77"/>
      <c r="BK103" s="21"/>
      <c r="BL103" s="21"/>
      <c r="BM103" s="21"/>
      <c r="BN103" s="21">
        <v>3</v>
      </c>
      <c r="BO103" s="21"/>
      <c r="BP103" s="21"/>
      <c r="BQ103" s="77"/>
      <c r="BR103" s="21"/>
      <c r="BS103" s="21"/>
      <c r="BT103" s="21"/>
      <c r="BU103" s="21"/>
      <c r="BV103" s="21"/>
      <c r="BW103" s="79">
        <f t="shared" si="31"/>
        <v>13</v>
      </c>
      <c r="BX103" s="58">
        <f t="shared" si="32"/>
        <v>-10</v>
      </c>
      <c r="BY103" s="26"/>
      <c r="BZ103" s="27"/>
      <c r="CA103" s="71" t="s">
        <v>281</v>
      </c>
      <c r="CB103" s="50" t="b">
        <f t="shared" si="34"/>
        <v>1</v>
      </c>
      <c r="CC103" s="71" t="s">
        <v>281</v>
      </c>
      <c r="CD103" s="7" t="s">
        <v>956</v>
      </c>
      <c r="CE103" s="7" t="s">
        <v>886</v>
      </c>
      <c r="CF103" s="7" t="s">
        <v>887</v>
      </c>
      <c r="CG103" s="7" t="s">
        <v>908</v>
      </c>
      <c r="CH103" s="7" t="s">
        <v>909</v>
      </c>
      <c r="CI103" s="7" t="s">
        <v>898</v>
      </c>
      <c r="CJ103" s="7" t="s">
        <v>899</v>
      </c>
      <c r="CK103" s="7" t="s">
        <v>875</v>
      </c>
      <c r="CL103" s="7" t="s">
        <v>876</v>
      </c>
      <c r="CM103" s="7" t="s">
        <v>957</v>
      </c>
      <c r="CN103" s="7" t="s">
        <v>958</v>
      </c>
      <c r="CO103" s="7" t="s">
        <v>954</v>
      </c>
      <c r="CP103" s="7" t="s">
        <v>955</v>
      </c>
      <c r="CQ103" s="7"/>
      <c r="CR103" s="7"/>
      <c r="CS103" s="7" t="s">
        <v>904</v>
      </c>
      <c r="CT103" s="7" t="s">
        <v>905</v>
      </c>
      <c r="CU103" s="7" t="s">
        <v>910</v>
      </c>
      <c r="CV103" s="7" t="s">
        <v>911</v>
      </c>
      <c r="CW103" s="7"/>
      <c r="CX103" s="7"/>
      <c r="CY103" s="7"/>
      <c r="CZ103" s="7"/>
      <c r="DA103" s="7"/>
      <c r="DB103" s="7"/>
      <c r="DC103" s="7"/>
      <c r="DD103" s="7"/>
      <c r="DE103" s="7"/>
      <c r="DF103" s="7"/>
    </row>
    <row r="104" spans="1:110" x14ac:dyDescent="0.25">
      <c r="A104" s="7" t="s">
        <v>228</v>
      </c>
      <c r="B104" s="7" t="s">
        <v>80</v>
      </c>
      <c r="C104" s="19" t="str">
        <f t="shared" si="33"/>
        <v>95159050India</v>
      </c>
      <c r="D104" s="7">
        <v>95159050</v>
      </c>
      <c r="E104" s="7" t="s">
        <v>466</v>
      </c>
      <c r="F104" s="7" t="s">
        <v>261</v>
      </c>
      <c r="G104" s="62" t="s">
        <v>466</v>
      </c>
      <c r="H104" s="7"/>
      <c r="I104" s="7" t="s">
        <v>230</v>
      </c>
      <c r="J104" s="7" t="s">
        <v>243</v>
      </c>
      <c r="K104" s="7" t="s">
        <v>274</v>
      </c>
      <c r="L104" s="7" t="s">
        <v>233</v>
      </c>
      <c r="M104" s="7" t="s">
        <v>268</v>
      </c>
      <c r="N104" s="7" t="s">
        <v>247</v>
      </c>
      <c r="O104" s="7" t="s">
        <v>275</v>
      </c>
      <c r="P104" s="69" t="s">
        <v>237</v>
      </c>
      <c r="Q104" s="7" t="s">
        <v>276</v>
      </c>
      <c r="R104" s="7">
        <v>5600</v>
      </c>
      <c r="S104" s="7" t="s">
        <v>272</v>
      </c>
      <c r="T104" s="7" t="s">
        <v>263</v>
      </c>
      <c r="U104" s="62" t="s">
        <v>263</v>
      </c>
      <c r="V104" s="7" t="s">
        <v>191</v>
      </c>
      <c r="W104" s="7" t="s">
        <v>219</v>
      </c>
      <c r="X104" s="63"/>
      <c r="Y104" s="63"/>
      <c r="Z104" s="64"/>
      <c r="AA104" s="65"/>
      <c r="AB104" s="65"/>
      <c r="AC104" s="65">
        <v>1</v>
      </c>
      <c r="AD104" s="65">
        <v>2</v>
      </c>
      <c r="AE104" s="66">
        <f t="shared" si="42"/>
        <v>3</v>
      </c>
      <c r="AF104" s="65"/>
      <c r="AG104" s="67">
        <f t="shared" si="43"/>
        <v>3</v>
      </c>
      <c r="AH104" s="68"/>
      <c r="AI104" s="68"/>
      <c r="AJ104" s="68"/>
      <c r="AK104" s="68"/>
      <c r="AL104" s="69">
        <f t="shared" si="44"/>
        <v>3</v>
      </c>
      <c r="AM104" s="25"/>
      <c r="AN104" s="25"/>
      <c r="AO104" s="25">
        <v>1</v>
      </c>
      <c r="AP104" s="25">
        <v>2</v>
      </c>
      <c r="AQ104" s="80">
        <f t="shared" si="38"/>
        <v>3</v>
      </c>
      <c r="AR104" s="13"/>
      <c r="AS104" s="21"/>
      <c r="AT104" s="21"/>
      <c r="AU104" s="21"/>
      <c r="AV104" s="77"/>
      <c r="AW104" s="21"/>
      <c r="AX104" s="21"/>
      <c r="AY104" s="21"/>
      <c r="AZ104" s="21"/>
      <c r="BA104" s="21"/>
      <c r="BB104" s="21"/>
      <c r="BC104" s="77"/>
      <c r="BD104" s="21"/>
      <c r="BE104" s="21"/>
      <c r="BF104" s="21"/>
      <c r="BG104" s="21"/>
      <c r="BH104" s="21"/>
      <c r="BI104" s="21"/>
      <c r="BJ104" s="77"/>
      <c r="BK104" s="21"/>
      <c r="BL104" s="21"/>
      <c r="BM104" s="21">
        <v>1</v>
      </c>
      <c r="BN104" s="21">
        <v>2</v>
      </c>
      <c r="BO104" s="21"/>
      <c r="BP104" s="21"/>
      <c r="BQ104" s="77"/>
      <c r="BR104" s="21"/>
      <c r="BS104" s="21"/>
      <c r="BT104" s="21"/>
      <c r="BU104" s="21"/>
      <c r="BV104" s="21"/>
      <c r="BW104" s="79">
        <f t="shared" si="31"/>
        <v>3</v>
      </c>
      <c r="BX104" s="58">
        <f t="shared" si="32"/>
        <v>0</v>
      </c>
      <c r="BY104" s="26"/>
      <c r="BZ104" s="27"/>
      <c r="CA104" s="71" t="s">
        <v>466</v>
      </c>
      <c r="CB104" s="50" t="b">
        <f t="shared" si="34"/>
        <v>1</v>
      </c>
      <c r="CC104" s="73" t="s">
        <v>466</v>
      </c>
      <c r="CD104" s="7" t="s">
        <v>974</v>
      </c>
      <c r="CE104" s="7" t="s">
        <v>886</v>
      </c>
      <c r="CF104" s="7" t="s">
        <v>887</v>
      </c>
      <c r="CG104" s="7" t="s">
        <v>908</v>
      </c>
      <c r="CH104" s="7" t="s">
        <v>909</v>
      </c>
      <c r="CI104" s="7" t="s">
        <v>898</v>
      </c>
      <c r="CJ104" s="7" t="s">
        <v>899</v>
      </c>
      <c r="CK104" s="7" t="s">
        <v>875</v>
      </c>
      <c r="CL104" s="7" t="s">
        <v>876</v>
      </c>
      <c r="CM104" s="7" t="s">
        <v>959</v>
      </c>
      <c r="CN104" s="7" t="s">
        <v>960</v>
      </c>
      <c r="CO104" s="7" t="s">
        <v>967</v>
      </c>
      <c r="CP104" s="7" t="s">
        <v>968</v>
      </c>
      <c r="CQ104" s="7"/>
      <c r="CR104" s="7"/>
      <c r="CS104" s="7" t="s">
        <v>904</v>
      </c>
      <c r="CT104" s="7" t="s">
        <v>905</v>
      </c>
      <c r="CU104" s="7" t="s">
        <v>910</v>
      </c>
      <c r="CV104" s="7" t="s">
        <v>911</v>
      </c>
      <c r="CW104" s="7"/>
      <c r="CX104" s="7"/>
      <c r="CY104" s="7"/>
      <c r="CZ104" s="7"/>
      <c r="DA104" s="7"/>
      <c r="DB104" s="7"/>
      <c r="DC104" s="7"/>
      <c r="DD104" s="7"/>
      <c r="DE104" s="7"/>
      <c r="DF104" s="7"/>
    </row>
    <row r="105" spans="1:110" x14ac:dyDescent="0.25">
      <c r="A105" s="19" t="s">
        <v>228</v>
      </c>
      <c r="B105" s="19" t="s">
        <v>80</v>
      </c>
      <c r="C105" s="19" t="str">
        <f t="shared" si="33"/>
        <v>95155500India</v>
      </c>
      <c r="D105" s="19">
        <v>95155500</v>
      </c>
      <c r="E105" s="19" t="s">
        <v>469</v>
      </c>
      <c r="F105" s="19" t="s">
        <v>261</v>
      </c>
      <c r="G105" s="20" t="s">
        <v>469</v>
      </c>
      <c r="H105" s="19"/>
      <c r="I105" s="19" t="s">
        <v>230</v>
      </c>
      <c r="J105" s="19" t="s">
        <v>243</v>
      </c>
      <c r="K105" s="19" t="s">
        <v>274</v>
      </c>
      <c r="L105" s="19" t="s">
        <v>282</v>
      </c>
      <c r="M105" s="19" t="s">
        <v>268</v>
      </c>
      <c r="N105" s="19" t="s">
        <v>247</v>
      </c>
      <c r="O105" s="19" t="s">
        <v>275</v>
      </c>
      <c r="P105" s="23" t="s">
        <v>237</v>
      </c>
      <c r="Q105" s="19" t="s">
        <v>276</v>
      </c>
      <c r="R105" s="19">
        <v>5600</v>
      </c>
      <c r="S105" s="19" t="s">
        <v>422</v>
      </c>
      <c r="T105" s="19" t="s">
        <v>263</v>
      </c>
      <c r="U105" s="20" t="s">
        <v>263</v>
      </c>
      <c r="V105" s="19" t="s">
        <v>194</v>
      </c>
      <c r="W105" s="19" t="s">
        <v>219</v>
      </c>
      <c r="X105" s="35">
        <v>32</v>
      </c>
      <c r="Y105" s="35">
        <v>24</v>
      </c>
      <c r="Z105" s="32"/>
      <c r="AA105" s="22"/>
      <c r="AB105" s="22">
        <v>5</v>
      </c>
      <c r="AC105" s="22">
        <v>10</v>
      </c>
      <c r="AD105" s="22">
        <v>8</v>
      </c>
      <c r="AE105" s="61">
        <f t="shared" si="42"/>
        <v>23</v>
      </c>
      <c r="AF105" s="22"/>
      <c r="AG105" s="40">
        <f t="shared" si="43"/>
        <v>23</v>
      </c>
      <c r="AH105" s="24">
        <v>38</v>
      </c>
      <c r="AI105" s="24"/>
      <c r="AJ105" s="24"/>
      <c r="AK105" s="24"/>
      <c r="AL105" s="23">
        <v>0</v>
      </c>
      <c r="AM105" s="25"/>
      <c r="AN105" s="25"/>
      <c r="AO105" s="25"/>
      <c r="AP105" s="25"/>
      <c r="AQ105" s="80">
        <f t="shared" si="38"/>
        <v>0</v>
      </c>
      <c r="AR105" s="13">
        <v>38</v>
      </c>
      <c r="AS105" s="21"/>
      <c r="AT105" s="83">
        <v>19</v>
      </c>
      <c r="AU105" s="83">
        <v>19</v>
      </c>
      <c r="AV105" s="77"/>
      <c r="AW105" s="21"/>
      <c r="AX105" s="21"/>
      <c r="AY105" s="21"/>
      <c r="AZ105" s="21"/>
      <c r="BA105" s="21"/>
      <c r="BB105" s="21"/>
      <c r="BC105" s="77"/>
      <c r="BD105" s="21"/>
      <c r="BE105" s="21"/>
      <c r="BF105" s="21"/>
      <c r="BG105" s="21"/>
      <c r="BH105" s="21"/>
      <c r="BI105" s="21"/>
      <c r="BJ105" s="77"/>
      <c r="BK105" s="21"/>
      <c r="BL105" s="21"/>
      <c r="BM105" s="21"/>
      <c r="BN105" s="21"/>
      <c r="BO105" s="21"/>
      <c r="BP105" s="21"/>
      <c r="BQ105" s="77"/>
      <c r="BR105" s="21"/>
      <c r="BS105" s="21"/>
      <c r="BT105" s="21"/>
      <c r="BU105" s="21"/>
      <c r="BV105" s="21"/>
      <c r="BW105" s="79">
        <f t="shared" si="31"/>
        <v>38</v>
      </c>
      <c r="BX105" s="58">
        <f t="shared" si="32"/>
        <v>-38</v>
      </c>
      <c r="BY105" s="26"/>
      <c r="BZ105" s="70"/>
      <c r="CA105" s="51" t="s">
        <v>469</v>
      </c>
      <c r="CB105" s="50" t="b">
        <f t="shared" si="34"/>
        <v>1</v>
      </c>
      <c r="CC105" s="72" t="s">
        <v>469</v>
      </c>
      <c r="CD105" s="55" t="s">
        <v>975</v>
      </c>
      <c r="CE105" s="55" t="s">
        <v>886</v>
      </c>
      <c r="CF105" s="55" t="s">
        <v>976</v>
      </c>
      <c r="CG105" s="55" t="s">
        <v>908</v>
      </c>
      <c r="CH105" s="55" t="s">
        <v>909</v>
      </c>
      <c r="CI105" s="55" t="s">
        <v>898</v>
      </c>
      <c r="CJ105" s="55" t="s">
        <v>899</v>
      </c>
      <c r="CK105" s="55" t="s">
        <v>875</v>
      </c>
      <c r="CL105" s="55" t="s">
        <v>876</v>
      </c>
      <c r="CM105" s="55" t="s">
        <v>957</v>
      </c>
      <c r="CN105" s="55" t="s">
        <v>958</v>
      </c>
      <c r="CO105" s="55" t="s">
        <v>977</v>
      </c>
      <c r="CP105" s="55" t="s">
        <v>978</v>
      </c>
      <c r="CQ105" s="55"/>
      <c r="CR105" s="55"/>
      <c r="CS105" s="55" t="s">
        <v>904</v>
      </c>
      <c r="CT105" s="55" t="s">
        <v>905</v>
      </c>
      <c r="CU105" s="55" t="s">
        <v>910</v>
      </c>
      <c r="CV105" s="55" t="s">
        <v>911</v>
      </c>
      <c r="CW105" s="55"/>
      <c r="CX105" s="55"/>
      <c r="CY105" s="55"/>
      <c r="CZ105" s="55"/>
      <c r="DA105" s="55"/>
      <c r="DB105" s="55"/>
      <c r="DC105" s="55"/>
      <c r="DD105" s="55"/>
      <c r="DE105" s="55"/>
      <c r="DF105" s="55"/>
    </row>
    <row r="106" spans="1:110" x14ac:dyDescent="0.25">
      <c r="A106" s="19" t="s">
        <v>228</v>
      </c>
      <c r="B106" s="19" t="s">
        <v>80</v>
      </c>
      <c r="C106" s="19" t="str">
        <f t="shared" si="33"/>
        <v>95155537India</v>
      </c>
      <c r="D106" s="19">
        <v>95155537</v>
      </c>
      <c r="E106" s="19" t="s">
        <v>470</v>
      </c>
      <c r="F106" s="19" t="s">
        <v>261</v>
      </c>
      <c r="G106" s="20" t="s">
        <v>470</v>
      </c>
      <c r="H106" s="19"/>
      <c r="I106" s="19" t="s">
        <v>230</v>
      </c>
      <c r="J106" s="19" t="s">
        <v>243</v>
      </c>
      <c r="K106" s="19" t="s">
        <v>274</v>
      </c>
      <c r="L106" s="19" t="s">
        <v>282</v>
      </c>
      <c r="M106" s="19" t="s">
        <v>268</v>
      </c>
      <c r="N106" s="19" t="s">
        <v>247</v>
      </c>
      <c r="O106" s="19" t="s">
        <v>275</v>
      </c>
      <c r="P106" s="23" t="s">
        <v>237</v>
      </c>
      <c r="Q106" s="19" t="s">
        <v>276</v>
      </c>
      <c r="R106" s="19">
        <v>5600</v>
      </c>
      <c r="S106" s="19" t="s">
        <v>272</v>
      </c>
      <c r="T106" s="19" t="s">
        <v>263</v>
      </c>
      <c r="U106" s="20" t="s">
        <v>263</v>
      </c>
      <c r="V106" s="19" t="s">
        <v>195</v>
      </c>
      <c r="W106" s="19" t="s">
        <v>219</v>
      </c>
      <c r="X106" s="35">
        <v>2</v>
      </c>
      <c r="Y106" s="35">
        <v>2</v>
      </c>
      <c r="Z106" s="32"/>
      <c r="AA106" s="22"/>
      <c r="AB106" s="22"/>
      <c r="AC106" s="22">
        <v>2</v>
      </c>
      <c r="AD106" s="22">
        <v>5</v>
      </c>
      <c r="AE106" s="61">
        <f t="shared" si="42"/>
        <v>7</v>
      </c>
      <c r="AF106" s="22"/>
      <c r="AG106" s="40">
        <f t="shared" si="43"/>
        <v>7</v>
      </c>
      <c r="AH106" s="24"/>
      <c r="AI106" s="24"/>
      <c r="AJ106" s="24"/>
      <c r="AK106" s="24"/>
      <c r="AL106" s="23">
        <f t="shared" ref="AL106:AL111" si="45">AG106-AH106-AI106-AJ106+AK106</f>
        <v>7</v>
      </c>
      <c r="AM106" s="25"/>
      <c r="AN106" s="25"/>
      <c r="AO106" s="25">
        <v>2</v>
      </c>
      <c r="AP106" s="25">
        <v>5</v>
      </c>
      <c r="AQ106" s="80">
        <f t="shared" si="38"/>
        <v>7</v>
      </c>
      <c r="AR106" s="13"/>
      <c r="AS106" s="21"/>
      <c r="AT106" s="21"/>
      <c r="AU106" s="21"/>
      <c r="AV106" s="77"/>
      <c r="AW106" s="21"/>
      <c r="AX106" s="21"/>
      <c r="AY106" s="21"/>
      <c r="AZ106" s="21"/>
      <c r="BA106" s="21"/>
      <c r="BB106" s="21"/>
      <c r="BC106" s="77"/>
      <c r="BD106" s="21"/>
      <c r="BE106" s="21"/>
      <c r="BF106" s="21"/>
      <c r="BG106" s="21"/>
      <c r="BH106" s="21"/>
      <c r="BI106" s="21"/>
      <c r="BJ106" s="77"/>
      <c r="BK106" s="21"/>
      <c r="BL106" s="21"/>
      <c r="BM106" s="21">
        <v>2</v>
      </c>
      <c r="BN106" s="21">
        <v>5</v>
      </c>
      <c r="BO106" s="21"/>
      <c r="BP106" s="21"/>
      <c r="BQ106" s="77"/>
      <c r="BR106" s="21"/>
      <c r="BS106" s="21"/>
      <c r="BT106" s="21"/>
      <c r="BU106" s="21"/>
      <c r="BV106" s="21"/>
      <c r="BW106" s="79">
        <f t="shared" si="31"/>
        <v>7</v>
      </c>
      <c r="BX106" s="58">
        <f t="shared" si="32"/>
        <v>0</v>
      </c>
      <c r="BY106" s="26"/>
      <c r="BZ106" s="21"/>
      <c r="CA106" s="51" t="s">
        <v>470</v>
      </c>
      <c r="CB106" s="50" t="b">
        <f t="shared" si="34"/>
        <v>1</v>
      </c>
      <c r="CC106" s="52" t="s">
        <v>470</v>
      </c>
      <c r="CD106" s="19" t="s">
        <v>205</v>
      </c>
      <c r="CE106" s="19" t="s">
        <v>886</v>
      </c>
      <c r="CF106" s="19" t="s">
        <v>887</v>
      </c>
      <c r="CG106" s="19" t="s">
        <v>896</v>
      </c>
      <c r="CH106" s="19" t="s">
        <v>897</v>
      </c>
      <c r="CI106" s="19" t="s">
        <v>898</v>
      </c>
      <c r="CJ106" s="19" t="s">
        <v>899</v>
      </c>
      <c r="CK106" s="19" t="s">
        <v>875</v>
      </c>
      <c r="CL106" s="19" t="s">
        <v>876</v>
      </c>
      <c r="CM106" s="19" t="s">
        <v>957</v>
      </c>
      <c r="CN106" s="19" t="s">
        <v>958</v>
      </c>
      <c r="CO106" s="19" t="s">
        <v>902</v>
      </c>
      <c r="CP106" s="19" t="s">
        <v>903</v>
      </c>
      <c r="CQ106" s="19"/>
      <c r="CR106" s="19"/>
      <c r="CS106" s="19" t="s">
        <v>904</v>
      </c>
      <c r="CT106" s="19" t="s">
        <v>905</v>
      </c>
      <c r="CU106" s="19" t="s">
        <v>906</v>
      </c>
      <c r="CV106" s="19" t="s">
        <v>907</v>
      </c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</row>
    <row r="107" spans="1:110" x14ac:dyDescent="0.25">
      <c r="A107" s="19" t="s">
        <v>228</v>
      </c>
      <c r="B107" s="19" t="s">
        <v>80</v>
      </c>
      <c r="C107" s="19" t="str">
        <f t="shared" si="33"/>
        <v>95156779India</v>
      </c>
      <c r="D107" s="19">
        <v>95156779</v>
      </c>
      <c r="E107" s="19" t="s">
        <v>471</v>
      </c>
      <c r="F107" s="19" t="s">
        <v>261</v>
      </c>
      <c r="G107" s="20" t="s">
        <v>471</v>
      </c>
      <c r="H107" s="19"/>
      <c r="I107" s="19" t="s">
        <v>230</v>
      </c>
      <c r="J107" s="19" t="s">
        <v>243</v>
      </c>
      <c r="K107" s="19" t="s">
        <v>274</v>
      </c>
      <c r="L107" s="19" t="s">
        <v>233</v>
      </c>
      <c r="M107" s="19" t="s">
        <v>268</v>
      </c>
      <c r="N107" s="19" t="s">
        <v>247</v>
      </c>
      <c r="O107" s="19" t="s">
        <v>275</v>
      </c>
      <c r="P107" s="23" t="s">
        <v>237</v>
      </c>
      <c r="Q107" s="19" t="s">
        <v>276</v>
      </c>
      <c r="R107" s="19">
        <v>5600</v>
      </c>
      <c r="S107" s="19" t="s">
        <v>272</v>
      </c>
      <c r="T107" s="19" t="s">
        <v>263</v>
      </c>
      <c r="U107" s="20" t="s">
        <v>263</v>
      </c>
      <c r="V107" s="19" t="s">
        <v>196</v>
      </c>
      <c r="W107" s="19" t="s">
        <v>219</v>
      </c>
      <c r="X107" s="35">
        <v>2</v>
      </c>
      <c r="Y107" s="35">
        <v>2</v>
      </c>
      <c r="Z107" s="32"/>
      <c r="AA107" s="22"/>
      <c r="AB107" s="22">
        <v>2</v>
      </c>
      <c r="AC107" s="22">
        <v>2</v>
      </c>
      <c r="AD107" s="22"/>
      <c r="AE107" s="61">
        <f t="shared" si="42"/>
        <v>4</v>
      </c>
      <c r="AF107" s="22"/>
      <c r="AG107" s="40">
        <f t="shared" si="43"/>
        <v>4</v>
      </c>
      <c r="AH107" s="24">
        <v>2</v>
      </c>
      <c r="AI107" s="24"/>
      <c r="AJ107" s="24"/>
      <c r="AK107" s="24"/>
      <c r="AL107" s="23">
        <f t="shared" si="45"/>
        <v>2</v>
      </c>
      <c r="AM107" s="25"/>
      <c r="AN107" s="25"/>
      <c r="AO107" s="25">
        <v>2</v>
      </c>
      <c r="AP107" s="25"/>
      <c r="AQ107" s="80">
        <f t="shared" si="38"/>
        <v>2</v>
      </c>
      <c r="AR107" s="13">
        <v>2</v>
      </c>
      <c r="AS107" s="83">
        <v>2</v>
      </c>
      <c r="AT107" s="21"/>
      <c r="AU107" s="21"/>
      <c r="AV107" s="77"/>
      <c r="AW107" s="21"/>
      <c r="AX107" s="21"/>
      <c r="AY107" s="21"/>
      <c r="AZ107" s="21"/>
      <c r="BA107" s="21"/>
      <c r="BB107" s="21"/>
      <c r="BC107" s="77"/>
      <c r="BD107" s="21"/>
      <c r="BE107" s="21"/>
      <c r="BF107" s="21"/>
      <c r="BG107" s="21"/>
      <c r="BH107" s="21"/>
      <c r="BI107" s="21"/>
      <c r="BJ107" s="77"/>
      <c r="BK107" s="21"/>
      <c r="BL107" s="21"/>
      <c r="BM107" s="21">
        <v>2</v>
      </c>
      <c r="BN107" s="21"/>
      <c r="BO107" s="21"/>
      <c r="BP107" s="21"/>
      <c r="BQ107" s="77"/>
      <c r="BR107" s="21"/>
      <c r="BS107" s="21"/>
      <c r="BT107" s="21"/>
      <c r="BU107" s="21"/>
      <c r="BV107" s="21"/>
      <c r="BW107" s="79">
        <f t="shared" si="31"/>
        <v>4</v>
      </c>
      <c r="BX107" s="58">
        <f t="shared" si="32"/>
        <v>-2</v>
      </c>
      <c r="BY107" s="26"/>
      <c r="BZ107" s="21"/>
      <c r="CA107" s="51" t="s">
        <v>471</v>
      </c>
      <c r="CB107" s="50" t="b">
        <f t="shared" si="34"/>
        <v>1</v>
      </c>
      <c r="CC107" s="52" t="s">
        <v>471</v>
      </c>
      <c r="CD107" s="19" t="s">
        <v>979</v>
      </c>
      <c r="CE107" s="19" t="s">
        <v>886</v>
      </c>
      <c r="CF107" s="19" t="s">
        <v>887</v>
      </c>
      <c r="CG107" s="19" t="s">
        <v>908</v>
      </c>
      <c r="CH107" s="19" t="s">
        <v>909</v>
      </c>
      <c r="CI107" s="19" t="s">
        <v>898</v>
      </c>
      <c r="CJ107" s="19" t="s">
        <v>899</v>
      </c>
      <c r="CK107" s="19" t="s">
        <v>875</v>
      </c>
      <c r="CL107" s="19" t="s">
        <v>876</v>
      </c>
      <c r="CM107" s="19" t="s">
        <v>952</v>
      </c>
      <c r="CN107" s="19" t="s">
        <v>953</v>
      </c>
      <c r="CO107" s="19" t="s">
        <v>954</v>
      </c>
      <c r="CP107" s="19" t="s">
        <v>955</v>
      </c>
      <c r="CQ107" s="19"/>
      <c r="CR107" s="19"/>
      <c r="CS107" s="19" t="s">
        <v>904</v>
      </c>
      <c r="CT107" s="19" t="s">
        <v>905</v>
      </c>
      <c r="CU107" s="19" t="s">
        <v>910</v>
      </c>
      <c r="CV107" s="19" t="s">
        <v>911</v>
      </c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</row>
    <row r="108" spans="1:110" x14ac:dyDescent="0.25">
      <c r="A108" s="19" t="s">
        <v>228</v>
      </c>
      <c r="B108" s="19" t="s">
        <v>80</v>
      </c>
      <c r="C108" s="19" t="str">
        <f t="shared" si="33"/>
        <v>95159056India</v>
      </c>
      <c r="D108" s="19">
        <v>95159056</v>
      </c>
      <c r="E108" s="19" t="s">
        <v>472</v>
      </c>
      <c r="F108" s="19" t="s">
        <v>261</v>
      </c>
      <c r="G108" s="20" t="s">
        <v>472</v>
      </c>
      <c r="H108" s="19"/>
      <c r="I108" s="19" t="s">
        <v>230</v>
      </c>
      <c r="J108" s="19" t="s">
        <v>243</v>
      </c>
      <c r="K108" s="19" t="s">
        <v>274</v>
      </c>
      <c r="L108" s="19" t="s">
        <v>282</v>
      </c>
      <c r="M108" s="19" t="s">
        <v>268</v>
      </c>
      <c r="N108" s="19" t="s">
        <v>247</v>
      </c>
      <c r="O108" s="19" t="s">
        <v>275</v>
      </c>
      <c r="P108" s="23" t="s">
        <v>237</v>
      </c>
      <c r="Q108" s="19" t="s">
        <v>276</v>
      </c>
      <c r="R108" s="19">
        <v>5600</v>
      </c>
      <c r="S108" s="19" t="s">
        <v>272</v>
      </c>
      <c r="T108" s="19" t="s">
        <v>263</v>
      </c>
      <c r="U108" s="20" t="s">
        <v>263</v>
      </c>
      <c r="V108" s="19" t="s">
        <v>197</v>
      </c>
      <c r="W108" s="19" t="s">
        <v>222</v>
      </c>
      <c r="X108" s="35">
        <v>22</v>
      </c>
      <c r="Y108" s="35">
        <v>13</v>
      </c>
      <c r="Z108" s="32"/>
      <c r="AA108" s="22">
        <v>7</v>
      </c>
      <c r="AB108" s="22">
        <v>15</v>
      </c>
      <c r="AC108" s="22">
        <v>7</v>
      </c>
      <c r="AD108" s="22">
        <v>3</v>
      </c>
      <c r="AE108" s="61">
        <f t="shared" si="42"/>
        <v>32</v>
      </c>
      <c r="AF108" s="22"/>
      <c r="AG108" s="40">
        <f t="shared" si="43"/>
        <v>32</v>
      </c>
      <c r="AH108" s="24"/>
      <c r="AI108" s="24"/>
      <c r="AJ108" s="24"/>
      <c r="AK108" s="24"/>
      <c r="AL108" s="23">
        <f t="shared" si="45"/>
        <v>32</v>
      </c>
      <c r="AM108" s="25">
        <v>7</v>
      </c>
      <c r="AN108" s="25">
        <v>15</v>
      </c>
      <c r="AO108" s="25">
        <v>7</v>
      </c>
      <c r="AP108" s="25">
        <v>3</v>
      </c>
      <c r="AQ108" s="80">
        <f t="shared" si="38"/>
        <v>32</v>
      </c>
      <c r="AR108" s="13"/>
      <c r="AS108" s="21"/>
      <c r="AT108" s="21">
        <v>3</v>
      </c>
      <c r="AU108" s="21">
        <v>4</v>
      </c>
      <c r="AV108" s="77"/>
      <c r="AW108" s="21"/>
      <c r="AX108" s="21"/>
      <c r="AY108" s="21"/>
      <c r="AZ108" s="21"/>
      <c r="BA108" s="21">
        <v>3</v>
      </c>
      <c r="BB108" s="21">
        <v>3</v>
      </c>
      <c r="BC108" s="77"/>
      <c r="BD108" s="21">
        <v>3</v>
      </c>
      <c r="BE108" s="21">
        <v>3</v>
      </c>
      <c r="BF108" s="21">
        <v>3</v>
      </c>
      <c r="BG108" s="21"/>
      <c r="BH108" s="21">
        <v>3</v>
      </c>
      <c r="BI108" s="21"/>
      <c r="BJ108" s="77"/>
      <c r="BK108" s="21"/>
      <c r="BL108" s="21">
        <v>2</v>
      </c>
      <c r="BM108" s="21">
        <v>2</v>
      </c>
      <c r="BN108" s="21"/>
      <c r="BO108" s="21">
        <v>3</v>
      </c>
      <c r="BP108" s="21"/>
      <c r="BQ108" s="77"/>
      <c r="BR108" s="21"/>
      <c r="BS108" s="21"/>
      <c r="BT108" s="21"/>
      <c r="BU108" s="21"/>
      <c r="BV108" s="21"/>
      <c r="BW108" s="79">
        <f t="shared" si="31"/>
        <v>32</v>
      </c>
      <c r="BX108" s="58">
        <f t="shared" si="32"/>
        <v>0</v>
      </c>
      <c r="BY108" s="26"/>
      <c r="BZ108" s="21"/>
      <c r="CA108" s="51" t="s">
        <v>472</v>
      </c>
      <c r="CB108" s="50" t="b">
        <f t="shared" si="34"/>
        <v>1</v>
      </c>
      <c r="CC108" s="52" t="s">
        <v>472</v>
      </c>
      <c r="CD108" s="19" t="s">
        <v>980</v>
      </c>
      <c r="CE108" s="19" t="s">
        <v>886</v>
      </c>
      <c r="CF108" s="19" t="s">
        <v>887</v>
      </c>
      <c r="CG108" s="19" t="s">
        <v>908</v>
      </c>
      <c r="CH108" s="19" t="s">
        <v>909</v>
      </c>
      <c r="CI108" s="19" t="s">
        <v>898</v>
      </c>
      <c r="CJ108" s="19" t="s">
        <v>899</v>
      </c>
      <c r="CK108" s="19" t="s">
        <v>875</v>
      </c>
      <c r="CL108" s="19" t="s">
        <v>876</v>
      </c>
      <c r="CM108" s="19" t="s">
        <v>981</v>
      </c>
      <c r="CN108" s="19" t="s">
        <v>982</v>
      </c>
      <c r="CO108" s="19" t="s">
        <v>918</v>
      </c>
      <c r="CP108" s="19" t="s">
        <v>919</v>
      </c>
      <c r="CQ108" s="19"/>
      <c r="CR108" s="19"/>
      <c r="CS108" s="19" t="s">
        <v>904</v>
      </c>
      <c r="CT108" s="19" t="s">
        <v>905</v>
      </c>
      <c r="CU108" s="19" t="s">
        <v>910</v>
      </c>
      <c r="CV108" s="19" t="s">
        <v>911</v>
      </c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</row>
    <row r="109" spans="1:110" x14ac:dyDescent="0.25">
      <c r="A109" s="19" t="s">
        <v>228</v>
      </c>
      <c r="B109" s="19" t="s">
        <v>80</v>
      </c>
      <c r="C109" s="19" t="str">
        <f t="shared" ref="C109:C145" si="46">D109&amp;B109</f>
        <v>95159572India</v>
      </c>
      <c r="D109" s="19">
        <v>95159572</v>
      </c>
      <c r="E109" s="19" t="s">
        <v>442</v>
      </c>
      <c r="F109" s="19" t="s">
        <v>261</v>
      </c>
      <c r="G109" s="20" t="s">
        <v>442</v>
      </c>
      <c r="H109" s="19"/>
      <c r="I109" s="19" t="s">
        <v>230</v>
      </c>
      <c r="J109" s="19" t="s">
        <v>243</v>
      </c>
      <c r="K109" s="19" t="s">
        <v>274</v>
      </c>
      <c r="L109" s="19" t="s">
        <v>233</v>
      </c>
      <c r="M109" s="19" t="s">
        <v>268</v>
      </c>
      <c r="N109" s="19" t="s">
        <v>247</v>
      </c>
      <c r="O109" s="19" t="s">
        <v>275</v>
      </c>
      <c r="P109" s="23" t="s">
        <v>237</v>
      </c>
      <c r="Q109" s="19" t="s">
        <v>276</v>
      </c>
      <c r="R109" s="19">
        <v>5600</v>
      </c>
      <c r="S109" s="19" t="s">
        <v>272</v>
      </c>
      <c r="T109" s="19" t="s">
        <v>263</v>
      </c>
      <c r="U109" s="20" t="s">
        <v>263</v>
      </c>
      <c r="V109" s="19" t="s">
        <v>1608</v>
      </c>
      <c r="W109" s="19" t="s">
        <v>219</v>
      </c>
      <c r="X109" s="35">
        <v>17</v>
      </c>
      <c r="Y109" s="35">
        <v>4</v>
      </c>
      <c r="Z109" s="32"/>
      <c r="AA109" s="22"/>
      <c r="AB109" s="22"/>
      <c r="AC109" s="22">
        <v>8</v>
      </c>
      <c r="AD109" s="22">
        <v>2</v>
      </c>
      <c r="AE109" s="61">
        <f t="shared" si="42"/>
        <v>10</v>
      </c>
      <c r="AF109" s="22"/>
      <c r="AG109" s="40">
        <f t="shared" si="43"/>
        <v>10</v>
      </c>
      <c r="AH109" s="24"/>
      <c r="AI109" s="24"/>
      <c r="AJ109" s="24"/>
      <c r="AK109" s="24"/>
      <c r="AL109" s="23">
        <f t="shared" si="45"/>
        <v>10</v>
      </c>
      <c r="AM109" s="25"/>
      <c r="AN109" s="25"/>
      <c r="AO109" s="25">
        <v>8</v>
      </c>
      <c r="AP109" s="25">
        <v>2</v>
      </c>
      <c r="AQ109" s="80">
        <f t="shared" si="38"/>
        <v>10</v>
      </c>
      <c r="AR109" s="13"/>
      <c r="AS109" s="21"/>
      <c r="AT109" s="21"/>
      <c r="AU109" s="21"/>
      <c r="AV109" s="77"/>
      <c r="AW109" s="21"/>
      <c r="AX109" s="21"/>
      <c r="AY109" s="21"/>
      <c r="AZ109" s="21"/>
      <c r="BA109" s="21"/>
      <c r="BB109" s="21"/>
      <c r="BC109" s="77"/>
      <c r="BD109" s="21"/>
      <c r="BE109" s="21"/>
      <c r="BF109" s="21"/>
      <c r="BG109" s="21"/>
      <c r="BH109" s="21"/>
      <c r="BI109" s="21"/>
      <c r="BJ109" s="77"/>
      <c r="BK109" s="21">
        <v>4</v>
      </c>
      <c r="BL109" s="21">
        <v>4</v>
      </c>
      <c r="BM109" s="21"/>
      <c r="BN109" s="21"/>
      <c r="BO109" s="21">
        <v>2</v>
      </c>
      <c r="BP109" s="21"/>
      <c r="BQ109" s="77"/>
      <c r="BR109" s="21"/>
      <c r="BS109" s="21"/>
      <c r="BT109" s="21"/>
      <c r="BU109" s="21"/>
      <c r="BV109" s="21"/>
      <c r="BW109" s="79">
        <f t="shared" si="31"/>
        <v>10</v>
      </c>
      <c r="BX109" s="58">
        <f t="shared" si="32"/>
        <v>0</v>
      </c>
      <c r="BY109" s="26"/>
      <c r="BZ109" s="21"/>
      <c r="CA109" s="51" t="s">
        <v>442</v>
      </c>
      <c r="CB109" s="50" t="b">
        <f t="shared" ref="CB109:CB145" si="47">CC109=CA109</f>
        <v>1</v>
      </c>
      <c r="CC109" s="52" t="s">
        <v>442</v>
      </c>
      <c r="CD109" s="19" t="s">
        <v>970</v>
      </c>
      <c r="CE109" s="19" t="s">
        <v>886</v>
      </c>
      <c r="CF109" s="19" t="s">
        <v>887</v>
      </c>
      <c r="CG109" s="19" t="s">
        <v>896</v>
      </c>
      <c r="CH109" s="19" t="s">
        <v>897</v>
      </c>
      <c r="CI109" s="19" t="s">
        <v>898</v>
      </c>
      <c r="CJ109" s="19" t="s">
        <v>899</v>
      </c>
      <c r="CK109" s="19" t="s">
        <v>875</v>
      </c>
      <c r="CL109" s="19" t="s">
        <v>876</v>
      </c>
      <c r="CM109" s="19" t="s">
        <v>952</v>
      </c>
      <c r="CN109" s="19" t="s">
        <v>953</v>
      </c>
      <c r="CO109" s="19" t="s">
        <v>902</v>
      </c>
      <c r="CP109" s="19" t="s">
        <v>903</v>
      </c>
      <c r="CQ109" s="19"/>
      <c r="CR109" s="19"/>
      <c r="CS109" s="19" t="s">
        <v>904</v>
      </c>
      <c r="CT109" s="19" t="s">
        <v>905</v>
      </c>
      <c r="CU109" s="19" t="s">
        <v>906</v>
      </c>
      <c r="CV109" s="19" t="s">
        <v>907</v>
      </c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</row>
    <row r="110" spans="1:110" x14ac:dyDescent="0.25">
      <c r="A110" s="19" t="s">
        <v>228</v>
      </c>
      <c r="B110" s="19" t="s">
        <v>80</v>
      </c>
      <c r="C110" s="19" t="str">
        <f t="shared" si="46"/>
        <v>95159061India</v>
      </c>
      <c r="D110" s="19">
        <v>95159061</v>
      </c>
      <c r="E110" s="19" t="s">
        <v>489</v>
      </c>
      <c r="F110" s="19" t="s">
        <v>261</v>
      </c>
      <c r="G110" s="20" t="s">
        <v>489</v>
      </c>
      <c r="H110" s="19"/>
      <c r="I110" s="19" t="s">
        <v>230</v>
      </c>
      <c r="J110" s="19" t="s">
        <v>243</v>
      </c>
      <c r="K110" s="19" t="s">
        <v>274</v>
      </c>
      <c r="L110" s="19" t="s">
        <v>233</v>
      </c>
      <c r="M110" s="19" t="s">
        <v>268</v>
      </c>
      <c r="N110" s="19" t="s">
        <v>247</v>
      </c>
      <c r="O110" s="19" t="s">
        <v>275</v>
      </c>
      <c r="P110" s="23" t="s">
        <v>237</v>
      </c>
      <c r="Q110" s="19" t="s">
        <v>276</v>
      </c>
      <c r="R110" s="19">
        <v>5600</v>
      </c>
      <c r="S110" s="19" t="s">
        <v>272</v>
      </c>
      <c r="T110" s="19" t="s">
        <v>263</v>
      </c>
      <c r="U110" s="20" t="s">
        <v>263</v>
      </c>
      <c r="V110" s="19" t="s">
        <v>215</v>
      </c>
      <c r="W110" s="19" t="s">
        <v>219</v>
      </c>
      <c r="X110" s="35"/>
      <c r="Y110" s="35"/>
      <c r="Z110" s="32"/>
      <c r="AA110" s="22">
        <v>2</v>
      </c>
      <c r="AB110" s="22"/>
      <c r="AC110" s="22"/>
      <c r="AD110" s="22"/>
      <c r="AE110" s="61">
        <f t="shared" si="42"/>
        <v>2</v>
      </c>
      <c r="AF110" s="22"/>
      <c r="AG110" s="40">
        <f t="shared" si="43"/>
        <v>2</v>
      </c>
      <c r="AH110" s="24"/>
      <c r="AI110" s="24"/>
      <c r="AJ110" s="24"/>
      <c r="AK110" s="24"/>
      <c r="AL110" s="23">
        <f t="shared" si="45"/>
        <v>2</v>
      </c>
      <c r="AM110" s="25">
        <v>2</v>
      </c>
      <c r="AN110" s="25"/>
      <c r="AO110" s="25"/>
      <c r="AP110" s="25"/>
      <c r="AQ110" s="80">
        <f t="shared" si="38"/>
        <v>2</v>
      </c>
      <c r="AR110" s="13"/>
      <c r="AS110" s="21"/>
      <c r="AT110" s="21"/>
      <c r="AU110" s="21"/>
      <c r="AV110" s="77"/>
      <c r="AW110" s="21"/>
      <c r="AX110" s="21"/>
      <c r="AY110" s="21">
        <v>2</v>
      </c>
      <c r="AZ110" s="21"/>
      <c r="BA110" s="21"/>
      <c r="BB110" s="21"/>
      <c r="BC110" s="77"/>
      <c r="BD110" s="21"/>
      <c r="BE110" s="21"/>
      <c r="BF110" s="21"/>
      <c r="BG110" s="21"/>
      <c r="BH110" s="21"/>
      <c r="BI110" s="21"/>
      <c r="BJ110" s="77"/>
      <c r="BK110" s="21"/>
      <c r="BL110" s="21"/>
      <c r="BM110" s="21"/>
      <c r="BN110" s="21"/>
      <c r="BO110" s="21"/>
      <c r="BP110" s="21"/>
      <c r="BQ110" s="77"/>
      <c r="BR110" s="21"/>
      <c r="BS110" s="21"/>
      <c r="BT110" s="21"/>
      <c r="BU110" s="21"/>
      <c r="BV110" s="21"/>
      <c r="BW110" s="79">
        <f t="shared" si="31"/>
        <v>2</v>
      </c>
      <c r="BX110" s="58">
        <f t="shared" si="32"/>
        <v>0</v>
      </c>
      <c r="BY110" s="26"/>
      <c r="BZ110" s="21"/>
      <c r="CA110" s="51" t="s">
        <v>489</v>
      </c>
      <c r="CB110" s="50" t="b">
        <f t="shared" si="47"/>
        <v>1</v>
      </c>
      <c r="CC110" s="52" t="s">
        <v>489</v>
      </c>
      <c r="CD110" s="19" t="s">
        <v>984</v>
      </c>
      <c r="CE110" s="19" t="s">
        <v>886</v>
      </c>
      <c r="CF110" s="19" t="s">
        <v>887</v>
      </c>
      <c r="CG110" s="19" t="s">
        <v>896</v>
      </c>
      <c r="CH110" s="19" t="s">
        <v>897</v>
      </c>
      <c r="CI110" s="19" t="s">
        <v>898</v>
      </c>
      <c r="CJ110" s="19" t="s">
        <v>899</v>
      </c>
      <c r="CK110" s="19" t="s">
        <v>875</v>
      </c>
      <c r="CL110" s="19" t="s">
        <v>876</v>
      </c>
      <c r="CM110" s="19" t="s">
        <v>985</v>
      </c>
      <c r="CN110" s="19" t="s">
        <v>986</v>
      </c>
      <c r="CO110" s="19" t="s">
        <v>987</v>
      </c>
      <c r="CP110" s="19" t="s">
        <v>988</v>
      </c>
      <c r="CQ110" s="19"/>
      <c r="CR110" s="19"/>
      <c r="CS110" s="19" t="s">
        <v>904</v>
      </c>
      <c r="CT110" s="19" t="s">
        <v>905</v>
      </c>
      <c r="CU110" s="19" t="s">
        <v>906</v>
      </c>
      <c r="CV110" s="19" t="s">
        <v>907</v>
      </c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</row>
    <row r="111" spans="1:110" x14ac:dyDescent="0.25">
      <c r="A111" s="19" t="s">
        <v>228</v>
      </c>
      <c r="B111" s="19" t="s">
        <v>80</v>
      </c>
      <c r="C111" s="19" t="str">
        <f t="shared" si="46"/>
        <v>95159054India</v>
      </c>
      <c r="D111" s="19">
        <v>95159054</v>
      </c>
      <c r="E111" s="19" t="s">
        <v>472</v>
      </c>
      <c r="F111" s="19" t="s">
        <v>261</v>
      </c>
      <c r="G111" s="20" t="s">
        <v>472</v>
      </c>
      <c r="H111" s="19"/>
      <c r="I111" s="19" t="s">
        <v>230</v>
      </c>
      <c r="J111" s="19" t="s">
        <v>243</v>
      </c>
      <c r="K111" s="19" t="s">
        <v>274</v>
      </c>
      <c r="L111" s="19" t="s">
        <v>282</v>
      </c>
      <c r="M111" s="19" t="s">
        <v>268</v>
      </c>
      <c r="N111" s="19" t="s">
        <v>247</v>
      </c>
      <c r="O111" s="19" t="s">
        <v>275</v>
      </c>
      <c r="P111" s="23" t="s">
        <v>237</v>
      </c>
      <c r="Q111" s="19" t="s">
        <v>276</v>
      </c>
      <c r="R111" s="19">
        <v>5600</v>
      </c>
      <c r="S111" s="19" t="s">
        <v>272</v>
      </c>
      <c r="T111" s="19" t="s">
        <v>263</v>
      </c>
      <c r="U111" s="20" t="s">
        <v>263</v>
      </c>
      <c r="V111" s="19" t="s">
        <v>1526</v>
      </c>
      <c r="W111" s="19" t="s">
        <v>219</v>
      </c>
      <c r="X111" s="35">
        <v>8</v>
      </c>
      <c r="Y111" s="35">
        <v>7</v>
      </c>
      <c r="Z111" s="32"/>
      <c r="AA111" s="22">
        <v>5</v>
      </c>
      <c r="AB111" s="22">
        <v>5</v>
      </c>
      <c r="AC111" s="22">
        <v>5</v>
      </c>
      <c r="AD111" s="22"/>
      <c r="AE111" s="61">
        <f t="shared" si="42"/>
        <v>15</v>
      </c>
      <c r="AF111" s="22"/>
      <c r="AG111" s="40">
        <f t="shared" si="43"/>
        <v>15</v>
      </c>
      <c r="AH111" s="24"/>
      <c r="AI111" s="24"/>
      <c r="AJ111" s="24"/>
      <c r="AK111" s="24">
        <v>8</v>
      </c>
      <c r="AL111" s="23">
        <f t="shared" si="45"/>
        <v>23</v>
      </c>
      <c r="AM111" s="25">
        <v>5</v>
      </c>
      <c r="AN111" s="25">
        <v>5</v>
      </c>
      <c r="AO111" s="25">
        <v>5</v>
      </c>
      <c r="AP111" s="25"/>
      <c r="AQ111" s="80">
        <f t="shared" si="38"/>
        <v>15</v>
      </c>
      <c r="AR111" s="13"/>
      <c r="AS111" s="21"/>
      <c r="AT111" s="21"/>
      <c r="AU111" s="21"/>
      <c r="AV111" s="77"/>
      <c r="AW111" s="21"/>
      <c r="AX111" s="21">
        <v>2</v>
      </c>
      <c r="AY111" s="21">
        <v>3</v>
      </c>
      <c r="AZ111" s="21"/>
      <c r="BA111" s="21"/>
      <c r="BB111" s="21"/>
      <c r="BC111" s="77"/>
      <c r="BD111" s="21"/>
      <c r="BE111" s="21"/>
      <c r="BF111" s="21"/>
      <c r="BG111" s="21">
        <v>5</v>
      </c>
      <c r="BH111" s="21"/>
      <c r="BI111" s="21"/>
      <c r="BJ111" s="77"/>
      <c r="BK111" s="21"/>
      <c r="BL111" s="21"/>
      <c r="BM111" s="21"/>
      <c r="BN111" s="21"/>
      <c r="BO111" s="21">
        <v>2</v>
      </c>
      <c r="BP111" s="21">
        <v>3</v>
      </c>
      <c r="BQ111" s="77"/>
      <c r="BR111" s="21"/>
      <c r="BS111" s="21"/>
      <c r="BT111" s="21"/>
      <c r="BU111" s="21"/>
      <c r="BV111" s="21"/>
      <c r="BW111" s="79">
        <f t="shared" si="31"/>
        <v>15</v>
      </c>
      <c r="BX111" s="58">
        <f t="shared" si="32"/>
        <v>0</v>
      </c>
      <c r="BY111" s="26"/>
      <c r="BZ111" s="21"/>
      <c r="CA111" s="51" t="s">
        <v>472</v>
      </c>
      <c r="CB111" s="50" t="b">
        <f t="shared" si="47"/>
        <v>1</v>
      </c>
      <c r="CC111" s="52" t="s">
        <v>472</v>
      </c>
      <c r="CD111" s="19" t="s">
        <v>980</v>
      </c>
      <c r="CE111" s="19" t="s">
        <v>886</v>
      </c>
      <c r="CF111" s="19" t="s">
        <v>887</v>
      </c>
      <c r="CG111" s="19" t="s">
        <v>908</v>
      </c>
      <c r="CH111" s="19" t="s">
        <v>909</v>
      </c>
      <c r="CI111" s="19" t="s">
        <v>898</v>
      </c>
      <c r="CJ111" s="19" t="s">
        <v>899</v>
      </c>
      <c r="CK111" s="19" t="s">
        <v>875</v>
      </c>
      <c r="CL111" s="19" t="s">
        <v>876</v>
      </c>
      <c r="CM111" s="19" t="s">
        <v>981</v>
      </c>
      <c r="CN111" s="19" t="s">
        <v>982</v>
      </c>
      <c r="CO111" s="19" t="s">
        <v>918</v>
      </c>
      <c r="CP111" s="19" t="s">
        <v>919</v>
      </c>
      <c r="CQ111" s="19"/>
      <c r="CR111" s="19"/>
      <c r="CS111" s="19" t="s">
        <v>904</v>
      </c>
      <c r="CT111" s="19" t="s">
        <v>905</v>
      </c>
      <c r="CU111" s="19" t="s">
        <v>910</v>
      </c>
      <c r="CV111" s="19" t="s">
        <v>911</v>
      </c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</row>
    <row r="112" spans="1:110" x14ac:dyDescent="0.25">
      <c r="A112" s="19" t="s">
        <v>228</v>
      </c>
      <c r="B112" s="19" t="s">
        <v>80</v>
      </c>
      <c r="C112" s="19" t="str">
        <f t="shared" si="46"/>
        <v>95158945India</v>
      </c>
      <c r="D112" s="19">
        <v>95158945</v>
      </c>
      <c r="E112" s="19" t="s">
        <v>444</v>
      </c>
      <c r="F112" s="19" t="s">
        <v>261</v>
      </c>
      <c r="G112" s="20" t="s">
        <v>444</v>
      </c>
      <c r="H112" s="19"/>
      <c r="I112" s="19" t="s">
        <v>230</v>
      </c>
      <c r="J112" s="19" t="s">
        <v>334</v>
      </c>
      <c r="K112" s="19" t="s">
        <v>274</v>
      </c>
      <c r="L112" s="19" t="s">
        <v>233</v>
      </c>
      <c r="M112" s="19" t="s">
        <v>268</v>
      </c>
      <c r="N112" s="19" t="s">
        <v>247</v>
      </c>
      <c r="O112" s="19" t="s">
        <v>275</v>
      </c>
      <c r="P112" s="23" t="s">
        <v>237</v>
      </c>
      <c r="Q112" s="19" t="s">
        <v>441</v>
      </c>
      <c r="R112" s="19">
        <v>5700</v>
      </c>
      <c r="S112" s="19" t="s">
        <v>272</v>
      </c>
      <c r="T112" s="19" t="s">
        <v>263</v>
      </c>
      <c r="U112" s="20" t="s">
        <v>263</v>
      </c>
      <c r="V112" s="19" t="s">
        <v>173</v>
      </c>
      <c r="W112" s="19" t="s">
        <v>219</v>
      </c>
      <c r="X112" s="35">
        <v>6</v>
      </c>
      <c r="Y112" s="35">
        <v>6</v>
      </c>
      <c r="Z112" s="32"/>
      <c r="AA112" s="22"/>
      <c r="AB112" s="22">
        <v>3</v>
      </c>
      <c r="AC112" s="22">
        <v>1</v>
      </c>
      <c r="AD112" s="22">
        <v>4</v>
      </c>
      <c r="AE112" s="61">
        <f t="shared" ref="AE112:AE135" si="48">SUM(AA112:AD112)</f>
        <v>8</v>
      </c>
      <c r="AF112" s="22"/>
      <c r="AG112" s="40">
        <f t="shared" ref="AG112:AG135" si="49">AF112+AE112</f>
        <v>8</v>
      </c>
      <c r="AH112" s="24"/>
      <c r="AI112" s="24"/>
      <c r="AJ112" s="24"/>
      <c r="AK112" s="24">
        <v>6</v>
      </c>
      <c r="AL112" s="23">
        <f t="shared" ref="AL112:AL135" si="50">AG112-AH112-AI112-AJ112+AK112</f>
        <v>14</v>
      </c>
      <c r="AM112" s="25"/>
      <c r="AN112" s="25">
        <v>3</v>
      </c>
      <c r="AO112" s="25">
        <v>5</v>
      </c>
      <c r="AP112" s="25">
        <v>6</v>
      </c>
      <c r="AQ112" s="25">
        <f t="shared" ref="AQ112:AQ145" si="51">SUM(AM112:AP112)</f>
        <v>14</v>
      </c>
      <c r="AR112" s="13"/>
      <c r="AS112" s="21"/>
      <c r="AT112" s="21"/>
      <c r="AU112" s="21"/>
      <c r="AV112" s="77"/>
      <c r="AW112" s="21"/>
      <c r="AX112" s="21"/>
      <c r="AY112" s="21"/>
      <c r="AZ112" s="21"/>
      <c r="BA112" s="21">
        <v>1</v>
      </c>
      <c r="BB112" s="21">
        <v>2</v>
      </c>
      <c r="BC112" s="77"/>
      <c r="BD112" s="21"/>
      <c r="BE112" s="21"/>
      <c r="BF112" s="21"/>
      <c r="BG112" s="21"/>
      <c r="BH112" s="21">
        <v>2</v>
      </c>
      <c r="BI112" s="21">
        <v>3</v>
      </c>
      <c r="BJ112" s="77"/>
      <c r="BK112" s="21"/>
      <c r="BL112" s="21"/>
      <c r="BM112" s="21"/>
      <c r="BN112" s="21"/>
      <c r="BO112" s="21"/>
      <c r="BP112" s="21"/>
      <c r="BQ112" s="77"/>
      <c r="BR112" s="21"/>
      <c r="BS112" s="21"/>
      <c r="BT112" s="21"/>
      <c r="BU112" s="21"/>
      <c r="BV112" s="21"/>
      <c r="BW112" s="79">
        <f t="shared" si="31"/>
        <v>8</v>
      </c>
      <c r="BX112" s="58">
        <f t="shared" si="32"/>
        <v>6</v>
      </c>
      <c r="BY112" s="26"/>
      <c r="BZ112" s="21"/>
      <c r="CA112" s="51" t="s">
        <v>444</v>
      </c>
      <c r="CB112" s="50" t="b">
        <f t="shared" si="47"/>
        <v>1</v>
      </c>
      <c r="CC112" s="52" t="s">
        <v>444</v>
      </c>
      <c r="CD112" s="19" t="s">
        <v>990</v>
      </c>
      <c r="CE112" s="19" t="s">
        <v>921</v>
      </c>
      <c r="CF112" s="19" t="s">
        <v>922</v>
      </c>
      <c r="CG112" s="19" t="s">
        <v>936</v>
      </c>
      <c r="CH112" s="19" t="s">
        <v>937</v>
      </c>
      <c r="CI112" s="19" t="s">
        <v>925</v>
      </c>
      <c r="CJ112" s="19" t="s">
        <v>926</v>
      </c>
      <c r="CK112" s="19" t="s">
        <v>938</v>
      </c>
      <c r="CL112" s="19" t="s">
        <v>939</v>
      </c>
      <c r="CM112" s="19" t="s">
        <v>989</v>
      </c>
      <c r="CN112" s="19" t="s">
        <v>176</v>
      </c>
      <c r="CO112" s="19" t="s">
        <v>942</v>
      </c>
      <c r="CP112" s="19" t="s">
        <v>943</v>
      </c>
      <c r="CQ112" s="19"/>
      <c r="CR112" s="19"/>
      <c r="CS112" s="19" t="s">
        <v>538</v>
      </c>
      <c r="CT112" s="19" t="s">
        <v>539</v>
      </c>
      <c r="CU112" s="19" t="s">
        <v>944</v>
      </c>
      <c r="CV112" s="19" t="s">
        <v>945</v>
      </c>
      <c r="CW112" s="19"/>
      <c r="CX112" s="19"/>
      <c r="CY112" s="19"/>
      <c r="CZ112" s="19"/>
      <c r="DA112" s="19"/>
      <c r="DB112" s="19"/>
      <c r="DC112" s="19"/>
      <c r="DD112" s="19"/>
      <c r="DE112" s="19"/>
      <c r="DF112" s="19"/>
    </row>
    <row r="113" spans="1:110" x14ac:dyDescent="0.25">
      <c r="A113" s="19" t="s">
        <v>228</v>
      </c>
      <c r="B113" s="19" t="s">
        <v>80</v>
      </c>
      <c r="C113" s="19" t="str">
        <f t="shared" si="46"/>
        <v>95158946India</v>
      </c>
      <c r="D113" s="19">
        <v>95158946</v>
      </c>
      <c r="E113" s="19" t="s">
        <v>449</v>
      </c>
      <c r="F113" s="19" t="s">
        <v>261</v>
      </c>
      <c r="G113" s="20" t="s">
        <v>449</v>
      </c>
      <c r="H113" s="19"/>
      <c r="I113" s="19" t="s">
        <v>230</v>
      </c>
      <c r="J113" s="19" t="s">
        <v>334</v>
      </c>
      <c r="K113" s="19" t="s">
        <v>274</v>
      </c>
      <c r="L113" s="19" t="s">
        <v>233</v>
      </c>
      <c r="M113" s="19" t="s">
        <v>268</v>
      </c>
      <c r="N113" s="19" t="s">
        <v>247</v>
      </c>
      <c r="O113" s="19" t="s">
        <v>275</v>
      </c>
      <c r="P113" s="23" t="s">
        <v>237</v>
      </c>
      <c r="Q113" s="19" t="s">
        <v>441</v>
      </c>
      <c r="R113" s="19">
        <v>5700</v>
      </c>
      <c r="S113" s="19" t="s">
        <v>272</v>
      </c>
      <c r="T113" s="19" t="s">
        <v>263</v>
      </c>
      <c r="U113" s="20" t="s">
        <v>263</v>
      </c>
      <c r="V113" s="19" t="s">
        <v>176</v>
      </c>
      <c r="W113" s="19" t="s">
        <v>222</v>
      </c>
      <c r="X113" s="35">
        <v>7</v>
      </c>
      <c r="Y113" s="35">
        <v>7</v>
      </c>
      <c r="Z113" s="32"/>
      <c r="AA113" s="22">
        <v>2</v>
      </c>
      <c r="AB113" s="22">
        <v>3</v>
      </c>
      <c r="AC113" s="22">
        <v>1</v>
      </c>
      <c r="AD113" s="22">
        <v>2</v>
      </c>
      <c r="AE113" s="61">
        <f t="shared" si="48"/>
        <v>8</v>
      </c>
      <c r="AF113" s="22"/>
      <c r="AG113" s="40">
        <f t="shared" si="49"/>
        <v>8</v>
      </c>
      <c r="AH113" s="24"/>
      <c r="AI113" s="24"/>
      <c r="AJ113" s="24"/>
      <c r="AK113" s="24">
        <v>7</v>
      </c>
      <c r="AL113" s="23">
        <f t="shared" si="50"/>
        <v>15</v>
      </c>
      <c r="AM113" s="25">
        <v>2</v>
      </c>
      <c r="AN113" s="25">
        <v>3</v>
      </c>
      <c r="AO113" s="25">
        <v>5</v>
      </c>
      <c r="AP113" s="25">
        <v>5</v>
      </c>
      <c r="AQ113" s="25">
        <f t="shared" si="51"/>
        <v>15</v>
      </c>
      <c r="AR113" s="13"/>
      <c r="AS113" s="21"/>
      <c r="AT113" s="21"/>
      <c r="AU113" s="21">
        <v>2</v>
      </c>
      <c r="AV113" s="77"/>
      <c r="AW113" s="21"/>
      <c r="AX113" s="21"/>
      <c r="AY113" s="21"/>
      <c r="AZ113" s="21"/>
      <c r="BA113" s="21">
        <v>1</v>
      </c>
      <c r="BB113" s="21">
        <v>2</v>
      </c>
      <c r="BC113" s="77"/>
      <c r="BD113" s="21"/>
      <c r="BE113" s="21"/>
      <c r="BF113" s="21"/>
      <c r="BG113" s="21"/>
      <c r="BH113" s="21">
        <v>1</v>
      </c>
      <c r="BI113" s="21">
        <v>2</v>
      </c>
      <c r="BJ113" s="77"/>
      <c r="BK113" s="21"/>
      <c r="BL113" s="21"/>
      <c r="BM113" s="21"/>
      <c r="BN113" s="21"/>
      <c r="BO113" s="21"/>
      <c r="BP113" s="21"/>
      <c r="BQ113" s="77"/>
      <c r="BR113" s="21"/>
      <c r="BS113" s="21"/>
      <c r="BT113" s="21"/>
      <c r="BU113" s="21"/>
      <c r="BV113" s="21"/>
      <c r="BW113" s="79">
        <f t="shared" si="31"/>
        <v>8</v>
      </c>
      <c r="BX113" s="58">
        <f t="shared" si="32"/>
        <v>7</v>
      </c>
      <c r="BY113" s="26"/>
      <c r="BZ113" s="21"/>
      <c r="CA113" s="51" t="s">
        <v>449</v>
      </c>
      <c r="CB113" s="50" t="b">
        <f t="shared" si="47"/>
        <v>1</v>
      </c>
      <c r="CC113" s="52" t="s">
        <v>449</v>
      </c>
      <c r="CD113" s="19" t="s">
        <v>991</v>
      </c>
      <c r="CE113" s="19" t="s">
        <v>921</v>
      </c>
      <c r="CF113" s="19" t="s">
        <v>922</v>
      </c>
      <c r="CG113" s="19" t="s">
        <v>923</v>
      </c>
      <c r="CH113" s="19" t="s">
        <v>924</v>
      </c>
      <c r="CI113" s="19" t="s">
        <v>925</v>
      </c>
      <c r="CJ113" s="19" t="s">
        <v>926</v>
      </c>
      <c r="CK113" s="19" t="s">
        <v>927</v>
      </c>
      <c r="CL113" s="19" t="s">
        <v>928</v>
      </c>
      <c r="CM113" s="19" t="s">
        <v>989</v>
      </c>
      <c r="CN113" s="19" t="s">
        <v>176</v>
      </c>
      <c r="CO113" s="19" t="s">
        <v>992</v>
      </c>
      <c r="CP113" s="19" t="s">
        <v>993</v>
      </c>
      <c r="CQ113" s="19"/>
      <c r="CR113" s="19"/>
      <c r="CS113" s="19" t="s">
        <v>538</v>
      </c>
      <c r="CT113" s="19" t="s">
        <v>539</v>
      </c>
      <c r="CU113" s="19" t="s">
        <v>933</v>
      </c>
      <c r="CV113" s="19" t="s">
        <v>934</v>
      </c>
      <c r="CW113" s="19"/>
      <c r="CX113" s="19"/>
      <c r="CY113" s="19"/>
      <c r="CZ113" s="19"/>
      <c r="DA113" s="19"/>
      <c r="DB113" s="19"/>
      <c r="DC113" s="19"/>
      <c r="DD113" s="19"/>
      <c r="DE113" s="19"/>
      <c r="DF113" s="19"/>
    </row>
    <row r="114" spans="1:110" x14ac:dyDescent="0.25">
      <c r="A114" s="19" t="s">
        <v>228</v>
      </c>
      <c r="B114" s="19" t="s">
        <v>80</v>
      </c>
      <c r="C114" s="19" t="str">
        <f t="shared" si="46"/>
        <v>95158953India</v>
      </c>
      <c r="D114" s="19">
        <v>95158953</v>
      </c>
      <c r="E114" s="19" t="s">
        <v>1602</v>
      </c>
      <c r="F114" s="19" t="s">
        <v>261</v>
      </c>
      <c r="G114" s="20" t="s">
        <v>1602</v>
      </c>
      <c r="H114" s="19"/>
      <c r="I114" s="19" t="s">
        <v>230</v>
      </c>
      <c r="J114" s="19" t="s">
        <v>334</v>
      </c>
      <c r="K114" s="19" t="s">
        <v>274</v>
      </c>
      <c r="L114" s="19" t="s">
        <v>233</v>
      </c>
      <c r="M114" s="19" t="s">
        <v>268</v>
      </c>
      <c r="N114" s="19" t="s">
        <v>247</v>
      </c>
      <c r="O114" s="19" t="s">
        <v>275</v>
      </c>
      <c r="P114" s="23" t="s">
        <v>237</v>
      </c>
      <c r="Q114" s="19" t="s">
        <v>441</v>
      </c>
      <c r="R114" s="19">
        <v>5700</v>
      </c>
      <c r="S114" s="19" t="s">
        <v>272</v>
      </c>
      <c r="T114" s="19" t="s">
        <v>263</v>
      </c>
      <c r="U114" s="20" t="s">
        <v>263</v>
      </c>
      <c r="V114" s="19" t="s">
        <v>1554</v>
      </c>
      <c r="W114" s="19" t="s">
        <v>219</v>
      </c>
      <c r="X114" s="35"/>
      <c r="Y114" s="35"/>
      <c r="Z114" s="32"/>
      <c r="AA114" s="22"/>
      <c r="AB114" s="22">
        <v>2</v>
      </c>
      <c r="AC114" s="22"/>
      <c r="AD114" s="22"/>
      <c r="AE114" s="61">
        <f t="shared" si="48"/>
        <v>2</v>
      </c>
      <c r="AF114" s="22"/>
      <c r="AG114" s="40">
        <f t="shared" si="49"/>
        <v>2</v>
      </c>
      <c r="AH114" s="24"/>
      <c r="AI114" s="24"/>
      <c r="AJ114" s="24"/>
      <c r="AK114" s="24"/>
      <c r="AL114" s="23">
        <f t="shared" si="50"/>
        <v>2</v>
      </c>
      <c r="AM114" s="25"/>
      <c r="AN114" s="25">
        <v>2</v>
      </c>
      <c r="AO114" s="25"/>
      <c r="AP114" s="25"/>
      <c r="AQ114" s="25">
        <f t="shared" si="51"/>
        <v>2</v>
      </c>
      <c r="AR114" s="13"/>
      <c r="AS114" s="21"/>
      <c r="AT114" s="21"/>
      <c r="AU114" s="21"/>
      <c r="AV114" s="77"/>
      <c r="AW114" s="21"/>
      <c r="AX114" s="21"/>
      <c r="AY114" s="21"/>
      <c r="AZ114" s="21"/>
      <c r="BA114" s="21">
        <v>2</v>
      </c>
      <c r="BB114" s="21"/>
      <c r="BC114" s="77"/>
      <c r="BD114" s="21"/>
      <c r="BE114" s="21"/>
      <c r="BF114" s="21"/>
      <c r="BG114" s="21"/>
      <c r="BH114" s="21"/>
      <c r="BI114" s="21"/>
      <c r="BJ114" s="77"/>
      <c r="BK114" s="21"/>
      <c r="BL114" s="21"/>
      <c r="BM114" s="21"/>
      <c r="BN114" s="21"/>
      <c r="BO114" s="21"/>
      <c r="BP114" s="21"/>
      <c r="BQ114" s="77"/>
      <c r="BR114" s="21"/>
      <c r="BS114" s="21"/>
      <c r="BT114" s="21"/>
      <c r="BU114" s="21"/>
      <c r="BV114" s="21"/>
      <c r="BW114" s="79">
        <f t="shared" si="31"/>
        <v>2</v>
      </c>
      <c r="BX114" s="58">
        <f t="shared" si="32"/>
        <v>0</v>
      </c>
      <c r="BY114" s="26"/>
      <c r="BZ114" s="21"/>
      <c r="CA114" s="51" t="s">
        <v>1602</v>
      </c>
      <c r="CB114" s="50" t="b">
        <f t="shared" si="47"/>
        <v>1</v>
      </c>
      <c r="CC114" s="51" t="s">
        <v>1602</v>
      </c>
      <c r="CD114" s="19" t="s">
        <v>1659</v>
      </c>
      <c r="CE114" s="19" t="s">
        <v>921</v>
      </c>
      <c r="CF114" s="19" t="s">
        <v>922</v>
      </c>
      <c r="CG114" s="19" t="s">
        <v>923</v>
      </c>
      <c r="CH114" s="19" t="s">
        <v>924</v>
      </c>
      <c r="CI114" s="19" t="s">
        <v>925</v>
      </c>
      <c r="CJ114" s="19" t="s">
        <v>926</v>
      </c>
      <c r="CK114" s="19" t="s">
        <v>946</v>
      </c>
      <c r="CL114" s="19" t="s">
        <v>947</v>
      </c>
      <c r="CM114" s="19" t="s">
        <v>1660</v>
      </c>
      <c r="CN114" s="19" t="s">
        <v>1661</v>
      </c>
      <c r="CO114" s="19" t="s">
        <v>1662</v>
      </c>
      <c r="CP114" s="19" t="s">
        <v>1663</v>
      </c>
      <c r="CQ114" s="19"/>
      <c r="CR114" s="19"/>
      <c r="CS114" s="19" t="s">
        <v>538</v>
      </c>
      <c r="CT114" s="19" t="s">
        <v>539</v>
      </c>
      <c r="CU114" s="19" t="s">
        <v>933</v>
      </c>
      <c r="CV114" s="19" t="s">
        <v>934</v>
      </c>
      <c r="CW114" s="19"/>
      <c r="CX114" s="19"/>
      <c r="CY114" s="19"/>
      <c r="CZ114" s="19"/>
      <c r="DA114" s="19"/>
      <c r="DB114" s="19"/>
      <c r="DC114" s="19"/>
      <c r="DD114" s="19"/>
      <c r="DE114" s="19"/>
      <c r="DF114" s="19"/>
    </row>
    <row r="115" spans="1:110" x14ac:dyDescent="0.25">
      <c r="A115" s="19" t="s">
        <v>74</v>
      </c>
      <c r="B115" s="19" t="s">
        <v>79</v>
      </c>
      <c r="C115" s="19" t="str">
        <f t="shared" si="46"/>
        <v>95256801Indian Airforce (245)</v>
      </c>
      <c r="D115" s="19">
        <v>95256801</v>
      </c>
      <c r="E115" s="19" t="s">
        <v>265</v>
      </c>
      <c r="F115" s="19" t="s">
        <v>261</v>
      </c>
      <c r="G115" s="20" t="s">
        <v>265</v>
      </c>
      <c r="H115" s="19"/>
      <c r="I115" s="19" t="s">
        <v>230</v>
      </c>
      <c r="J115" s="19" t="s">
        <v>243</v>
      </c>
      <c r="K115" s="19" t="s">
        <v>266</v>
      </c>
      <c r="L115" s="19" t="s">
        <v>267</v>
      </c>
      <c r="M115" s="19" t="s">
        <v>268</v>
      </c>
      <c r="N115" s="19" t="s">
        <v>269</v>
      </c>
      <c r="O115" s="19" t="s">
        <v>270</v>
      </c>
      <c r="P115" s="23" t="s">
        <v>237</v>
      </c>
      <c r="Q115" s="19" t="s">
        <v>271</v>
      </c>
      <c r="R115" s="19">
        <v>5800</v>
      </c>
      <c r="S115" s="19" t="s">
        <v>272</v>
      </c>
      <c r="T115" s="19" t="s">
        <v>263</v>
      </c>
      <c r="U115" s="20" t="s">
        <v>263</v>
      </c>
      <c r="V115" s="19" t="s">
        <v>108</v>
      </c>
      <c r="W115" s="19" t="s">
        <v>219</v>
      </c>
      <c r="X115" s="35"/>
      <c r="Y115" s="35"/>
      <c r="Z115" s="32"/>
      <c r="AA115" s="22">
        <v>45</v>
      </c>
      <c r="AB115" s="22"/>
      <c r="AC115" s="22"/>
      <c r="AD115" s="22"/>
      <c r="AE115" s="61">
        <f t="shared" si="48"/>
        <v>45</v>
      </c>
      <c r="AF115" s="22"/>
      <c r="AG115" s="40">
        <f t="shared" si="49"/>
        <v>45</v>
      </c>
      <c r="AH115" s="24">
        <v>45</v>
      </c>
      <c r="AI115" s="24"/>
      <c r="AJ115" s="24"/>
      <c r="AK115" s="24"/>
      <c r="AL115" s="23">
        <f t="shared" si="50"/>
        <v>0</v>
      </c>
      <c r="AM115" s="25"/>
      <c r="AN115" s="25"/>
      <c r="AO115" s="25"/>
      <c r="AP115" s="25"/>
      <c r="AQ115" s="80">
        <f t="shared" si="51"/>
        <v>0</v>
      </c>
      <c r="AR115" s="13">
        <v>45</v>
      </c>
      <c r="AS115" s="83">
        <v>15</v>
      </c>
      <c r="AT115" s="83">
        <v>15</v>
      </c>
      <c r="AU115" s="83">
        <v>15</v>
      </c>
      <c r="AV115" s="77"/>
      <c r="AW115" s="21"/>
      <c r="AX115" s="21"/>
      <c r="AY115" s="21"/>
      <c r="AZ115" s="21"/>
      <c r="BA115" s="21"/>
      <c r="BB115" s="21"/>
      <c r="BC115" s="77"/>
      <c r="BD115" s="21"/>
      <c r="BE115" s="21"/>
      <c r="BF115" s="21"/>
      <c r="BG115" s="21"/>
      <c r="BH115" s="21"/>
      <c r="BI115" s="21"/>
      <c r="BJ115" s="77"/>
      <c r="BK115" s="21"/>
      <c r="BL115" s="21"/>
      <c r="BM115" s="21"/>
      <c r="BN115" s="21"/>
      <c r="BO115" s="21"/>
      <c r="BP115" s="21"/>
      <c r="BQ115" s="77"/>
      <c r="BR115" s="21"/>
      <c r="BS115" s="21"/>
      <c r="BT115" s="21"/>
      <c r="BU115" s="21"/>
      <c r="BV115" s="21"/>
      <c r="BW115" s="79">
        <f t="shared" si="31"/>
        <v>45</v>
      </c>
      <c r="BX115" s="58">
        <f t="shared" si="32"/>
        <v>-45</v>
      </c>
      <c r="BY115" s="26"/>
      <c r="BZ115" s="21"/>
      <c r="CA115" s="51" t="s">
        <v>265</v>
      </c>
      <c r="CB115" s="50" t="b">
        <f t="shared" si="47"/>
        <v>1</v>
      </c>
      <c r="CC115" s="51" t="s">
        <v>265</v>
      </c>
      <c r="CD115" s="19" t="s">
        <v>994</v>
      </c>
      <c r="CE115" s="19" t="s">
        <v>886</v>
      </c>
      <c r="CF115" s="19" t="s">
        <v>887</v>
      </c>
      <c r="CG115" s="19" t="s">
        <v>995</v>
      </c>
      <c r="CH115" s="19" t="s">
        <v>897</v>
      </c>
      <c r="CI115" s="19" t="s">
        <v>898</v>
      </c>
      <c r="CJ115" s="19" t="s">
        <v>899</v>
      </c>
      <c r="CK115" s="19" t="s">
        <v>875</v>
      </c>
      <c r="CL115" s="19" t="s">
        <v>876</v>
      </c>
      <c r="CM115" s="19" t="s">
        <v>996</v>
      </c>
      <c r="CN115" s="19" t="s">
        <v>997</v>
      </c>
      <c r="CO115" s="19" t="s">
        <v>998</v>
      </c>
      <c r="CP115" s="19" t="s">
        <v>999</v>
      </c>
      <c r="CQ115" s="19"/>
      <c r="CR115" s="19"/>
      <c r="CS115" s="19" t="s">
        <v>904</v>
      </c>
      <c r="CT115" s="19" t="s">
        <v>905</v>
      </c>
      <c r="CU115" s="19" t="s">
        <v>1000</v>
      </c>
      <c r="CV115" s="19" t="s">
        <v>1001</v>
      </c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</row>
    <row r="116" spans="1:110" x14ac:dyDescent="0.25">
      <c r="A116" s="19" t="s">
        <v>81</v>
      </c>
      <c r="B116" s="19" t="s">
        <v>83</v>
      </c>
      <c r="C116" s="19" t="str">
        <f t="shared" si="46"/>
        <v>80752516NEPAL</v>
      </c>
      <c r="D116" s="19">
        <v>80752516</v>
      </c>
      <c r="E116" s="19" t="s">
        <v>1593</v>
      </c>
      <c r="F116" s="19" t="s">
        <v>261</v>
      </c>
      <c r="G116" s="20" t="s">
        <v>1593</v>
      </c>
      <c r="H116" s="19"/>
      <c r="I116" s="19" t="s">
        <v>230</v>
      </c>
      <c r="J116" s="19" t="s">
        <v>243</v>
      </c>
      <c r="K116" s="19" t="s">
        <v>266</v>
      </c>
      <c r="L116" s="19" t="s">
        <v>279</v>
      </c>
      <c r="M116" s="19" t="s">
        <v>268</v>
      </c>
      <c r="N116" s="19" t="s">
        <v>269</v>
      </c>
      <c r="O116" s="19" t="s">
        <v>270</v>
      </c>
      <c r="P116" s="23" t="s">
        <v>237</v>
      </c>
      <c r="Q116" s="19" t="s">
        <v>271</v>
      </c>
      <c r="R116" s="19">
        <v>5800</v>
      </c>
      <c r="S116" s="19" t="s">
        <v>272</v>
      </c>
      <c r="T116" s="19" t="s">
        <v>263</v>
      </c>
      <c r="U116" s="20" t="s">
        <v>263</v>
      </c>
      <c r="V116" s="19" t="s">
        <v>1548</v>
      </c>
      <c r="W116" s="19" t="s">
        <v>219</v>
      </c>
      <c r="X116" s="35"/>
      <c r="Y116" s="35">
        <v>2</v>
      </c>
      <c r="Z116" s="32"/>
      <c r="AA116" s="22"/>
      <c r="AB116" s="22"/>
      <c r="AC116" s="22"/>
      <c r="AD116" s="22"/>
      <c r="AE116" s="61">
        <f t="shared" si="48"/>
        <v>0</v>
      </c>
      <c r="AF116" s="22"/>
      <c r="AG116" s="40">
        <f t="shared" si="49"/>
        <v>0</v>
      </c>
      <c r="AH116" s="24"/>
      <c r="AI116" s="24"/>
      <c r="AJ116" s="24"/>
      <c r="AK116" s="24"/>
      <c r="AL116" s="23">
        <f t="shared" si="50"/>
        <v>0</v>
      </c>
      <c r="AM116" s="25"/>
      <c r="AN116" s="25"/>
      <c r="AO116" s="25"/>
      <c r="AP116" s="25"/>
      <c r="AQ116" s="80">
        <f t="shared" si="51"/>
        <v>0</v>
      </c>
      <c r="AR116" s="13"/>
      <c r="AS116" s="21"/>
      <c r="AT116" s="21"/>
      <c r="AU116" s="21"/>
      <c r="AV116" s="77"/>
      <c r="AW116" s="21"/>
      <c r="AX116" s="21"/>
      <c r="AY116" s="21"/>
      <c r="AZ116" s="21"/>
      <c r="BA116" s="21"/>
      <c r="BB116" s="21"/>
      <c r="BC116" s="77"/>
      <c r="BD116" s="21"/>
      <c r="BE116" s="21"/>
      <c r="BF116" s="21"/>
      <c r="BG116" s="21"/>
      <c r="BH116" s="21"/>
      <c r="BI116" s="21"/>
      <c r="BJ116" s="77"/>
      <c r="BK116" s="21"/>
      <c r="BL116" s="21"/>
      <c r="BM116" s="21"/>
      <c r="BN116" s="21"/>
      <c r="BO116" s="21"/>
      <c r="BP116" s="21"/>
      <c r="BQ116" s="77"/>
      <c r="BR116" s="21"/>
      <c r="BS116" s="21"/>
      <c r="BT116" s="21"/>
      <c r="BU116" s="21"/>
      <c r="BV116" s="21"/>
      <c r="BW116" s="79">
        <f t="shared" si="31"/>
        <v>0</v>
      </c>
      <c r="BX116" s="58">
        <f t="shared" si="32"/>
        <v>0</v>
      </c>
      <c r="BY116" s="26"/>
      <c r="BZ116" s="21"/>
      <c r="CA116" s="51" t="s">
        <v>1593</v>
      </c>
      <c r="CB116" s="50" t="b">
        <f t="shared" si="47"/>
        <v>1</v>
      </c>
      <c r="CC116" s="51" t="s">
        <v>1593</v>
      </c>
      <c r="CD116" s="19" t="s">
        <v>1664</v>
      </c>
      <c r="CE116" s="19" t="s">
        <v>886</v>
      </c>
      <c r="CF116" s="19" t="s">
        <v>887</v>
      </c>
      <c r="CG116" s="19" t="s">
        <v>908</v>
      </c>
      <c r="CH116" s="19" t="s">
        <v>909</v>
      </c>
      <c r="CI116" s="19" t="s">
        <v>898</v>
      </c>
      <c r="CJ116" s="19" t="s">
        <v>899</v>
      </c>
      <c r="CK116" s="19" t="s">
        <v>1648</v>
      </c>
      <c r="CL116" s="19" t="s">
        <v>1649</v>
      </c>
      <c r="CM116" s="19" t="s">
        <v>1003</v>
      </c>
      <c r="CN116" s="19" t="s">
        <v>1004</v>
      </c>
      <c r="CO116" s="19" t="s">
        <v>1665</v>
      </c>
      <c r="CP116" s="19" t="s">
        <v>1666</v>
      </c>
      <c r="CQ116" s="19"/>
      <c r="CR116" s="19"/>
      <c r="CS116" s="19" t="s">
        <v>904</v>
      </c>
      <c r="CT116" s="19" t="s">
        <v>905</v>
      </c>
      <c r="CU116" s="19" t="s">
        <v>910</v>
      </c>
      <c r="CV116" s="19" t="s">
        <v>911</v>
      </c>
      <c r="CW116" s="19"/>
      <c r="CX116" s="19"/>
      <c r="CY116" s="19"/>
      <c r="CZ116" s="19"/>
      <c r="DA116" s="19"/>
      <c r="DB116" s="19"/>
      <c r="DC116" s="19"/>
      <c r="DD116" s="19"/>
      <c r="DE116" s="19"/>
      <c r="DF116" s="19"/>
    </row>
    <row r="117" spans="1:110" x14ac:dyDescent="0.25">
      <c r="A117" s="19" t="s">
        <v>228</v>
      </c>
      <c r="B117" s="19" t="s">
        <v>80</v>
      </c>
      <c r="C117" s="19" t="str">
        <f t="shared" si="46"/>
        <v>95255574India</v>
      </c>
      <c r="D117" s="19">
        <v>95255574</v>
      </c>
      <c r="E117" s="19" t="s">
        <v>424</v>
      </c>
      <c r="F117" s="19" t="s">
        <v>261</v>
      </c>
      <c r="G117" s="20" t="s">
        <v>424</v>
      </c>
      <c r="H117" s="19"/>
      <c r="I117" s="19" t="s">
        <v>230</v>
      </c>
      <c r="J117" s="19" t="s">
        <v>243</v>
      </c>
      <c r="K117" s="19" t="s">
        <v>266</v>
      </c>
      <c r="L117" s="19" t="s">
        <v>279</v>
      </c>
      <c r="M117" s="19" t="s">
        <v>268</v>
      </c>
      <c r="N117" s="19" t="s">
        <v>269</v>
      </c>
      <c r="O117" s="19" t="s">
        <v>275</v>
      </c>
      <c r="P117" s="23" t="s">
        <v>237</v>
      </c>
      <c r="Q117" s="19" t="s">
        <v>271</v>
      </c>
      <c r="R117" s="19">
        <v>5800</v>
      </c>
      <c r="S117" s="19" t="s">
        <v>422</v>
      </c>
      <c r="T117" s="19" t="s">
        <v>263</v>
      </c>
      <c r="U117" s="20" t="s">
        <v>1622</v>
      </c>
      <c r="V117" s="19" t="s">
        <v>158</v>
      </c>
      <c r="W117" s="19" t="s">
        <v>221</v>
      </c>
      <c r="X117" s="35">
        <v>120</v>
      </c>
      <c r="Y117" s="35">
        <v>80</v>
      </c>
      <c r="Z117" s="32"/>
      <c r="AA117" s="22">
        <v>15</v>
      </c>
      <c r="AB117" s="22">
        <v>30</v>
      </c>
      <c r="AC117" s="22">
        <v>32</v>
      </c>
      <c r="AD117" s="22">
        <v>40</v>
      </c>
      <c r="AE117" s="61">
        <f t="shared" si="48"/>
        <v>117</v>
      </c>
      <c r="AF117" s="22">
        <v>100</v>
      </c>
      <c r="AG117" s="40">
        <f t="shared" si="49"/>
        <v>217</v>
      </c>
      <c r="AH117" s="24">
        <v>52</v>
      </c>
      <c r="AI117" s="24"/>
      <c r="AJ117" s="24">
        <v>25</v>
      </c>
      <c r="AK117" s="24"/>
      <c r="AL117" s="23">
        <f t="shared" si="50"/>
        <v>140</v>
      </c>
      <c r="AM117" s="25">
        <v>30</v>
      </c>
      <c r="AN117" s="25">
        <v>30</v>
      </c>
      <c r="AO117" s="25">
        <v>30</v>
      </c>
      <c r="AP117" s="25">
        <v>30</v>
      </c>
      <c r="AQ117" s="80">
        <f t="shared" si="51"/>
        <v>120</v>
      </c>
      <c r="AR117" s="13">
        <v>52</v>
      </c>
      <c r="AS117" s="83">
        <v>26</v>
      </c>
      <c r="AT117" s="83">
        <v>26</v>
      </c>
      <c r="AU117" s="21">
        <v>10</v>
      </c>
      <c r="AV117" s="77"/>
      <c r="AW117" s="21">
        <v>5</v>
      </c>
      <c r="AX117" s="21">
        <v>5</v>
      </c>
      <c r="AY117" s="21">
        <v>5</v>
      </c>
      <c r="AZ117" s="21">
        <v>5</v>
      </c>
      <c r="BA117" s="21">
        <v>5</v>
      </c>
      <c r="BB117" s="21">
        <v>5</v>
      </c>
      <c r="BC117" s="77"/>
      <c r="BD117" s="21">
        <v>5</v>
      </c>
      <c r="BE117" s="21">
        <v>5</v>
      </c>
      <c r="BF117" s="21">
        <v>5</v>
      </c>
      <c r="BG117" s="21">
        <v>5</v>
      </c>
      <c r="BH117" s="21"/>
      <c r="BI117" s="21">
        <v>5</v>
      </c>
      <c r="BJ117" s="77"/>
      <c r="BK117" s="21"/>
      <c r="BL117" s="21"/>
      <c r="BM117" s="21"/>
      <c r="BN117" s="81"/>
      <c r="BO117" s="81"/>
      <c r="BP117" s="81"/>
      <c r="BQ117" s="82"/>
      <c r="BR117" s="81"/>
      <c r="BS117" s="81"/>
      <c r="BT117" s="81"/>
      <c r="BU117" s="81"/>
      <c r="BV117" s="81"/>
      <c r="BW117" s="79">
        <f t="shared" si="31"/>
        <v>117</v>
      </c>
      <c r="BX117" s="58">
        <f t="shared" si="32"/>
        <v>3</v>
      </c>
      <c r="BY117" s="26"/>
      <c r="BZ117" s="21"/>
      <c r="CA117" s="51" t="s">
        <v>424</v>
      </c>
      <c r="CB117" s="50" t="b">
        <f t="shared" si="47"/>
        <v>1</v>
      </c>
      <c r="CC117" s="52" t="s">
        <v>424</v>
      </c>
      <c r="CD117" s="19" t="s">
        <v>1002</v>
      </c>
      <c r="CE117" s="19" t="s">
        <v>869</v>
      </c>
      <c r="CF117" s="19" t="s">
        <v>870</v>
      </c>
      <c r="CG117" s="19" t="s">
        <v>908</v>
      </c>
      <c r="CH117" s="19" t="s">
        <v>909</v>
      </c>
      <c r="CI117" s="19" t="s">
        <v>898</v>
      </c>
      <c r="CJ117" s="19" t="s">
        <v>899</v>
      </c>
      <c r="CK117" s="19" t="s">
        <v>875</v>
      </c>
      <c r="CL117" s="19" t="s">
        <v>876</v>
      </c>
      <c r="CM117" s="19" t="s">
        <v>1003</v>
      </c>
      <c r="CN117" s="19" t="s">
        <v>1004</v>
      </c>
      <c r="CO117" s="19" t="s">
        <v>1005</v>
      </c>
      <c r="CP117" s="19" t="s">
        <v>1006</v>
      </c>
      <c r="CQ117" s="19"/>
      <c r="CR117" s="19"/>
      <c r="CS117" s="19" t="s">
        <v>904</v>
      </c>
      <c r="CT117" s="19" t="s">
        <v>905</v>
      </c>
      <c r="CU117" s="19" t="s">
        <v>910</v>
      </c>
      <c r="CV117" s="19" t="s">
        <v>911</v>
      </c>
      <c r="CW117" s="19"/>
      <c r="CX117" s="19"/>
      <c r="CY117" s="19"/>
      <c r="CZ117" s="19"/>
      <c r="DA117" s="19"/>
      <c r="DB117" s="19"/>
      <c r="DC117" s="19"/>
      <c r="DD117" s="19"/>
      <c r="DE117" s="19"/>
      <c r="DF117" s="19"/>
    </row>
    <row r="118" spans="1:110" x14ac:dyDescent="0.25">
      <c r="A118" s="19" t="s">
        <v>228</v>
      </c>
      <c r="B118" s="19" t="s">
        <v>80</v>
      </c>
      <c r="C118" s="19" t="str">
        <f t="shared" si="46"/>
        <v>95258927India</v>
      </c>
      <c r="D118" s="19">
        <v>95258927</v>
      </c>
      <c r="E118" s="19" t="s">
        <v>1599</v>
      </c>
      <c r="F118" s="19" t="s">
        <v>261</v>
      </c>
      <c r="G118" s="20" t="s">
        <v>1599</v>
      </c>
      <c r="H118" s="19"/>
      <c r="I118" s="19" t="s">
        <v>230</v>
      </c>
      <c r="J118" s="19" t="s">
        <v>243</v>
      </c>
      <c r="K118" s="19" t="s">
        <v>266</v>
      </c>
      <c r="L118" s="19" t="s">
        <v>279</v>
      </c>
      <c r="M118" s="19" t="s">
        <v>268</v>
      </c>
      <c r="N118" s="19" t="s">
        <v>269</v>
      </c>
      <c r="O118" s="19" t="s">
        <v>275</v>
      </c>
      <c r="P118" s="23" t="s">
        <v>237</v>
      </c>
      <c r="Q118" s="19" t="s">
        <v>271</v>
      </c>
      <c r="R118" s="19">
        <v>5800</v>
      </c>
      <c r="S118" s="19" t="s">
        <v>272</v>
      </c>
      <c r="T118" s="19" t="s">
        <v>263</v>
      </c>
      <c r="U118" s="20" t="s">
        <v>263</v>
      </c>
      <c r="V118" s="19" t="s">
        <v>1600</v>
      </c>
      <c r="W118" s="19" t="s">
        <v>221</v>
      </c>
      <c r="X118" s="35">
        <v>113</v>
      </c>
      <c r="Y118" s="35">
        <v>73</v>
      </c>
      <c r="Z118" s="32"/>
      <c r="AA118" s="22">
        <v>15</v>
      </c>
      <c r="AB118" s="22">
        <v>32</v>
      </c>
      <c r="AC118" s="22">
        <v>30</v>
      </c>
      <c r="AD118" s="22">
        <v>30</v>
      </c>
      <c r="AE118" s="61">
        <f t="shared" si="48"/>
        <v>107</v>
      </c>
      <c r="AF118" s="22">
        <v>100</v>
      </c>
      <c r="AG118" s="40">
        <f t="shared" si="49"/>
        <v>207</v>
      </c>
      <c r="AH118" s="24">
        <v>30</v>
      </c>
      <c r="AI118" s="24"/>
      <c r="AJ118" s="24"/>
      <c r="AK118" s="24"/>
      <c r="AL118" s="23">
        <f t="shared" si="50"/>
        <v>177</v>
      </c>
      <c r="AM118" s="25">
        <v>30</v>
      </c>
      <c r="AN118" s="25">
        <v>32</v>
      </c>
      <c r="AO118" s="25">
        <v>40</v>
      </c>
      <c r="AP118" s="25">
        <v>40</v>
      </c>
      <c r="AQ118" s="80">
        <f t="shared" si="51"/>
        <v>142</v>
      </c>
      <c r="AR118" s="13">
        <v>30</v>
      </c>
      <c r="AS118" s="83">
        <v>15</v>
      </c>
      <c r="AT118" s="83">
        <v>15</v>
      </c>
      <c r="AU118" s="21">
        <v>12</v>
      </c>
      <c r="AV118" s="77"/>
      <c r="AW118" s="21">
        <v>6</v>
      </c>
      <c r="AX118" s="21">
        <v>6</v>
      </c>
      <c r="AY118" s="21">
        <v>6</v>
      </c>
      <c r="AZ118" s="21"/>
      <c r="BA118" s="21">
        <v>6</v>
      </c>
      <c r="BB118" s="21">
        <v>6</v>
      </c>
      <c r="BC118" s="77"/>
      <c r="BD118" s="21">
        <v>5</v>
      </c>
      <c r="BE118" s="21">
        <v>5</v>
      </c>
      <c r="BF118" s="21">
        <v>5</v>
      </c>
      <c r="BG118" s="21">
        <v>5</v>
      </c>
      <c r="BH118" s="21"/>
      <c r="BI118" s="21">
        <v>5</v>
      </c>
      <c r="BJ118" s="77"/>
      <c r="BK118" s="21">
        <v>5</v>
      </c>
      <c r="BL118" s="21">
        <v>5</v>
      </c>
      <c r="BM118" s="21"/>
      <c r="BN118" s="81"/>
      <c r="BO118" s="81"/>
      <c r="BP118" s="81"/>
      <c r="BQ118" s="82"/>
      <c r="BR118" s="81"/>
      <c r="BS118" s="81"/>
      <c r="BT118" s="81"/>
      <c r="BU118" s="81"/>
      <c r="BV118" s="81"/>
      <c r="BW118" s="79">
        <f t="shared" si="31"/>
        <v>107</v>
      </c>
      <c r="BX118" s="58">
        <f t="shared" si="32"/>
        <v>35</v>
      </c>
      <c r="BY118" s="26"/>
      <c r="BZ118" s="21"/>
      <c r="CA118" s="51" t="s">
        <v>1599</v>
      </c>
      <c r="CB118" s="50" t="b">
        <f t="shared" si="47"/>
        <v>1</v>
      </c>
      <c r="CC118" s="50" t="s">
        <v>1599</v>
      </c>
      <c r="CD118" s="19" t="s">
        <v>1007</v>
      </c>
      <c r="CE118" s="19" t="s">
        <v>886</v>
      </c>
      <c r="CF118" s="19" t="s">
        <v>887</v>
      </c>
      <c r="CG118" s="19" t="s">
        <v>908</v>
      </c>
      <c r="CH118" s="19" t="s">
        <v>909</v>
      </c>
      <c r="CI118" s="19" t="s">
        <v>898</v>
      </c>
      <c r="CJ118" s="19" t="s">
        <v>899</v>
      </c>
      <c r="CK118" s="19" t="s">
        <v>875</v>
      </c>
      <c r="CL118" s="19" t="s">
        <v>876</v>
      </c>
      <c r="CM118" s="19" t="s">
        <v>1667</v>
      </c>
      <c r="CN118" s="19" t="s">
        <v>1668</v>
      </c>
      <c r="CO118" s="19" t="s">
        <v>1008</v>
      </c>
      <c r="CP118" s="19" t="s">
        <v>1009</v>
      </c>
      <c r="CQ118" s="19"/>
      <c r="CR118" s="19"/>
      <c r="CS118" s="19" t="s">
        <v>904</v>
      </c>
      <c r="CT118" s="19" t="s">
        <v>905</v>
      </c>
      <c r="CU118" s="19" t="s">
        <v>910</v>
      </c>
      <c r="CV118" s="19" t="s">
        <v>911</v>
      </c>
      <c r="CW118" s="19"/>
      <c r="CX118" s="19"/>
      <c r="CY118" s="19"/>
      <c r="CZ118" s="19"/>
      <c r="DA118" s="19"/>
      <c r="DB118" s="19"/>
      <c r="DC118" s="19"/>
      <c r="DD118" s="19"/>
      <c r="DE118" s="19"/>
      <c r="DF118" s="19"/>
    </row>
    <row r="119" spans="1:110" x14ac:dyDescent="0.25">
      <c r="A119" s="19" t="s">
        <v>228</v>
      </c>
      <c r="B119" s="19" t="s">
        <v>80</v>
      </c>
      <c r="C119" s="19" t="str">
        <f t="shared" si="46"/>
        <v>95258926India</v>
      </c>
      <c r="D119" s="19">
        <v>95258926</v>
      </c>
      <c r="E119" s="19" t="s">
        <v>425</v>
      </c>
      <c r="F119" s="19" t="s">
        <v>261</v>
      </c>
      <c r="G119" s="20" t="s">
        <v>425</v>
      </c>
      <c r="H119" s="19"/>
      <c r="I119" s="19" t="s">
        <v>230</v>
      </c>
      <c r="J119" s="19" t="s">
        <v>243</v>
      </c>
      <c r="K119" s="19" t="s">
        <v>266</v>
      </c>
      <c r="L119" s="19" t="s">
        <v>279</v>
      </c>
      <c r="M119" s="19" t="s">
        <v>268</v>
      </c>
      <c r="N119" s="19" t="s">
        <v>269</v>
      </c>
      <c r="O119" s="19" t="s">
        <v>275</v>
      </c>
      <c r="P119" s="23" t="s">
        <v>237</v>
      </c>
      <c r="Q119" s="19" t="s">
        <v>271</v>
      </c>
      <c r="R119" s="19">
        <v>5800</v>
      </c>
      <c r="S119" s="19" t="s">
        <v>272</v>
      </c>
      <c r="T119" s="19" t="s">
        <v>263</v>
      </c>
      <c r="U119" s="20" t="s">
        <v>263</v>
      </c>
      <c r="V119" s="19" t="s">
        <v>160</v>
      </c>
      <c r="W119" s="19" t="s">
        <v>221</v>
      </c>
      <c r="X119" s="35">
        <v>28</v>
      </c>
      <c r="Y119" s="35">
        <v>28</v>
      </c>
      <c r="Z119" s="32"/>
      <c r="AA119" s="22"/>
      <c r="AB119" s="22">
        <v>11</v>
      </c>
      <c r="AC119" s="22">
        <v>14</v>
      </c>
      <c r="AD119" s="22"/>
      <c r="AE119" s="61">
        <f t="shared" si="48"/>
        <v>25</v>
      </c>
      <c r="AF119" s="22"/>
      <c r="AG119" s="40">
        <f t="shared" si="49"/>
        <v>25</v>
      </c>
      <c r="AH119" s="24"/>
      <c r="AI119" s="24"/>
      <c r="AJ119" s="24"/>
      <c r="AK119" s="24">
        <v>25</v>
      </c>
      <c r="AL119" s="23">
        <f t="shared" si="50"/>
        <v>50</v>
      </c>
      <c r="AM119" s="25"/>
      <c r="AN119" s="25">
        <v>11</v>
      </c>
      <c r="AO119" s="25">
        <v>14</v>
      </c>
      <c r="AP119" s="25"/>
      <c r="AQ119" s="80">
        <f t="shared" si="51"/>
        <v>25</v>
      </c>
      <c r="AR119" s="13"/>
      <c r="AS119" s="21"/>
      <c r="AT119" s="21"/>
      <c r="AU119" s="21"/>
      <c r="AV119" s="77"/>
      <c r="AW119" s="21"/>
      <c r="AX119" s="21"/>
      <c r="AY119" s="21"/>
      <c r="AZ119" s="21"/>
      <c r="BA119" s="21">
        <v>2</v>
      </c>
      <c r="BB119" s="21">
        <v>2</v>
      </c>
      <c r="BC119" s="77"/>
      <c r="BD119" s="21">
        <v>2</v>
      </c>
      <c r="BE119" s="21">
        <v>2</v>
      </c>
      <c r="BF119" s="21">
        <v>1</v>
      </c>
      <c r="BG119" s="21">
        <v>2</v>
      </c>
      <c r="BH119" s="21">
        <v>2</v>
      </c>
      <c r="BI119" s="21">
        <v>2</v>
      </c>
      <c r="BJ119" s="77"/>
      <c r="BK119" s="21">
        <v>2</v>
      </c>
      <c r="BL119" s="21">
        <v>4</v>
      </c>
      <c r="BM119" s="21">
        <v>4</v>
      </c>
      <c r="BN119" s="21"/>
      <c r="BO119" s="21"/>
      <c r="BP119" s="21"/>
      <c r="BQ119" s="77"/>
      <c r="BR119" s="21"/>
      <c r="BS119" s="21"/>
      <c r="BT119" s="21"/>
      <c r="BU119" s="21"/>
      <c r="BV119" s="21"/>
      <c r="BW119" s="79">
        <f t="shared" si="31"/>
        <v>25</v>
      </c>
      <c r="BX119" s="58">
        <f t="shared" si="32"/>
        <v>0</v>
      </c>
      <c r="BY119" s="26"/>
      <c r="BZ119" s="21"/>
      <c r="CA119" s="51" t="s">
        <v>425</v>
      </c>
      <c r="CB119" s="50" t="b">
        <f t="shared" si="47"/>
        <v>1</v>
      </c>
      <c r="CC119" s="53" t="s">
        <v>425</v>
      </c>
      <c r="CD119" s="19" t="s">
        <v>1010</v>
      </c>
      <c r="CE119" s="19" t="s">
        <v>886</v>
      </c>
      <c r="CF119" s="19" t="s">
        <v>887</v>
      </c>
      <c r="CG119" s="19" t="s">
        <v>908</v>
      </c>
      <c r="CH119" s="19" t="s">
        <v>909</v>
      </c>
      <c r="CI119" s="19" t="s">
        <v>898</v>
      </c>
      <c r="CJ119" s="19" t="s">
        <v>899</v>
      </c>
      <c r="CK119" s="19" t="s">
        <v>875</v>
      </c>
      <c r="CL119" s="19" t="s">
        <v>876</v>
      </c>
      <c r="CM119" s="19" t="s">
        <v>1011</v>
      </c>
      <c r="CN119" s="19" t="s">
        <v>1012</v>
      </c>
      <c r="CO119" s="19" t="s">
        <v>1013</v>
      </c>
      <c r="CP119" s="19" t="s">
        <v>1014</v>
      </c>
      <c r="CQ119" s="19"/>
      <c r="CR119" s="19"/>
      <c r="CS119" s="19" t="s">
        <v>904</v>
      </c>
      <c r="CT119" s="19" t="s">
        <v>905</v>
      </c>
      <c r="CU119" s="19" t="s">
        <v>910</v>
      </c>
      <c r="CV119" s="19" t="s">
        <v>911</v>
      </c>
      <c r="CW119" s="19"/>
      <c r="CX119" s="19"/>
      <c r="CY119" s="19"/>
      <c r="CZ119" s="19"/>
      <c r="DA119" s="19"/>
      <c r="DB119" s="19"/>
      <c r="DC119" s="19"/>
      <c r="DD119" s="19"/>
      <c r="DE119" s="19"/>
      <c r="DF119" s="19"/>
    </row>
    <row r="120" spans="1:110" x14ac:dyDescent="0.25">
      <c r="A120" s="19" t="s">
        <v>228</v>
      </c>
      <c r="B120" s="19" t="s">
        <v>80</v>
      </c>
      <c r="C120" s="19" t="str">
        <f t="shared" si="46"/>
        <v>95259071India</v>
      </c>
      <c r="D120" s="19">
        <v>95259071</v>
      </c>
      <c r="E120" s="19" t="s">
        <v>445</v>
      </c>
      <c r="F120" s="19" t="s">
        <v>261</v>
      </c>
      <c r="G120" s="20" t="s">
        <v>445</v>
      </c>
      <c r="H120" s="19"/>
      <c r="I120" s="19" t="s">
        <v>230</v>
      </c>
      <c r="J120" s="19" t="s">
        <v>243</v>
      </c>
      <c r="K120" s="19" t="s">
        <v>266</v>
      </c>
      <c r="L120" s="19" t="s">
        <v>279</v>
      </c>
      <c r="M120" s="19" t="s">
        <v>268</v>
      </c>
      <c r="N120" s="19" t="s">
        <v>269</v>
      </c>
      <c r="O120" s="19" t="s">
        <v>275</v>
      </c>
      <c r="P120" s="23" t="s">
        <v>237</v>
      </c>
      <c r="Q120" s="19" t="s">
        <v>271</v>
      </c>
      <c r="R120" s="19">
        <v>5800</v>
      </c>
      <c r="S120" s="19" t="s">
        <v>272</v>
      </c>
      <c r="T120" s="19" t="s">
        <v>263</v>
      </c>
      <c r="U120" s="20" t="s">
        <v>263</v>
      </c>
      <c r="V120" s="19" t="s">
        <v>174</v>
      </c>
      <c r="W120" s="19" t="s">
        <v>219</v>
      </c>
      <c r="X120" s="35">
        <v>7</v>
      </c>
      <c r="Y120" s="35">
        <v>7</v>
      </c>
      <c r="Z120" s="32"/>
      <c r="AA120" s="22">
        <v>12</v>
      </c>
      <c r="AB120" s="22">
        <v>14</v>
      </c>
      <c r="AC120" s="22"/>
      <c r="AD120" s="22"/>
      <c r="AE120" s="61">
        <f t="shared" si="48"/>
        <v>26</v>
      </c>
      <c r="AF120" s="22"/>
      <c r="AG120" s="40">
        <f t="shared" si="49"/>
        <v>26</v>
      </c>
      <c r="AH120" s="24"/>
      <c r="AI120" s="24"/>
      <c r="AJ120" s="24"/>
      <c r="AK120" s="24">
        <v>7</v>
      </c>
      <c r="AL120" s="23">
        <f t="shared" si="50"/>
        <v>33</v>
      </c>
      <c r="AM120" s="25">
        <v>12</v>
      </c>
      <c r="AN120" s="25">
        <v>14</v>
      </c>
      <c r="AO120" s="25"/>
      <c r="AP120" s="25"/>
      <c r="AQ120" s="80">
        <f t="shared" si="51"/>
        <v>26</v>
      </c>
      <c r="AR120" s="13"/>
      <c r="AS120" s="21"/>
      <c r="AT120" s="21">
        <v>4</v>
      </c>
      <c r="AU120" s="21">
        <v>4</v>
      </c>
      <c r="AV120" s="77"/>
      <c r="AW120" s="21">
        <v>4</v>
      </c>
      <c r="AX120" s="21"/>
      <c r="AY120" s="21"/>
      <c r="AZ120" s="21"/>
      <c r="BA120" s="21"/>
      <c r="BB120" s="21"/>
      <c r="BC120" s="77"/>
      <c r="BD120" s="21"/>
      <c r="BE120" s="21">
        <v>4</v>
      </c>
      <c r="BF120" s="21">
        <v>5</v>
      </c>
      <c r="BG120" s="21">
        <v>5</v>
      </c>
      <c r="BH120" s="21"/>
      <c r="BI120" s="21"/>
      <c r="BJ120" s="77"/>
      <c r="BK120" s="21"/>
      <c r="BL120" s="21"/>
      <c r="BM120" s="21"/>
      <c r="BN120" s="21"/>
      <c r="BO120" s="21"/>
      <c r="BP120" s="21"/>
      <c r="BQ120" s="77"/>
      <c r="BR120" s="21"/>
      <c r="BS120" s="21"/>
      <c r="BT120" s="21"/>
      <c r="BU120" s="21"/>
      <c r="BV120" s="21"/>
      <c r="BW120" s="79">
        <f t="shared" si="31"/>
        <v>26</v>
      </c>
      <c r="BX120" s="58">
        <f t="shared" si="32"/>
        <v>0</v>
      </c>
      <c r="BY120" s="26"/>
      <c r="BZ120" s="21"/>
      <c r="CA120" s="51" t="s">
        <v>445</v>
      </c>
      <c r="CB120" s="50" t="b">
        <f t="shared" si="47"/>
        <v>1</v>
      </c>
      <c r="CC120" s="51" t="s">
        <v>445</v>
      </c>
      <c r="CD120" s="19" t="s">
        <v>1028</v>
      </c>
      <c r="CE120" s="19" t="s">
        <v>886</v>
      </c>
      <c r="CF120" s="19" t="s">
        <v>887</v>
      </c>
      <c r="CG120" s="19" t="s">
        <v>1024</v>
      </c>
      <c r="CH120" s="19" t="s">
        <v>707</v>
      </c>
      <c r="CI120" s="19" t="s">
        <v>1015</v>
      </c>
      <c r="CJ120" s="19" t="s">
        <v>1016</v>
      </c>
      <c r="CK120" s="19" t="s">
        <v>1017</v>
      </c>
      <c r="CL120" s="19" t="s">
        <v>876</v>
      </c>
      <c r="CM120" s="19" t="s">
        <v>1018</v>
      </c>
      <c r="CN120" s="19" t="s">
        <v>1019</v>
      </c>
      <c r="CO120" s="19" t="s">
        <v>1029</v>
      </c>
      <c r="CP120" s="19" t="s">
        <v>1030</v>
      </c>
      <c r="CQ120" s="19"/>
      <c r="CR120" s="19"/>
      <c r="CS120" s="19" t="s">
        <v>1020</v>
      </c>
      <c r="CT120" s="19" t="s">
        <v>1021</v>
      </c>
      <c r="CU120" s="19" t="s">
        <v>1026</v>
      </c>
      <c r="CV120" s="19" t="s">
        <v>1027</v>
      </c>
      <c r="CW120" s="19"/>
      <c r="CX120" s="19"/>
      <c r="CY120" s="19"/>
      <c r="CZ120" s="19"/>
      <c r="DA120" s="19"/>
      <c r="DB120" s="19"/>
      <c r="DC120" s="19"/>
      <c r="DD120" s="19"/>
      <c r="DE120" s="19"/>
      <c r="DF120" s="19"/>
    </row>
    <row r="121" spans="1:110" x14ac:dyDescent="0.25">
      <c r="A121" s="19" t="s">
        <v>228</v>
      </c>
      <c r="B121" s="19" t="s">
        <v>80</v>
      </c>
      <c r="C121" s="19" t="str">
        <f t="shared" si="46"/>
        <v>95258922India</v>
      </c>
      <c r="D121" s="19">
        <v>95258922</v>
      </c>
      <c r="E121" s="19" t="s">
        <v>456</v>
      </c>
      <c r="F121" s="19" t="s">
        <v>261</v>
      </c>
      <c r="G121" s="20" t="s">
        <v>456</v>
      </c>
      <c r="H121" s="19"/>
      <c r="I121" s="19" t="s">
        <v>230</v>
      </c>
      <c r="J121" s="19" t="s">
        <v>243</v>
      </c>
      <c r="K121" s="19" t="s">
        <v>266</v>
      </c>
      <c r="L121" s="19" t="s">
        <v>279</v>
      </c>
      <c r="M121" s="19" t="s">
        <v>268</v>
      </c>
      <c r="N121" s="19" t="s">
        <v>269</v>
      </c>
      <c r="O121" s="19" t="s">
        <v>275</v>
      </c>
      <c r="P121" s="23" t="s">
        <v>237</v>
      </c>
      <c r="Q121" s="19" t="s">
        <v>271</v>
      </c>
      <c r="R121" s="19">
        <v>5800</v>
      </c>
      <c r="S121" s="19" t="s">
        <v>272</v>
      </c>
      <c r="T121" s="19" t="s">
        <v>263</v>
      </c>
      <c r="U121" s="20" t="s">
        <v>263</v>
      </c>
      <c r="V121" s="19" t="s">
        <v>181</v>
      </c>
      <c r="W121" s="19" t="s">
        <v>219</v>
      </c>
      <c r="X121" s="35">
        <v>4</v>
      </c>
      <c r="Y121" s="35">
        <v>4</v>
      </c>
      <c r="Z121" s="32"/>
      <c r="AA121" s="22">
        <v>3</v>
      </c>
      <c r="AB121" s="22"/>
      <c r="AC121" s="22"/>
      <c r="AD121" s="22">
        <v>1</v>
      </c>
      <c r="AE121" s="61">
        <f t="shared" si="48"/>
        <v>4</v>
      </c>
      <c r="AF121" s="22"/>
      <c r="AG121" s="40">
        <f t="shared" si="49"/>
        <v>4</v>
      </c>
      <c r="AH121" s="24"/>
      <c r="AI121" s="24"/>
      <c r="AJ121" s="24"/>
      <c r="AK121" s="24">
        <v>4</v>
      </c>
      <c r="AL121" s="23">
        <f t="shared" si="50"/>
        <v>8</v>
      </c>
      <c r="AM121" s="25">
        <v>3</v>
      </c>
      <c r="AN121" s="25"/>
      <c r="AO121" s="25"/>
      <c r="AP121" s="25">
        <v>1</v>
      </c>
      <c r="AQ121" s="80">
        <f t="shared" si="51"/>
        <v>4</v>
      </c>
      <c r="AR121" s="13"/>
      <c r="AS121" s="21"/>
      <c r="AT121" s="21"/>
      <c r="AU121" s="21"/>
      <c r="AV121" s="77"/>
      <c r="AW121" s="21"/>
      <c r="AX121" s="21"/>
      <c r="AY121" s="21">
        <v>1</v>
      </c>
      <c r="AZ121" s="21">
        <v>2</v>
      </c>
      <c r="BA121" s="21"/>
      <c r="BB121" s="21"/>
      <c r="BC121" s="77"/>
      <c r="BD121" s="21"/>
      <c r="BE121" s="21"/>
      <c r="BF121" s="21"/>
      <c r="BG121" s="21"/>
      <c r="BH121" s="21"/>
      <c r="BI121" s="21"/>
      <c r="BJ121" s="77"/>
      <c r="BK121" s="21"/>
      <c r="BL121" s="21"/>
      <c r="BM121" s="21"/>
      <c r="BN121" s="21"/>
      <c r="BO121" s="21"/>
      <c r="BP121" s="21">
        <v>1</v>
      </c>
      <c r="BQ121" s="77"/>
      <c r="BR121" s="21"/>
      <c r="BS121" s="21"/>
      <c r="BT121" s="21"/>
      <c r="BU121" s="21"/>
      <c r="BV121" s="21"/>
      <c r="BW121" s="79">
        <f t="shared" si="31"/>
        <v>4</v>
      </c>
      <c r="BX121" s="58">
        <f t="shared" si="32"/>
        <v>0</v>
      </c>
      <c r="BY121" s="26"/>
      <c r="BZ121" s="21"/>
      <c r="CA121" s="51" t="s">
        <v>456</v>
      </c>
      <c r="CB121" s="50" t="b">
        <f t="shared" si="47"/>
        <v>1</v>
      </c>
      <c r="CC121" s="51" t="s">
        <v>456</v>
      </c>
      <c r="CD121" s="19" t="s">
        <v>1031</v>
      </c>
      <c r="CE121" s="19" t="s">
        <v>886</v>
      </c>
      <c r="CF121" s="19" t="s">
        <v>887</v>
      </c>
      <c r="CG121" s="19" t="s">
        <v>1024</v>
      </c>
      <c r="CH121" s="19" t="s">
        <v>707</v>
      </c>
      <c r="CI121" s="19" t="s">
        <v>1015</v>
      </c>
      <c r="CJ121" s="19" t="s">
        <v>1016</v>
      </c>
      <c r="CK121" s="19" t="s">
        <v>1025</v>
      </c>
      <c r="CL121" s="19" t="s">
        <v>983</v>
      </c>
      <c r="CM121" s="19" t="s">
        <v>1036</v>
      </c>
      <c r="CN121" s="19" t="s">
        <v>1037</v>
      </c>
      <c r="CO121" s="19" t="s">
        <v>1034</v>
      </c>
      <c r="CP121" s="19" t="s">
        <v>1035</v>
      </c>
      <c r="CQ121" s="19"/>
      <c r="CR121" s="19"/>
      <c r="CS121" s="19" t="s">
        <v>1020</v>
      </c>
      <c r="CT121" s="19" t="s">
        <v>1021</v>
      </c>
      <c r="CU121" s="19" t="s">
        <v>1026</v>
      </c>
      <c r="CV121" s="19" t="s">
        <v>1027</v>
      </c>
      <c r="CW121" s="19"/>
      <c r="CX121" s="19"/>
      <c r="CY121" s="19"/>
      <c r="CZ121" s="19"/>
      <c r="DA121" s="19"/>
      <c r="DB121" s="19"/>
      <c r="DC121" s="19"/>
      <c r="DD121" s="19"/>
      <c r="DE121" s="19"/>
      <c r="DF121" s="19"/>
    </row>
    <row r="122" spans="1:110" x14ac:dyDescent="0.25">
      <c r="A122" s="19" t="s">
        <v>228</v>
      </c>
      <c r="B122" s="19" t="s">
        <v>80</v>
      </c>
      <c r="C122" s="19" t="str">
        <f t="shared" si="46"/>
        <v>95258937India</v>
      </c>
      <c r="D122" s="19">
        <v>95258937</v>
      </c>
      <c r="E122" s="19" t="s">
        <v>1525</v>
      </c>
      <c r="F122" s="19" t="s">
        <v>261</v>
      </c>
      <c r="G122" s="20" t="s">
        <v>1525</v>
      </c>
      <c r="H122" s="19"/>
      <c r="I122" s="19" t="s">
        <v>230</v>
      </c>
      <c r="J122" s="19" t="s">
        <v>243</v>
      </c>
      <c r="K122" s="19" t="s">
        <v>266</v>
      </c>
      <c r="L122" s="19" t="s">
        <v>267</v>
      </c>
      <c r="M122" s="19" t="s">
        <v>268</v>
      </c>
      <c r="N122" s="19" t="s">
        <v>269</v>
      </c>
      <c r="O122" s="19" t="s">
        <v>275</v>
      </c>
      <c r="P122" s="23" t="s">
        <v>237</v>
      </c>
      <c r="Q122" s="19" t="s">
        <v>271</v>
      </c>
      <c r="R122" s="19">
        <v>5800</v>
      </c>
      <c r="S122" s="19" t="s">
        <v>272</v>
      </c>
      <c r="T122" s="19" t="s">
        <v>263</v>
      </c>
      <c r="U122" s="20" t="s">
        <v>263</v>
      </c>
      <c r="V122" s="19" t="s">
        <v>1555</v>
      </c>
      <c r="W122" s="19" t="s">
        <v>219</v>
      </c>
      <c r="X122" s="35">
        <v>2</v>
      </c>
      <c r="Y122" s="35">
        <v>2</v>
      </c>
      <c r="Z122" s="32"/>
      <c r="AA122" s="22"/>
      <c r="AB122" s="22"/>
      <c r="AC122" s="22"/>
      <c r="AD122" s="22">
        <v>4</v>
      </c>
      <c r="AE122" s="61">
        <f t="shared" si="48"/>
        <v>4</v>
      </c>
      <c r="AF122" s="22"/>
      <c r="AG122" s="40">
        <f t="shared" si="49"/>
        <v>4</v>
      </c>
      <c r="AH122" s="24"/>
      <c r="AI122" s="24"/>
      <c r="AJ122" s="24"/>
      <c r="AK122" s="24"/>
      <c r="AL122" s="23">
        <f t="shared" si="50"/>
        <v>4</v>
      </c>
      <c r="AM122" s="25"/>
      <c r="AN122" s="25"/>
      <c r="AO122" s="25"/>
      <c r="AP122" s="25">
        <v>4</v>
      </c>
      <c r="AQ122" s="80">
        <f t="shared" si="51"/>
        <v>4</v>
      </c>
      <c r="AR122" s="13"/>
      <c r="AS122" s="21"/>
      <c r="AT122" s="21"/>
      <c r="AU122" s="21"/>
      <c r="AV122" s="77"/>
      <c r="AW122" s="21"/>
      <c r="AX122" s="21"/>
      <c r="AY122" s="21"/>
      <c r="AZ122" s="21"/>
      <c r="BA122" s="21"/>
      <c r="BB122" s="21"/>
      <c r="BC122" s="77"/>
      <c r="BD122" s="21"/>
      <c r="BE122" s="21"/>
      <c r="BF122" s="21"/>
      <c r="BG122" s="21"/>
      <c r="BH122" s="21"/>
      <c r="BI122" s="21"/>
      <c r="BJ122" s="77"/>
      <c r="BK122" s="21"/>
      <c r="BL122" s="21"/>
      <c r="BM122" s="21"/>
      <c r="BN122" s="21"/>
      <c r="BO122" s="21">
        <v>2</v>
      </c>
      <c r="BP122" s="21">
        <v>2</v>
      </c>
      <c r="BQ122" s="77"/>
      <c r="BR122" s="21"/>
      <c r="BS122" s="21"/>
      <c r="BT122" s="21"/>
      <c r="BU122" s="21"/>
      <c r="BV122" s="21"/>
      <c r="BW122" s="79">
        <f t="shared" si="31"/>
        <v>4</v>
      </c>
      <c r="BX122" s="58">
        <f t="shared" si="32"/>
        <v>0</v>
      </c>
      <c r="BY122" s="26"/>
      <c r="BZ122" s="21"/>
      <c r="CA122" s="51" t="s">
        <v>1525</v>
      </c>
      <c r="CB122" s="50" t="b">
        <f t="shared" si="47"/>
        <v>1</v>
      </c>
      <c r="CC122" s="51" t="s">
        <v>1525</v>
      </c>
      <c r="CD122" s="19" t="s">
        <v>1669</v>
      </c>
      <c r="CE122" s="19" t="s">
        <v>886</v>
      </c>
      <c r="CF122" s="19" t="s">
        <v>887</v>
      </c>
      <c r="CG122" s="19" t="s">
        <v>908</v>
      </c>
      <c r="CH122" s="19" t="s">
        <v>909</v>
      </c>
      <c r="CI122" s="19" t="s">
        <v>898</v>
      </c>
      <c r="CJ122" s="19" t="s">
        <v>899</v>
      </c>
      <c r="CK122" s="19" t="s">
        <v>875</v>
      </c>
      <c r="CL122" s="19" t="s">
        <v>876</v>
      </c>
      <c r="CM122" s="19" t="s">
        <v>1059</v>
      </c>
      <c r="CN122" s="19" t="s">
        <v>1060</v>
      </c>
      <c r="CO122" s="19" t="s">
        <v>1008</v>
      </c>
      <c r="CP122" s="19" t="s">
        <v>1009</v>
      </c>
      <c r="CQ122" s="19"/>
      <c r="CR122" s="19"/>
      <c r="CS122" s="19" t="s">
        <v>904</v>
      </c>
      <c r="CT122" s="19" t="s">
        <v>905</v>
      </c>
      <c r="CU122" s="19" t="s">
        <v>910</v>
      </c>
      <c r="CV122" s="19" t="s">
        <v>911</v>
      </c>
      <c r="CW122" s="19"/>
      <c r="CX122" s="19"/>
      <c r="CY122" s="19"/>
      <c r="CZ122" s="19"/>
      <c r="DA122" s="19"/>
      <c r="DB122" s="19"/>
      <c r="DC122" s="19"/>
      <c r="DD122" s="19"/>
      <c r="DE122" s="19"/>
      <c r="DF122" s="19"/>
    </row>
    <row r="123" spans="1:110" x14ac:dyDescent="0.25">
      <c r="A123" s="19" t="s">
        <v>228</v>
      </c>
      <c r="B123" s="19" t="s">
        <v>80</v>
      </c>
      <c r="C123" s="19" t="str">
        <f t="shared" si="46"/>
        <v>95258920India</v>
      </c>
      <c r="D123" s="19">
        <v>95258920</v>
      </c>
      <c r="E123" s="19" t="s">
        <v>459</v>
      </c>
      <c r="F123" s="19" t="s">
        <v>261</v>
      </c>
      <c r="G123" s="20" t="s">
        <v>459</v>
      </c>
      <c r="H123" s="19"/>
      <c r="I123" s="19" t="s">
        <v>230</v>
      </c>
      <c r="J123" s="19" t="s">
        <v>243</v>
      </c>
      <c r="K123" s="19" t="s">
        <v>266</v>
      </c>
      <c r="L123" s="19" t="s">
        <v>267</v>
      </c>
      <c r="M123" s="19" t="s">
        <v>268</v>
      </c>
      <c r="N123" s="19" t="s">
        <v>269</v>
      </c>
      <c r="O123" s="19" t="s">
        <v>275</v>
      </c>
      <c r="P123" s="23" t="s">
        <v>237</v>
      </c>
      <c r="Q123" s="19" t="s">
        <v>271</v>
      </c>
      <c r="R123" s="19">
        <v>5800</v>
      </c>
      <c r="S123" s="19" t="s">
        <v>272</v>
      </c>
      <c r="T123" s="19" t="s">
        <v>263</v>
      </c>
      <c r="U123" s="20" t="s">
        <v>263</v>
      </c>
      <c r="V123" s="19" t="s">
        <v>183</v>
      </c>
      <c r="W123" s="19" t="s">
        <v>219</v>
      </c>
      <c r="X123" s="35">
        <v>3</v>
      </c>
      <c r="Y123" s="35">
        <v>3</v>
      </c>
      <c r="Z123" s="32"/>
      <c r="AA123" s="22"/>
      <c r="AB123" s="22"/>
      <c r="AC123" s="22"/>
      <c r="AD123" s="22">
        <v>2</v>
      </c>
      <c r="AE123" s="61">
        <f t="shared" si="48"/>
        <v>2</v>
      </c>
      <c r="AF123" s="22"/>
      <c r="AG123" s="40">
        <f t="shared" si="49"/>
        <v>2</v>
      </c>
      <c r="AH123" s="24"/>
      <c r="AI123" s="24"/>
      <c r="AJ123" s="24"/>
      <c r="AK123" s="24"/>
      <c r="AL123" s="23">
        <f t="shared" si="50"/>
        <v>2</v>
      </c>
      <c r="AM123" s="25"/>
      <c r="AN123" s="25"/>
      <c r="AO123" s="25"/>
      <c r="AP123" s="25">
        <v>2</v>
      </c>
      <c r="AQ123" s="80">
        <f t="shared" si="51"/>
        <v>2</v>
      </c>
      <c r="AR123" s="13"/>
      <c r="AS123" s="21"/>
      <c r="AT123" s="21"/>
      <c r="AU123" s="21"/>
      <c r="AV123" s="77"/>
      <c r="AW123" s="21"/>
      <c r="AX123" s="21"/>
      <c r="AY123" s="21"/>
      <c r="AZ123" s="21"/>
      <c r="BA123" s="21"/>
      <c r="BB123" s="21"/>
      <c r="BC123" s="77"/>
      <c r="BD123" s="21"/>
      <c r="BE123" s="21"/>
      <c r="BF123" s="21"/>
      <c r="BG123" s="21"/>
      <c r="BH123" s="21"/>
      <c r="BI123" s="21"/>
      <c r="BJ123" s="77"/>
      <c r="BK123" s="21"/>
      <c r="BL123" s="21"/>
      <c r="BM123" s="21"/>
      <c r="BN123" s="21"/>
      <c r="BO123" s="21">
        <v>2</v>
      </c>
      <c r="BP123" s="21"/>
      <c r="BQ123" s="77"/>
      <c r="BR123" s="21"/>
      <c r="BS123" s="21"/>
      <c r="BT123" s="21"/>
      <c r="BU123" s="21"/>
      <c r="BV123" s="21"/>
      <c r="BW123" s="79">
        <f t="shared" si="31"/>
        <v>2</v>
      </c>
      <c r="BX123" s="58">
        <f t="shared" si="32"/>
        <v>0</v>
      </c>
      <c r="BY123" s="26"/>
      <c r="BZ123" s="21"/>
      <c r="CA123" s="51" t="s">
        <v>459</v>
      </c>
      <c r="CB123" s="50" t="b">
        <f t="shared" si="47"/>
        <v>1</v>
      </c>
      <c r="CC123" s="51" t="s">
        <v>459</v>
      </c>
      <c r="CD123" s="19" t="s">
        <v>1043</v>
      </c>
      <c r="CE123" s="19" t="s">
        <v>886</v>
      </c>
      <c r="CF123" s="19" t="s">
        <v>887</v>
      </c>
      <c r="CG123" s="19" t="s">
        <v>908</v>
      </c>
      <c r="CH123" s="19" t="s">
        <v>909</v>
      </c>
      <c r="CI123" s="19" t="s">
        <v>898</v>
      </c>
      <c r="CJ123" s="19" t="s">
        <v>899</v>
      </c>
      <c r="CK123" s="19" t="s">
        <v>875</v>
      </c>
      <c r="CL123" s="19" t="s">
        <v>876</v>
      </c>
      <c r="CM123" s="19" t="s">
        <v>996</v>
      </c>
      <c r="CN123" s="19" t="s">
        <v>997</v>
      </c>
      <c r="CO123" s="19" t="s">
        <v>1044</v>
      </c>
      <c r="CP123" s="19" t="s">
        <v>1045</v>
      </c>
      <c r="CQ123" s="19"/>
      <c r="CR123" s="19"/>
      <c r="CS123" s="19" t="s">
        <v>904</v>
      </c>
      <c r="CT123" s="19" t="s">
        <v>905</v>
      </c>
      <c r="CU123" s="19" t="s">
        <v>910</v>
      </c>
      <c r="CV123" s="19" t="s">
        <v>911</v>
      </c>
      <c r="CW123" s="19"/>
      <c r="CX123" s="19"/>
      <c r="CY123" s="19"/>
      <c r="CZ123" s="19"/>
      <c r="DA123" s="19"/>
      <c r="DB123" s="19"/>
      <c r="DC123" s="19"/>
      <c r="DD123" s="19"/>
      <c r="DE123" s="19"/>
      <c r="DF123" s="19"/>
    </row>
    <row r="124" spans="1:110" x14ac:dyDescent="0.25">
      <c r="A124" s="19" t="s">
        <v>228</v>
      </c>
      <c r="B124" s="19" t="s">
        <v>80</v>
      </c>
      <c r="C124" s="19" t="str">
        <f t="shared" si="46"/>
        <v>95255586India</v>
      </c>
      <c r="D124" s="19">
        <v>95255586</v>
      </c>
      <c r="E124" s="19" t="s">
        <v>473</v>
      </c>
      <c r="F124" s="19" t="s">
        <v>261</v>
      </c>
      <c r="G124" s="20" t="s">
        <v>473</v>
      </c>
      <c r="H124" s="19"/>
      <c r="I124" s="19" t="s">
        <v>230</v>
      </c>
      <c r="J124" s="19" t="s">
        <v>243</v>
      </c>
      <c r="K124" s="19" t="s">
        <v>266</v>
      </c>
      <c r="L124" s="19" t="s">
        <v>279</v>
      </c>
      <c r="M124" s="19" t="s">
        <v>268</v>
      </c>
      <c r="N124" s="19" t="s">
        <v>269</v>
      </c>
      <c r="O124" s="19" t="s">
        <v>275</v>
      </c>
      <c r="P124" s="23" t="s">
        <v>237</v>
      </c>
      <c r="Q124" s="19" t="s">
        <v>271</v>
      </c>
      <c r="R124" s="19">
        <v>5800</v>
      </c>
      <c r="S124" s="19" t="s">
        <v>272</v>
      </c>
      <c r="T124" s="19" t="s">
        <v>263</v>
      </c>
      <c r="U124" s="20" t="s">
        <v>263</v>
      </c>
      <c r="V124" s="19" t="s">
        <v>198</v>
      </c>
      <c r="W124" s="19" t="s">
        <v>219</v>
      </c>
      <c r="X124" s="35"/>
      <c r="Y124" s="35"/>
      <c r="Z124" s="32"/>
      <c r="AA124" s="22">
        <v>2</v>
      </c>
      <c r="AB124" s="22">
        <v>2</v>
      </c>
      <c r="AC124" s="22"/>
      <c r="AD124" s="22"/>
      <c r="AE124" s="61">
        <f t="shared" si="48"/>
        <v>4</v>
      </c>
      <c r="AF124" s="22"/>
      <c r="AG124" s="40">
        <f t="shared" si="49"/>
        <v>4</v>
      </c>
      <c r="AH124" s="24"/>
      <c r="AI124" s="24"/>
      <c r="AJ124" s="24"/>
      <c r="AK124" s="24"/>
      <c r="AL124" s="23">
        <f t="shared" si="50"/>
        <v>4</v>
      </c>
      <c r="AM124" s="25">
        <v>2</v>
      </c>
      <c r="AN124" s="25">
        <v>2</v>
      </c>
      <c r="AO124" s="25"/>
      <c r="AP124" s="25"/>
      <c r="AQ124" s="80">
        <f t="shared" si="51"/>
        <v>4</v>
      </c>
      <c r="AR124" s="13"/>
      <c r="AS124" s="21"/>
      <c r="AT124" s="21"/>
      <c r="AU124" s="21"/>
      <c r="AV124" s="77"/>
      <c r="AW124" s="21"/>
      <c r="AX124" s="21">
        <v>2</v>
      </c>
      <c r="AY124" s="21"/>
      <c r="AZ124" s="21"/>
      <c r="BA124" s="21"/>
      <c r="BB124" s="21"/>
      <c r="BC124" s="77"/>
      <c r="BD124" s="21"/>
      <c r="BE124" s="21"/>
      <c r="BF124" s="21"/>
      <c r="BG124" s="21">
        <v>2</v>
      </c>
      <c r="BH124" s="21"/>
      <c r="BI124" s="21"/>
      <c r="BJ124" s="77"/>
      <c r="BK124" s="21"/>
      <c r="BL124" s="21"/>
      <c r="BM124" s="21"/>
      <c r="BN124" s="21"/>
      <c r="BO124" s="21"/>
      <c r="BP124" s="21"/>
      <c r="BQ124" s="77"/>
      <c r="BR124" s="21"/>
      <c r="BS124" s="21"/>
      <c r="BT124" s="21"/>
      <c r="BU124" s="21"/>
      <c r="BV124" s="21"/>
      <c r="BW124" s="79">
        <f t="shared" si="31"/>
        <v>4</v>
      </c>
      <c r="BX124" s="58">
        <f t="shared" si="32"/>
        <v>0</v>
      </c>
      <c r="BY124" s="26"/>
      <c r="BZ124" s="21"/>
      <c r="CA124" s="51" t="s">
        <v>473</v>
      </c>
      <c r="CB124" s="50" t="b">
        <f t="shared" si="47"/>
        <v>1</v>
      </c>
      <c r="CC124" s="51" t="s">
        <v>473</v>
      </c>
      <c r="CD124" s="19" t="s">
        <v>1046</v>
      </c>
      <c r="CE124" s="19" t="s">
        <v>886</v>
      </c>
      <c r="CF124" s="19" t="s">
        <v>887</v>
      </c>
      <c r="CG124" s="19" t="s">
        <v>1024</v>
      </c>
      <c r="CH124" s="19" t="s">
        <v>707</v>
      </c>
      <c r="CI124" s="19" t="s">
        <v>1015</v>
      </c>
      <c r="CJ124" s="19" t="s">
        <v>1016</v>
      </c>
      <c r="CK124" s="19" t="s">
        <v>1025</v>
      </c>
      <c r="CL124" s="19" t="s">
        <v>983</v>
      </c>
      <c r="CM124" s="19" t="s">
        <v>1036</v>
      </c>
      <c r="CN124" s="19" t="s">
        <v>1037</v>
      </c>
      <c r="CO124" s="19" t="s">
        <v>1047</v>
      </c>
      <c r="CP124" s="19" t="s">
        <v>1048</v>
      </c>
      <c r="CQ124" s="19"/>
      <c r="CR124" s="19"/>
      <c r="CS124" s="19" t="s">
        <v>1020</v>
      </c>
      <c r="CT124" s="19" t="s">
        <v>1021</v>
      </c>
      <c r="CU124" s="19" t="s">
        <v>1026</v>
      </c>
      <c r="CV124" s="19" t="s">
        <v>1027</v>
      </c>
      <c r="CW124" s="19"/>
      <c r="CX124" s="19"/>
      <c r="CY124" s="19"/>
      <c r="CZ124" s="19"/>
      <c r="DA124" s="19"/>
      <c r="DB124" s="19"/>
      <c r="DC124" s="19"/>
      <c r="DD124" s="19"/>
      <c r="DE124" s="19"/>
      <c r="DF124" s="19"/>
    </row>
    <row r="125" spans="1:110" x14ac:dyDescent="0.25">
      <c r="A125" s="19" t="s">
        <v>228</v>
      </c>
      <c r="B125" s="19" t="s">
        <v>80</v>
      </c>
      <c r="C125" s="19" t="str">
        <f t="shared" si="46"/>
        <v>95258095India</v>
      </c>
      <c r="D125" s="19">
        <v>95258095</v>
      </c>
      <c r="E125" s="19" t="s">
        <v>474</v>
      </c>
      <c r="F125" s="19" t="s">
        <v>261</v>
      </c>
      <c r="G125" s="20" t="s">
        <v>474</v>
      </c>
      <c r="H125" s="19"/>
      <c r="I125" s="19" t="s">
        <v>230</v>
      </c>
      <c r="J125" s="19" t="s">
        <v>243</v>
      </c>
      <c r="K125" s="19" t="s">
        <v>266</v>
      </c>
      <c r="L125" s="19" t="s">
        <v>279</v>
      </c>
      <c r="M125" s="19" t="s">
        <v>268</v>
      </c>
      <c r="N125" s="19" t="s">
        <v>269</v>
      </c>
      <c r="O125" s="19" t="s">
        <v>275</v>
      </c>
      <c r="P125" s="23" t="s">
        <v>237</v>
      </c>
      <c r="Q125" s="19" t="s">
        <v>271</v>
      </c>
      <c r="R125" s="19">
        <v>5800</v>
      </c>
      <c r="S125" s="19" t="s">
        <v>272</v>
      </c>
      <c r="T125" s="19" t="s">
        <v>263</v>
      </c>
      <c r="U125" s="20" t="s">
        <v>263</v>
      </c>
      <c r="V125" s="19" t="s">
        <v>199</v>
      </c>
      <c r="W125" s="19" t="s">
        <v>219</v>
      </c>
      <c r="X125" s="35">
        <v>4</v>
      </c>
      <c r="Y125" s="35">
        <v>3</v>
      </c>
      <c r="Z125" s="32"/>
      <c r="AA125" s="22">
        <v>4</v>
      </c>
      <c r="AB125" s="22">
        <v>3</v>
      </c>
      <c r="AC125" s="22"/>
      <c r="AD125" s="22"/>
      <c r="AE125" s="61">
        <f t="shared" si="48"/>
        <v>7</v>
      </c>
      <c r="AF125" s="22"/>
      <c r="AG125" s="40">
        <f t="shared" si="49"/>
        <v>7</v>
      </c>
      <c r="AH125" s="24"/>
      <c r="AI125" s="24"/>
      <c r="AJ125" s="24"/>
      <c r="AK125" s="24">
        <v>4</v>
      </c>
      <c r="AL125" s="23">
        <f t="shared" si="50"/>
        <v>11</v>
      </c>
      <c r="AM125" s="25">
        <v>4</v>
      </c>
      <c r="AN125" s="25">
        <v>3</v>
      </c>
      <c r="AO125" s="25"/>
      <c r="AP125" s="25"/>
      <c r="AQ125" s="80">
        <f t="shared" si="51"/>
        <v>7</v>
      </c>
      <c r="AR125" s="13"/>
      <c r="AS125" s="21"/>
      <c r="AT125" s="21"/>
      <c r="AU125" s="21"/>
      <c r="AV125" s="77"/>
      <c r="AW125" s="21">
        <v>2</v>
      </c>
      <c r="AX125" s="21">
        <v>2</v>
      </c>
      <c r="AY125" s="21"/>
      <c r="AZ125" s="21"/>
      <c r="BA125" s="21"/>
      <c r="BB125" s="21"/>
      <c r="BC125" s="77"/>
      <c r="BD125" s="21"/>
      <c r="BE125" s="21"/>
      <c r="BF125" s="21"/>
      <c r="BG125" s="21">
        <v>3</v>
      </c>
      <c r="BH125" s="21"/>
      <c r="BI125" s="21"/>
      <c r="BJ125" s="77"/>
      <c r="BK125" s="21"/>
      <c r="BL125" s="21"/>
      <c r="BM125" s="21"/>
      <c r="BN125" s="21"/>
      <c r="BO125" s="21"/>
      <c r="BP125" s="21"/>
      <c r="BQ125" s="77"/>
      <c r="BR125" s="21"/>
      <c r="BS125" s="21"/>
      <c r="BT125" s="21"/>
      <c r="BU125" s="21"/>
      <c r="BV125" s="21"/>
      <c r="BW125" s="79">
        <f t="shared" si="31"/>
        <v>7</v>
      </c>
      <c r="BX125" s="58">
        <f t="shared" si="32"/>
        <v>0</v>
      </c>
      <c r="BY125" s="26"/>
      <c r="BZ125" s="21"/>
      <c r="CA125" s="51" t="s">
        <v>474</v>
      </c>
      <c r="CB125" s="50" t="b">
        <f t="shared" si="47"/>
        <v>1</v>
      </c>
      <c r="CC125" s="19" t="s">
        <v>474</v>
      </c>
      <c r="CD125" s="19" t="s">
        <v>1049</v>
      </c>
      <c r="CE125" s="19" t="s">
        <v>886</v>
      </c>
      <c r="CF125" s="19" t="s">
        <v>887</v>
      </c>
      <c r="CG125" s="19" t="s">
        <v>1024</v>
      </c>
      <c r="CH125" s="19" t="s">
        <v>707</v>
      </c>
      <c r="CI125" s="19" t="s">
        <v>1015</v>
      </c>
      <c r="CJ125" s="19" t="s">
        <v>1016</v>
      </c>
      <c r="CK125" s="19" t="s">
        <v>1017</v>
      </c>
      <c r="CL125" s="19" t="s">
        <v>876</v>
      </c>
      <c r="CM125" s="19" t="s">
        <v>1018</v>
      </c>
      <c r="CN125" s="19" t="s">
        <v>1019</v>
      </c>
      <c r="CO125" s="19" t="s">
        <v>1050</v>
      </c>
      <c r="CP125" s="19" t="s">
        <v>1051</v>
      </c>
      <c r="CQ125" s="19"/>
      <c r="CR125" s="19"/>
      <c r="CS125" s="19" t="s">
        <v>1020</v>
      </c>
      <c r="CT125" s="19" t="s">
        <v>1021</v>
      </c>
      <c r="CU125" s="19" t="s">
        <v>1026</v>
      </c>
      <c r="CV125" s="19" t="s">
        <v>1027</v>
      </c>
      <c r="CW125" s="19"/>
      <c r="CX125" s="19"/>
      <c r="CY125" s="19"/>
      <c r="CZ125" s="19"/>
      <c r="DA125" s="19"/>
      <c r="DB125" s="19"/>
      <c r="DC125" s="19"/>
      <c r="DD125" s="19"/>
      <c r="DE125" s="19"/>
      <c r="DF125" s="19"/>
    </row>
    <row r="126" spans="1:110" x14ac:dyDescent="0.25">
      <c r="A126" s="19" t="s">
        <v>228</v>
      </c>
      <c r="B126" s="19" t="s">
        <v>80</v>
      </c>
      <c r="C126" s="19" t="str">
        <f t="shared" si="46"/>
        <v>95258928India</v>
      </c>
      <c r="D126" s="19">
        <v>95258928</v>
      </c>
      <c r="E126" s="19" t="s">
        <v>475</v>
      </c>
      <c r="F126" s="19" t="s">
        <v>261</v>
      </c>
      <c r="G126" s="20" t="s">
        <v>475</v>
      </c>
      <c r="H126" s="19"/>
      <c r="I126" s="19" t="s">
        <v>230</v>
      </c>
      <c r="J126" s="19" t="s">
        <v>243</v>
      </c>
      <c r="K126" s="19" t="s">
        <v>266</v>
      </c>
      <c r="L126" s="19" t="s">
        <v>279</v>
      </c>
      <c r="M126" s="19" t="s">
        <v>268</v>
      </c>
      <c r="N126" s="19" t="s">
        <v>269</v>
      </c>
      <c r="O126" s="19" t="s">
        <v>275</v>
      </c>
      <c r="P126" s="23" t="s">
        <v>237</v>
      </c>
      <c r="Q126" s="19" t="s">
        <v>271</v>
      </c>
      <c r="R126" s="19">
        <v>5800</v>
      </c>
      <c r="S126" s="19" t="s">
        <v>272</v>
      </c>
      <c r="T126" s="19" t="s">
        <v>263</v>
      </c>
      <c r="U126" s="20" t="s">
        <v>263</v>
      </c>
      <c r="V126" s="19" t="s">
        <v>200</v>
      </c>
      <c r="W126" s="19" t="s">
        <v>219</v>
      </c>
      <c r="X126" s="35">
        <v>1</v>
      </c>
      <c r="Y126" s="35">
        <v>1</v>
      </c>
      <c r="Z126" s="32"/>
      <c r="AA126" s="22">
        <v>3</v>
      </c>
      <c r="AB126" s="22"/>
      <c r="AC126" s="22"/>
      <c r="AD126" s="22"/>
      <c r="AE126" s="61">
        <f t="shared" si="48"/>
        <v>3</v>
      </c>
      <c r="AF126" s="22"/>
      <c r="AG126" s="40">
        <f t="shared" si="49"/>
        <v>3</v>
      </c>
      <c r="AH126" s="24"/>
      <c r="AI126" s="24"/>
      <c r="AJ126" s="24"/>
      <c r="AK126" s="24"/>
      <c r="AL126" s="23">
        <f t="shared" si="50"/>
        <v>3</v>
      </c>
      <c r="AM126" s="25">
        <v>3</v>
      </c>
      <c r="AN126" s="25"/>
      <c r="AO126" s="25"/>
      <c r="AP126" s="25"/>
      <c r="AQ126" s="80">
        <f t="shared" si="51"/>
        <v>3</v>
      </c>
      <c r="AR126" s="13"/>
      <c r="AS126" s="21"/>
      <c r="AT126" s="21"/>
      <c r="AU126" s="21"/>
      <c r="AV126" s="77"/>
      <c r="AW126" s="21">
        <v>1</v>
      </c>
      <c r="AX126" s="21">
        <v>2</v>
      </c>
      <c r="AY126" s="21"/>
      <c r="AZ126" s="21"/>
      <c r="BA126" s="21"/>
      <c r="BB126" s="21"/>
      <c r="BC126" s="77"/>
      <c r="BD126" s="21"/>
      <c r="BE126" s="21"/>
      <c r="BF126" s="21"/>
      <c r="BG126" s="21"/>
      <c r="BH126" s="21"/>
      <c r="BI126" s="21"/>
      <c r="BJ126" s="77"/>
      <c r="BK126" s="21"/>
      <c r="BL126" s="21"/>
      <c r="BM126" s="21"/>
      <c r="BN126" s="21"/>
      <c r="BO126" s="21"/>
      <c r="BP126" s="21"/>
      <c r="BQ126" s="77"/>
      <c r="BR126" s="21"/>
      <c r="BS126" s="21"/>
      <c r="BT126" s="21"/>
      <c r="BU126" s="21"/>
      <c r="BV126" s="21"/>
      <c r="BW126" s="79">
        <f t="shared" si="31"/>
        <v>3</v>
      </c>
      <c r="BX126" s="58">
        <f t="shared" si="32"/>
        <v>0</v>
      </c>
      <c r="BY126" s="26"/>
      <c r="BZ126" s="21"/>
      <c r="CA126" s="51" t="s">
        <v>475</v>
      </c>
      <c r="CB126" s="50" t="b">
        <f t="shared" si="47"/>
        <v>1</v>
      </c>
      <c r="CC126" s="52" t="s">
        <v>475</v>
      </c>
      <c r="CD126" s="19" t="s">
        <v>1052</v>
      </c>
      <c r="CE126" s="19" t="s">
        <v>886</v>
      </c>
      <c r="CF126" s="19" t="s">
        <v>887</v>
      </c>
      <c r="CG126" s="19" t="s">
        <v>995</v>
      </c>
      <c r="CH126" s="19" t="s">
        <v>897</v>
      </c>
      <c r="CI126" s="19" t="s">
        <v>1015</v>
      </c>
      <c r="CJ126" s="19" t="s">
        <v>1016</v>
      </c>
      <c r="CK126" s="19" t="s">
        <v>1017</v>
      </c>
      <c r="CL126" s="19" t="s">
        <v>876</v>
      </c>
      <c r="CM126" s="19" t="s">
        <v>1018</v>
      </c>
      <c r="CN126" s="19" t="s">
        <v>1019</v>
      </c>
      <c r="CO126" s="19" t="s">
        <v>1050</v>
      </c>
      <c r="CP126" s="19" t="s">
        <v>1051</v>
      </c>
      <c r="CQ126" s="19"/>
      <c r="CR126" s="19"/>
      <c r="CS126" s="19" t="s">
        <v>1020</v>
      </c>
      <c r="CT126" s="19" t="s">
        <v>1021</v>
      </c>
      <c r="CU126" s="19" t="s">
        <v>1022</v>
      </c>
      <c r="CV126" s="19" t="s">
        <v>1023</v>
      </c>
      <c r="CW126" s="19"/>
      <c r="CX126" s="19"/>
      <c r="CY126" s="19"/>
      <c r="CZ126" s="19"/>
      <c r="DA126" s="19"/>
      <c r="DB126" s="19"/>
      <c r="DC126" s="19"/>
      <c r="DD126" s="19"/>
      <c r="DE126" s="19"/>
      <c r="DF126" s="19"/>
    </row>
    <row r="127" spans="1:110" x14ac:dyDescent="0.25">
      <c r="A127" s="19" t="s">
        <v>228</v>
      </c>
      <c r="B127" s="19" t="s">
        <v>80</v>
      </c>
      <c r="C127" s="19" t="str">
        <f t="shared" si="46"/>
        <v>95259075India</v>
      </c>
      <c r="D127" s="19">
        <v>95259075</v>
      </c>
      <c r="E127" s="19" t="s">
        <v>476</v>
      </c>
      <c r="F127" s="19" t="s">
        <v>261</v>
      </c>
      <c r="G127" s="20" t="s">
        <v>476</v>
      </c>
      <c r="H127" s="19"/>
      <c r="I127" s="19" t="s">
        <v>230</v>
      </c>
      <c r="J127" s="19" t="s">
        <v>243</v>
      </c>
      <c r="K127" s="19" t="s">
        <v>266</v>
      </c>
      <c r="L127" s="19" t="s">
        <v>267</v>
      </c>
      <c r="M127" s="19" t="s">
        <v>268</v>
      </c>
      <c r="N127" s="19" t="s">
        <v>269</v>
      </c>
      <c r="O127" s="19" t="s">
        <v>275</v>
      </c>
      <c r="P127" s="23" t="s">
        <v>237</v>
      </c>
      <c r="Q127" s="19" t="s">
        <v>271</v>
      </c>
      <c r="R127" s="19">
        <v>5800</v>
      </c>
      <c r="S127" s="19" t="s">
        <v>272</v>
      </c>
      <c r="T127" s="19" t="s">
        <v>263</v>
      </c>
      <c r="U127" s="20" t="s">
        <v>263</v>
      </c>
      <c r="V127" s="19" t="s">
        <v>201</v>
      </c>
      <c r="W127" s="19" t="s">
        <v>219</v>
      </c>
      <c r="X127" s="35">
        <v>8</v>
      </c>
      <c r="Y127" s="35">
        <v>5</v>
      </c>
      <c r="Z127" s="32"/>
      <c r="AA127" s="22">
        <v>5</v>
      </c>
      <c r="AB127" s="22">
        <v>6</v>
      </c>
      <c r="AC127" s="22">
        <v>2</v>
      </c>
      <c r="AD127" s="22">
        <v>1</v>
      </c>
      <c r="AE127" s="61">
        <f t="shared" si="48"/>
        <v>14</v>
      </c>
      <c r="AF127" s="22"/>
      <c r="AG127" s="40">
        <f t="shared" si="49"/>
        <v>14</v>
      </c>
      <c r="AH127" s="24"/>
      <c r="AI127" s="24"/>
      <c r="AJ127" s="24"/>
      <c r="AK127" s="24">
        <v>8</v>
      </c>
      <c r="AL127" s="23">
        <f t="shared" si="50"/>
        <v>22</v>
      </c>
      <c r="AM127" s="25">
        <v>5</v>
      </c>
      <c r="AN127" s="25">
        <v>6</v>
      </c>
      <c r="AO127" s="25">
        <v>2</v>
      </c>
      <c r="AP127" s="25">
        <v>1</v>
      </c>
      <c r="AQ127" s="80">
        <f t="shared" si="51"/>
        <v>14</v>
      </c>
      <c r="AR127" s="13"/>
      <c r="AS127" s="21"/>
      <c r="AT127" s="21">
        <v>5</v>
      </c>
      <c r="AU127" s="21"/>
      <c r="AV127" s="77"/>
      <c r="AW127" s="21"/>
      <c r="AX127" s="21"/>
      <c r="AY127" s="21"/>
      <c r="AZ127" s="21"/>
      <c r="BA127" s="21">
        <v>3</v>
      </c>
      <c r="BB127" s="21">
        <v>3</v>
      </c>
      <c r="BC127" s="77"/>
      <c r="BD127" s="21"/>
      <c r="BE127" s="21"/>
      <c r="BF127" s="21"/>
      <c r="BG127" s="21"/>
      <c r="BH127" s="21">
        <v>2</v>
      </c>
      <c r="BI127" s="21"/>
      <c r="BJ127" s="77"/>
      <c r="BK127" s="21"/>
      <c r="BL127" s="21"/>
      <c r="BM127" s="21"/>
      <c r="BN127" s="21"/>
      <c r="BO127" s="21">
        <v>1</v>
      </c>
      <c r="BP127" s="21"/>
      <c r="BQ127" s="77"/>
      <c r="BR127" s="21"/>
      <c r="BS127" s="21"/>
      <c r="BT127" s="21"/>
      <c r="BU127" s="21"/>
      <c r="BV127" s="21"/>
      <c r="BW127" s="79">
        <f t="shared" si="31"/>
        <v>14</v>
      </c>
      <c r="BX127" s="58">
        <f t="shared" si="32"/>
        <v>0</v>
      </c>
      <c r="BY127" s="26"/>
      <c r="BZ127" s="21"/>
      <c r="CA127" s="51" t="s">
        <v>476</v>
      </c>
      <c r="CB127" s="50" t="b">
        <f t="shared" si="47"/>
        <v>1</v>
      </c>
      <c r="CC127" s="52" t="s">
        <v>476</v>
      </c>
      <c r="CD127" s="19" t="s">
        <v>1053</v>
      </c>
      <c r="CE127" s="19" t="s">
        <v>886</v>
      </c>
      <c r="CF127" s="19" t="s">
        <v>887</v>
      </c>
      <c r="CG127" s="19" t="s">
        <v>908</v>
      </c>
      <c r="CH127" s="19" t="s">
        <v>909</v>
      </c>
      <c r="CI127" s="19" t="s">
        <v>898</v>
      </c>
      <c r="CJ127" s="19" t="s">
        <v>899</v>
      </c>
      <c r="CK127" s="19" t="s">
        <v>875</v>
      </c>
      <c r="CL127" s="19" t="s">
        <v>876</v>
      </c>
      <c r="CM127" s="19" t="s">
        <v>1054</v>
      </c>
      <c r="CN127" s="19" t="s">
        <v>1055</v>
      </c>
      <c r="CO127" s="19" t="s">
        <v>1008</v>
      </c>
      <c r="CP127" s="19" t="s">
        <v>1009</v>
      </c>
      <c r="CQ127" s="19"/>
      <c r="CR127" s="19"/>
      <c r="CS127" s="19" t="s">
        <v>904</v>
      </c>
      <c r="CT127" s="19" t="s">
        <v>905</v>
      </c>
      <c r="CU127" s="19" t="s">
        <v>910</v>
      </c>
      <c r="CV127" s="19" t="s">
        <v>911</v>
      </c>
      <c r="CW127" s="19"/>
      <c r="CX127" s="19"/>
      <c r="CY127" s="19"/>
      <c r="CZ127" s="19"/>
      <c r="DA127" s="19"/>
      <c r="DB127" s="19"/>
      <c r="DC127" s="19"/>
      <c r="DD127" s="19"/>
      <c r="DE127" s="19"/>
      <c r="DF127" s="19"/>
    </row>
    <row r="128" spans="1:110" x14ac:dyDescent="0.25">
      <c r="A128" s="19" t="s">
        <v>228</v>
      </c>
      <c r="B128" s="19" t="s">
        <v>80</v>
      </c>
      <c r="C128" s="19" t="str">
        <f t="shared" si="46"/>
        <v>95259577India</v>
      </c>
      <c r="D128" s="19">
        <v>95259577</v>
      </c>
      <c r="E128" s="19" t="s">
        <v>475</v>
      </c>
      <c r="F128" s="19" t="s">
        <v>261</v>
      </c>
      <c r="G128" s="20" t="s">
        <v>475</v>
      </c>
      <c r="H128" s="19"/>
      <c r="I128" s="19" t="s">
        <v>230</v>
      </c>
      <c r="J128" s="19" t="s">
        <v>243</v>
      </c>
      <c r="K128" s="19" t="s">
        <v>266</v>
      </c>
      <c r="L128" s="19" t="s">
        <v>279</v>
      </c>
      <c r="M128" s="19" t="s">
        <v>268</v>
      </c>
      <c r="N128" s="19" t="s">
        <v>269</v>
      </c>
      <c r="O128" s="19" t="s">
        <v>275</v>
      </c>
      <c r="P128" s="23" t="s">
        <v>237</v>
      </c>
      <c r="Q128" s="19" t="s">
        <v>271</v>
      </c>
      <c r="R128" s="19">
        <v>5800</v>
      </c>
      <c r="S128" s="19" t="s">
        <v>272</v>
      </c>
      <c r="T128" s="19" t="s">
        <v>263</v>
      </c>
      <c r="U128" s="20" t="s">
        <v>263</v>
      </c>
      <c r="V128" s="19" t="s">
        <v>1609</v>
      </c>
      <c r="W128" s="19" t="s">
        <v>219</v>
      </c>
      <c r="X128" s="35">
        <v>2</v>
      </c>
      <c r="Y128" s="35">
        <v>2</v>
      </c>
      <c r="Z128" s="32"/>
      <c r="AA128" s="22"/>
      <c r="AB128" s="22"/>
      <c r="AC128" s="22">
        <v>1</v>
      </c>
      <c r="AD128" s="22">
        <v>1</v>
      </c>
      <c r="AE128" s="61">
        <f t="shared" si="48"/>
        <v>2</v>
      </c>
      <c r="AF128" s="22"/>
      <c r="AG128" s="40">
        <f t="shared" si="49"/>
        <v>2</v>
      </c>
      <c r="AH128" s="24"/>
      <c r="AI128" s="24"/>
      <c r="AJ128" s="24"/>
      <c r="AK128" s="24"/>
      <c r="AL128" s="23">
        <f t="shared" si="50"/>
        <v>2</v>
      </c>
      <c r="AM128" s="25"/>
      <c r="AN128" s="25"/>
      <c r="AO128" s="25">
        <v>1</v>
      </c>
      <c r="AP128" s="25">
        <v>1</v>
      </c>
      <c r="AQ128" s="80">
        <f t="shared" si="51"/>
        <v>2</v>
      </c>
      <c r="AR128" s="13"/>
      <c r="AS128" s="21"/>
      <c r="AT128" s="21"/>
      <c r="AU128" s="21"/>
      <c r="AV128" s="77"/>
      <c r="AW128" s="21"/>
      <c r="AX128" s="21"/>
      <c r="AY128" s="21"/>
      <c r="AZ128" s="21"/>
      <c r="BA128" s="21"/>
      <c r="BB128" s="21"/>
      <c r="BC128" s="77"/>
      <c r="BD128" s="21"/>
      <c r="BE128" s="21"/>
      <c r="BF128" s="21"/>
      <c r="BG128" s="21"/>
      <c r="BH128" s="21">
        <v>1</v>
      </c>
      <c r="BI128" s="21"/>
      <c r="BJ128" s="77"/>
      <c r="BK128" s="21"/>
      <c r="BL128" s="21"/>
      <c r="BM128" s="21"/>
      <c r="BN128" s="21"/>
      <c r="BO128" s="21">
        <v>1</v>
      </c>
      <c r="BP128" s="21"/>
      <c r="BQ128" s="77"/>
      <c r="BR128" s="21"/>
      <c r="BS128" s="21"/>
      <c r="BT128" s="21"/>
      <c r="BU128" s="21"/>
      <c r="BV128" s="21"/>
      <c r="BW128" s="79">
        <f t="shared" si="31"/>
        <v>2</v>
      </c>
      <c r="BX128" s="58">
        <f t="shared" si="32"/>
        <v>0</v>
      </c>
      <c r="BY128" s="26"/>
      <c r="BZ128" s="27"/>
      <c r="CA128" s="51" t="s">
        <v>475</v>
      </c>
      <c r="CB128" s="50" t="b">
        <f t="shared" si="47"/>
        <v>1</v>
      </c>
      <c r="CC128" s="73" t="s">
        <v>475</v>
      </c>
      <c r="CD128" s="7" t="s">
        <v>1052</v>
      </c>
      <c r="CE128" s="7" t="s">
        <v>886</v>
      </c>
      <c r="CF128" s="7" t="s">
        <v>887</v>
      </c>
      <c r="CG128" s="7" t="s">
        <v>995</v>
      </c>
      <c r="CH128" s="7" t="s">
        <v>897</v>
      </c>
      <c r="CI128" s="7" t="s">
        <v>1015</v>
      </c>
      <c r="CJ128" s="7" t="s">
        <v>1016</v>
      </c>
      <c r="CK128" s="7" t="s">
        <v>1017</v>
      </c>
      <c r="CL128" s="7" t="s">
        <v>876</v>
      </c>
      <c r="CM128" s="7" t="s">
        <v>1018</v>
      </c>
      <c r="CN128" s="7" t="s">
        <v>1019</v>
      </c>
      <c r="CO128" s="7" t="s">
        <v>1050</v>
      </c>
      <c r="CP128" s="7" t="s">
        <v>1051</v>
      </c>
      <c r="CQ128" s="7"/>
      <c r="CR128" s="7"/>
      <c r="CS128" s="7" t="s">
        <v>1020</v>
      </c>
      <c r="CT128" s="7" t="s">
        <v>1021</v>
      </c>
      <c r="CU128" s="7" t="s">
        <v>1022</v>
      </c>
      <c r="CV128" s="7" t="s">
        <v>1023</v>
      </c>
      <c r="CW128" s="7"/>
      <c r="CX128" s="7"/>
      <c r="CY128" s="7"/>
      <c r="CZ128" s="7"/>
      <c r="DA128" s="7"/>
      <c r="DB128" s="7"/>
      <c r="DC128" s="7"/>
      <c r="DD128" s="7"/>
      <c r="DE128" s="7"/>
      <c r="DF128" s="7"/>
    </row>
    <row r="129" spans="1:110" x14ac:dyDescent="0.25">
      <c r="A129" s="19" t="s">
        <v>228</v>
      </c>
      <c r="B129" s="19" t="s">
        <v>80</v>
      </c>
      <c r="C129" s="19" t="str">
        <f t="shared" si="46"/>
        <v>95259073India</v>
      </c>
      <c r="D129" s="19">
        <v>95259073</v>
      </c>
      <c r="E129" s="19" t="s">
        <v>476</v>
      </c>
      <c r="F129" s="19" t="s">
        <v>261</v>
      </c>
      <c r="G129" s="20" t="s">
        <v>476</v>
      </c>
      <c r="H129" s="19"/>
      <c r="I129" s="19" t="s">
        <v>230</v>
      </c>
      <c r="J129" s="19" t="s">
        <v>243</v>
      </c>
      <c r="K129" s="19" t="s">
        <v>266</v>
      </c>
      <c r="L129" s="19" t="s">
        <v>267</v>
      </c>
      <c r="M129" s="19" t="s">
        <v>268</v>
      </c>
      <c r="N129" s="19" t="s">
        <v>269</v>
      </c>
      <c r="O129" s="19" t="s">
        <v>275</v>
      </c>
      <c r="P129" s="23" t="s">
        <v>237</v>
      </c>
      <c r="Q129" s="19" t="s">
        <v>271</v>
      </c>
      <c r="R129" s="19">
        <v>5800</v>
      </c>
      <c r="S129" s="19" t="s">
        <v>272</v>
      </c>
      <c r="T129" s="19" t="s">
        <v>263</v>
      </c>
      <c r="U129" s="20" t="s">
        <v>263</v>
      </c>
      <c r="V129" s="19" t="s">
        <v>1559</v>
      </c>
      <c r="W129" s="19" t="s">
        <v>219</v>
      </c>
      <c r="X129" s="35">
        <v>2</v>
      </c>
      <c r="Y129" s="35">
        <v>2</v>
      </c>
      <c r="Z129" s="32"/>
      <c r="AA129" s="22"/>
      <c r="AB129" s="22"/>
      <c r="AC129" s="22"/>
      <c r="AD129" s="22">
        <v>2</v>
      </c>
      <c r="AE129" s="61">
        <f t="shared" si="48"/>
        <v>2</v>
      </c>
      <c r="AF129" s="22"/>
      <c r="AG129" s="40">
        <f t="shared" si="49"/>
        <v>2</v>
      </c>
      <c r="AH129" s="24"/>
      <c r="AI129" s="24"/>
      <c r="AJ129" s="24"/>
      <c r="AK129" s="24"/>
      <c r="AL129" s="23">
        <f t="shared" si="50"/>
        <v>2</v>
      </c>
      <c r="AM129" s="25"/>
      <c r="AN129" s="25"/>
      <c r="AO129" s="25"/>
      <c r="AP129" s="25">
        <v>2</v>
      </c>
      <c r="AQ129" s="80">
        <f t="shared" si="51"/>
        <v>2</v>
      </c>
      <c r="AR129" s="13"/>
      <c r="AS129" s="21"/>
      <c r="AT129" s="21"/>
      <c r="AU129" s="21"/>
      <c r="AV129" s="77"/>
      <c r="AW129" s="21"/>
      <c r="AX129" s="21"/>
      <c r="AY129" s="21"/>
      <c r="AZ129" s="21"/>
      <c r="BA129" s="21"/>
      <c r="BB129" s="21"/>
      <c r="BC129" s="77"/>
      <c r="BD129" s="21"/>
      <c r="BE129" s="21"/>
      <c r="BF129" s="21"/>
      <c r="BG129" s="21"/>
      <c r="BH129" s="21"/>
      <c r="BI129" s="21"/>
      <c r="BJ129" s="77"/>
      <c r="BK129" s="21"/>
      <c r="BL129" s="21"/>
      <c r="BM129" s="21"/>
      <c r="BN129" s="21"/>
      <c r="BO129" s="21">
        <v>2</v>
      </c>
      <c r="BP129" s="21"/>
      <c r="BQ129" s="77"/>
      <c r="BR129" s="21"/>
      <c r="BS129" s="21"/>
      <c r="BT129" s="21"/>
      <c r="BU129" s="21"/>
      <c r="BV129" s="21"/>
      <c r="BW129" s="79">
        <f t="shared" si="31"/>
        <v>2</v>
      </c>
      <c r="BX129" s="58">
        <f t="shared" si="32"/>
        <v>0</v>
      </c>
      <c r="BY129" s="26"/>
      <c r="BZ129" s="21"/>
      <c r="CA129" s="51" t="s">
        <v>476</v>
      </c>
      <c r="CB129" s="50" t="b">
        <f t="shared" si="47"/>
        <v>1</v>
      </c>
      <c r="CC129" s="52" t="s">
        <v>476</v>
      </c>
      <c r="CD129" s="19" t="s">
        <v>1053</v>
      </c>
      <c r="CE129" s="19" t="s">
        <v>886</v>
      </c>
      <c r="CF129" s="19" t="s">
        <v>887</v>
      </c>
      <c r="CG129" s="19" t="s">
        <v>908</v>
      </c>
      <c r="CH129" s="19" t="s">
        <v>909</v>
      </c>
      <c r="CI129" s="19" t="s">
        <v>898</v>
      </c>
      <c r="CJ129" s="19" t="s">
        <v>899</v>
      </c>
      <c r="CK129" s="19" t="s">
        <v>875</v>
      </c>
      <c r="CL129" s="19" t="s">
        <v>876</v>
      </c>
      <c r="CM129" s="19" t="s">
        <v>1054</v>
      </c>
      <c r="CN129" s="19" t="s">
        <v>1055</v>
      </c>
      <c r="CO129" s="19" t="s">
        <v>1008</v>
      </c>
      <c r="CP129" s="19" t="s">
        <v>1009</v>
      </c>
      <c r="CQ129" s="19"/>
      <c r="CR129" s="19"/>
      <c r="CS129" s="19" t="s">
        <v>904</v>
      </c>
      <c r="CT129" s="19" t="s">
        <v>905</v>
      </c>
      <c r="CU129" s="19" t="s">
        <v>910</v>
      </c>
      <c r="CV129" s="19" t="s">
        <v>911</v>
      </c>
      <c r="CW129" s="19"/>
      <c r="CX129" s="19"/>
      <c r="CY129" s="19"/>
      <c r="CZ129" s="19"/>
      <c r="DA129" s="19"/>
      <c r="DB129" s="19"/>
      <c r="DC129" s="19"/>
      <c r="DD129" s="19"/>
      <c r="DE129" s="19"/>
      <c r="DF129" s="19"/>
    </row>
    <row r="130" spans="1:110" x14ac:dyDescent="0.25">
      <c r="A130" s="19" t="s">
        <v>228</v>
      </c>
      <c r="B130" s="19" t="s">
        <v>80</v>
      </c>
      <c r="C130" s="19" t="str">
        <f t="shared" si="46"/>
        <v>95258925India</v>
      </c>
      <c r="D130" s="19">
        <v>95258925</v>
      </c>
      <c r="E130" s="19" t="s">
        <v>478</v>
      </c>
      <c r="F130" s="19" t="s">
        <v>261</v>
      </c>
      <c r="G130" s="20" t="s">
        <v>478</v>
      </c>
      <c r="H130" s="19"/>
      <c r="I130" s="19" t="s">
        <v>230</v>
      </c>
      <c r="J130" s="19" t="s">
        <v>243</v>
      </c>
      <c r="K130" s="19" t="s">
        <v>266</v>
      </c>
      <c r="L130" s="19" t="s">
        <v>279</v>
      </c>
      <c r="M130" s="19" t="s">
        <v>268</v>
      </c>
      <c r="N130" s="19" t="s">
        <v>269</v>
      </c>
      <c r="O130" s="19" t="s">
        <v>275</v>
      </c>
      <c r="P130" s="23" t="s">
        <v>237</v>
      </c>
      <c r="Q130" s="19" t="s">
        <v>271</v>
      </c>
      <c r="R130" s="19">
        <v>5800</v>
      </c>
      <c r="S130" s="19" t="s">
        <v>272</v>
      </c>
      <c r="T130" s="19" t="s">
        <v>263</v>
      </c>
      <c r="U130" s="20" t="s">
        <v>263</v>
      </c>
      <c r="V130" s="19" t="s">
        <v>204</v>
      </c>
      <c r="W130" s="19" t="s">
        <v>219</v>
      </c>
      <c r="X130" s="35">
        <v>3</v>
      </c>
      <c r="Y130" s="35">
        <v>3</v>
      </c>
      <c r="Z130" s="32"/>
      <c r="AA130" s="22">
        <v>1</v>
      </c>
      <c r="AB130" s="22">
        <v>1</v>
      </c>
      <c r="AC130" s="22">
        <v>1</v>
      </c>
      <c r="AD130" s="22"/>
      <c r="AE130" s="61">
        <f t="shared" si="48"/>
        <v>3</v>
      </c>
      <c r="AF130" s="22"/>
      <c r="AG130" s="40">
        <f t="shared" si="49"/>
        <v>3</v>
      </c>
      <c r="AH130" s="24"/>
      <c r="AI130" s="24"/>
      <c r="AJ130" s="24"/>
      <c r="AK130" s="24"/>
      <c r="AL130" s="23">
        <f t="shared" si="50"/>
        <v>3</v>
      </c>
      <c r="AM130" s="25">
        <v>1</v>
      </c>
      <c r="AN130" s="25">
        <v>1</v>
      </c>
      <c r="AO130" s="25">
        <v>1</v>
      </c>
      <c r="AP130" s="25"/>
      <c r="AQ130" s="80">
        <f t="shared" si="51"/>
        <v>3</v>
      </c>
      <c r="AR130" s="13"/>
      <c r="AS130" s="21"/>
      <c r="AT130" s="21"/>
      <c r="AU130" s="21"/>
      <c r="AV130" s="77"/>
      <c r="AW130" s="21"/>
      <c r="AX130" s="21">
        <v>1</v>
      </c>
      <c r="AY130" s="21"/>
      <c r="AZ130" s="21"/>
      <c r="BA130" s="21"/>
      <c r="BB130" s="21"/>
      <c r="BC130" s="77"/>
      <c r="BD130" s="21"/>
      <c r="BE130" s="21"/>
      <c r="BF130" s="21"/>
      <c r="BG130" s="21">
        <v>1</v>
      </c>
      <c r="BH130" s="21"/>
      <c r="BI130" s="21"/>
      <c r="BJ130" s="77"/>
      <c r="BK130" s="21">
        <v>1</v>
      </c>
      <c r="BL130" s="21"/>
      <c r="BM130" s="21"/>
      <c r="BN130" s="21"/>
      <c r="BO130" s="21"/>
      <c r="BP130" s="21"/>
      <c r="BQ130" s="77"/>
      <c r="BR130" s="21"/>
      <c r="BS130" s="21"/>
      <c r="BT130" s="21"/>
      <c r="BU130" s="21"/>
      <c r="BV130" s="21"/>
      <c r="BW130" s="79">
        <f t="shared" si="31"/>
        <v>3</v>
      </c>
      <c r="BX130" s="58">
        <f t="shared" si="32"/>
        <v>0</v>
      </c>
      <c r="BY130" s="26"/>
      <c r="BZ130" s="21"/>
      <c r="CA130" s="51" t="s">
        <v>478</v>
      </c>
      <c r="CB130" s="50" t="b">
        <f t="shared" si="47"/>
        <v>1</v>
      </c>
      <c r="CC130" s="52" t="s">
        <v>478</v>
      </c>
      <c r="CD130" s="19" t="s">
        <v>1056</v>
      </c>
      <c r="CE130" s="19" t="s">
        <v>886</v>
      </c>
      <c r="CF130" s="19" t="s">
        <v>887</v>
      </c>
      <c r="CG130" s="19" t="s">
        <v>995</v>
      </c>
      <c r="CH130" s="19" t="s">
        <v>897</v>
      </c>
      <c r="CI130" s="19" t="s">
        <v>1015</v>
      </c>
      <c r="CJ130" s="19" t="s">
        <v>1016</v>
      </c>
      <c r="CK130" s="19" t="s">
        <v>1017</v>
      </c>
      <c r="CL130" s="19" t="s">
        <v>876</v>
      </c>
      <c r="CM130" s="19" t="s">
        <v>1036</v>
      </c>
      <c r="CN130" s="19" t="s">
        <v>1037</v>
      </c>
      <c r="CO130" s="19" t="s">
        <v>1039</v>
      </c>
      <c r="CP130" s="19" t="s">
        <v>1040</v>
      </c>
      <c r="CQ130" s="19"/>
      <c r="CR130" s="19"/>
      <c r="CS130" s="19" t="s">
        <v>1020</v>
      </c>
      <c r="CT130" s="19" t="s">
        <v>1021</v>
      </c>
      <c r="CU130" s="19" t="s">
        <v>1022</v>
      </c>
      <c r="CV130" s="19" t="s">
        <v>1023</v>
      </c>
      <c r="CW130" s="19"/>
      <c r="CX130" s="19"/>
      <c r="CY130" s="19"/>
      <c r="CZ130" s="19"/>
      <c r="DA130" s="19"/>
      <c r="DB130" s="19"/>
      <c r="DC130" s="19"/>
      <c r="DD130" s="19"/>
      <c r="DE130" s="19"/>
      <c r="DF130" s="19"/>
    </row>
    <row r="131" spans="1:110" x14ac:dyDescent="0.25">
      <c r="A131" s="19" t="s">
        <v>228</v>
      </c>
      <c r="B131" s="19" t="s">
        <v>80</v>
      </c>
      <c r="C131" s="19" t="str">
        <f t="shared" si="46"/>
        <v>95259357India</v>
      </c>
      <c r="D131" s="19">
        <v>95259357</v>
      </c>
      <c r="E131" s="19" t="s">
        <v>425</v>
      </c>
      <c r="F131" s="19" t="s">
        <v>261</v>
      </c>
      <c r="G131" s="20" t="s">
        <v>425</v>
      </c>
      <c r="H131" s="19"/>
      <c r="I131" s="19" t="s">
        <v>230</v>
      </c>
      <c r="J131" s="19" t="s">
        <v>243</v>
      </c>
      <c r="K131" s="19" t="s">
        <v>266</v>
      </c>
      <c r="L131" s="19" t="s">
        <v>279</v>
      </c>
      <c r="M131" s="19" t="s">
        <v>268</v>
      </c>
      <c r="N131" s="19" t="s">
        <v>269</v>
      </c>
      <c r="O131" s="19" t="s">
        <v>275</v>
      </c>
      <c r="P131" s="23" t="s">
        <v>237</v>
      </c>
      <c r="Q131" s="19" t="s">
        <v>271</v>
      </c>
      <c r="R131" s="19">
        <v>5800</v>
      </c>
      <c r="S131" s="19" t="s">
        <v>272</v>
      </c>
      <c r="T131" s="19" t="s">
        <v>263</v>
      </c>
      <c r="U131" s="20" t="s">
        <v>263</v>
      </c>
      <c r="V131" s="19" t="s">
        <v>1561</v>
      </c>
      <c r="W131" s="19" t="s">
        <v>219</v>
      </c>
      <c r="X131" s="35">
        <v>5</v>
      </c>
      <c r="Y131" s="35">
        <v>5</v>
      </c>
      <c r="Z131" s="32"/>
      <c r="AA131" s="22"/>
      <c r="AB131" s="22"/>
      <c r="AC131" s="22"/>
      <c r="AD131" s="22">
        <v>5</v>
      </c>
      <c r="AE131" s="61">
        <f t="shared" si="48"/>
        <v>5</v>
      </c>
      <c r="AF131" s="22"/>
      <c r="AG131" s="40">
        <f t="shared" si="49"/>
        <v>5</v>
      </c>
      <c r="AH131" s="24"/>
      <c r="AI131" s="24"/>
      <c r="AJ131" s="24"/>
      <c r="AK131" s="24">
        <v>5</v>
      </c>
      <c r="AL131" s="23">
        <f t="shared" si="50"/>
        <v>10</v>
      </c>
      <c r="AM131" s="25"/>
      <c r="AN131" s="25"/>
      <c r="AO131" s="25"/>
      <c r="AP131" s="25">
        <v>5</v>
      </c>
      <c r="AQ131" s="80">
        <f t="shared" si="51"/>
        <v>5</v>
      </c>
      <c r="AR131" s="13"/>
      <c r="AS131" s="21"/>
      <c r="AT131" s="21"/>
      <c r="AU131" s="21"/>
      <c r="AV131" s="77"/>
      <c r="AW131" s="21"/>
      <c r="AX131" s="21"/>
      <c r="AY131" s="21"/>
      <c r="AZ131" s="21"/>
      <c r="BA131" s="21"/>
      <c r="BB131" s="21"/>
      <c r="BC131" s="77"/>
      <c r="BD131" s="21"/>
      <c r="BE131" s="21"/>
      <c r="BF131" s="21"/>
      <c r="BG131" s="21"/>
      <c r="BH131" s="21"/>
      <c r="BI131" s="21"/>
      <c r="BJ131" s="77"/>
      <c r="BK131" s="21"/>
      <c r="BL131" s="21"/>
      <c r="BM131" s="21"/>
      <c r="BN131" s="21"/>
      <c r="BO131" s="21">
        <v>2</v>
      </c>
      <c r="BP131" s="21">
        <v>3</v>
      </c>
      <c r="BQ131" s="77"/>
      <c r="BR131" s="21"/>
      <c r="BS131" s="21"/>
      <c r="BT131" s="21"/>
      <c r="BU131" s="21"/>
      <c r="BV131" s="21"/>
      <c r="BW131" s="79">
        <f t="shared" si="31"/>
        <v>5</v>
      </c>
      <c r="BX131" s="58">
        <f t="shared" si="32"/>
        <v>0</v>
      </c>
      <c r="BY131" s="26"/>
      <c r="BZ131" s="21"/>
      <c r="CA131" s="51" t="s">
        <v>425</v>
      </c>
      <c r="CB131" s="50" t="b">
        <f t="shared" si="47"/>
        <v>1</v>
      </c>
      <c r="CC131" s="52" t="s">
        <v>425</v>
      </c>
      <c r="CD131" s="19" t="s">
        <v>1010</v>
      </c>
      <c r="CE131" s="19" t="s">
        <v>886</v>
      </c>
      <c r="CF131" s="19" t="s">
        <v>887</v>
      </c>
      <c r="CG131" s="19" t="s">
        <v>908</v>
      </c>
      <c r="CH131" s="19" t="s">
        <v>909</v>
      </c>
      <c r="CI131" s="19" t="s">
        <v>898</v>
      </c>
      <c r="CJ131" s="19" t="s">
        <v>899</v>
      </c>
      <c r="CK131" s="19" t="s">
        <v>875</v>
      </c>
      <c r="CL131" s="19" t="s">
        <v>876</v>
      </c>
      <c r="CM131" s="19" t="s">
        <v>1011</v>
      </c>
      <c r="CN131" s="19" t="s">
        <v>1012</v>
      </c>
      <c r="CO131" s="19" t="s">
        <v>1013</v>
      </c>
      <c r="CP131" s="19" t="s">
        <v>1014</v>
      </c>
      <c r="CQ131" s="19"/>
      <c r="CR131" s="19"/>
      <c r="CS131" s="19" t="s">
        <v>904</v>
      </c>
      <c r="CT131" s="19" t="s">
        <v>905</v>
      </c>
      <c r="CU131" s="19" t="s">
        <v>910</v>
      </c>
      <c r="CV131" s="19" t="s">
        <v>911</v>
      </c>
      <c r="CW131" s="19"/>
      <c r="CX131" s="19"/>
      <c r="CY131" s="19"/>
      <c r="CZ131" s="19"/>
      <c r="DA131" s="19"/>
      <c r="DB131" s="19"/>
      <c r="DC131" s="19"/>
      <c r="DD131" s="19"/>
      <c r="DE131" s="19"/>
      <c r="DF131" s="19"/>
    </row>
    <row r="132" spans="1:110" x14ac:dyDescent="0.25">
      <c r="A132" s="19" t="s">
        <v>228</v>
      </c>
      <c r="B132" s="19" t="s">
        <v>80</v>
      </c>
      <c r="C132" s="19" t="str">
        <f t="shared" si="46"/>
        <v>95259080India</v>
      </c>
      <c r="D132" s="19">
        <v>95259080</v>
      </c>
      <c r="E132" s="19" t="s">
        <v>457</v>
      </c>
      <c r="F132" s="19" t="s">
        <v>261</v>
      </c>
      <c r="G132" s="20" t="s">
        <v>457</v>
      </c>
      <c r="H132" s="19"/>
      <c r="I132" s="19" t="s">
        <v>230</v>
      </c>
      <c r="J132" s="19" t="s">
        <v>243</v>
      </c>
      <c r="K132" s="19" t="s">
        <v>266</v>
      </c>
      <c r="L132" s="19" t="s">
        <v>279</v>
      </c>
      <c r="M132" s="19" t="s">
        <v>268</v>
      </c>
      <c r="N132" s="19" t="s">
        <v>269</v>
      </c>
      <c r="O132" s="19" t="s">
        <v>275</v>
      </c>
      <c r="P132" s="23" t="s">
        <v>237</v>
      </c>
      <c r="Q132" s="19" t="s">
        <v>271</v>
      </c>
      <c r="R132" s="19">
        <v>5800</v>
      </c>
      <c r="S132" s="19" t="s">
        <v>272</v>
      </c>
      <c r="T132" s="19" t="s">
        <v>263</v>
      </c>
      <c r="U132" s="20" t="s">
        <v>263</v>
      </c>
      <c r="V132" s="19" t="s">
        <v>207</v>
      </c>
      <c r="W132" s="19" t="s">
        <v>219</v>
      </c>
      <c r="X132" s="35">
        <v>1</v>
      </c>
      <c r="Y132" s="35">
        <v>1</v>
      </c>
      <c r="Z132" s="32"/>
      <c r="AA132" s="22"/>
      <c r="AB132" s="22"/>
      <c r="AC132" s="22"/>
      <c r="AD132" s="22"/>
      <c r="AE132" s="61">
        <f t="shared" si="48"/>
        <v>0</v>
      </c>
      <c r="AF132" s="22"/>
      <c r="AG132" s="40">
        <f t="shared" si="49"/>
        <v>0</v>
      </c>
      <c r="AH132" s="24"/>
      <c r="AI132" s="24"/>
      <c r="AJ132" s="24"/>
      <c r="AK132" s="24"/>
      <c r="AL132" s="23">
        <f t="shared" si="50"/>
        <v>0</v>
      </c>
      <c r="AM132" s="25"/>
      <c r="AN132" s="25"/>
      <c r="AO132" s="25"/>
      <c r="AP132" s="25"/>
      <c r="AQ132" s="80">
        <f t="shared" si="51"/>
        <v>0</v>
      </c>
      <c r="AR132" s="13"/>
      <c r="AS132" s="21"/>
      <c r="AT132" s="21"/>
      <c r="AU132" s="21"/>
      <c r="AV132" s="77"/>
      <c r="AW132" s="21"/>
      <c r="AX132" s="21"/>
      <c r="AY132" s="21"/>
      <c r="AZ132" s="21"/>
      <c r="BA132" s="21"/>
      <c r="BB132" s="21"/>
      <c r="BC132" s="77"/>
      <c r="BD132" s="21"/>
      <c r="BE132" s="21"/>
      <c r="BF132" s="21"/>
      <c r="BG132" s="21"/>
      <c r="BH132" s="21"/>
      <c r="BI132" s="21"/>
      <c r="BJ132" s="77"/>
      <c r="BK132" s="21"/>
      <c r="BL132" s="21"/>
      <c r="BM132" s="21"/>
      <c r="BN132" s="21"/>
      <c r="BO132" s="21"/>
      <c r="BP132" s="21"/>
      <c r="BQ132" s="77"/>
      <c r="BR132" s="21"/>
      <c r="BS132" s="21"/>
      <c r="BT132" s="21"/>
      <c r="BU132" s="21"/>
      <c r="BV132" s="21"/>
      <c r="BW132" s="79">
        <f t="shared" si="31"/>
        <v>0</v>
      </c>
      <c r="BX132" s="58">
        <f t="shared" si="32"/>
        <v>0</v>
      </c>
      <c r="BY132" s="26"/>
      <c r="BZ132" s="21"/>
      <c r="CA132" s="51" t="s">
        <v>457</v>
      </c>
      <c r="CB132" s="50" t="b">
        <f t="shared" si="47"/>
        <v>1</v>
      </c>
      <c r="CC132" s="52" t="s">
        <v>457</v>
      </c>
      <c r="CD132" s="19" t="s">
        <v>1038</v>
      </c>
      <c r="CE132" s="19" t="s">
        <v>886</v>
      </c>
      <c r="CF132" s="19" t="s">
        <v>887</v>
      </c>
      <c r="CG132" s="19" t="s">
        <v>896</v>
      </c>
      <c r="CH132" s="19" t="s">
        <v>897</v>
      </c>
      <c r="CI132" s="19" t="s">
        <v>1015</v>
      </c>
      <c r="CJ132" s="19" t="s">
        <v>1016</v>
      </c>
      <c r="CK132" s="19" t="s">
        <v>1017</v>
      </c>
      <c r="CL132" s="19" t="s">
        <v>876</v>
      </c>
      <c r="CM132" s="19" t="s">
        <v>1032</v>
      </c>
      <c r="CN132" s="19" t="s">
        <v>1033</v>
      </c>
      <c r="CO132" s="19" t="s">
        <v>1039</v>
      </c>
      <c r="CP132" s="19" t="s">
        <v>1040</v>
      </c>
      <c r="CQ132" s="19"/>
      <c r="CR132" s="19"/>
      <c r="CS132" s="19" t="s">
        <v>1020</v>
      </c>
      <c r="CT132" s="19" t="s">
        <v>1021</v>
      </c>
      <c r="CU132" s="19" t="s">
        <v>1041</v>
      </c>
      <c r="CV132" s="19" t="s">
        <v>1042</v>
      </c>
      <c r="CW132" s="19"/>
      <c r="CX132" s="19"/>
      <c r="CY132" s="19"/>
      <c r="CZ132" s="19"/>
      <c r="DA132" s="19"/>
      <c r="DB132" s="19"/>
      <c r="DC132" s="19"/>
      <c r="DD132" s="19"/>
      <c r="DE132" s="19"/>
      <c r="DF132" s="19"/>
    </row>
    <row r="133" spans="1:110" x14ac:dyDescent="0.25">
      <c r="A133" s="19" t="s">
        <v>228</v>
      </c>
      <c r="B133" s="19" t="s">
        <v>80</v>
      </c>
      <c r="C133" s="19" t="str">
        <f t="shared" si="46"/>
        <v>95255584India</v>
      </c>
      <c r="D133" s="19">
        <v>95255584</v>
      </c>
      <c r="E133" s="19" t="s">
        <v>482</v>
      </c>
      <c r="F133" s="19" t="s">
        <v>261</v>
      </c>
      <c r="G133" s="20" t="s">
        <v>482</v>
      </c>
      <c r="H133" s="19"/>
      <c r="I133" s="19" t="s">
        <v>230</v>
      </c>
      <c r="J133" s="19" t="s">
        <v>243</v>
      </c>
      <c r="K133" s="19" t="s">
        <v>266</v>
      </c>
      <c r="L133" s="19" t="s">
        <v>279</v>
      </c>
      <c r="M133" s="19" t="s">
        <v>268</v>
      </c>
      <c r="N133" s="19" t="s">
        <v>269</v>
      </c>
      <c r="O133" s="19" t="s">
        <v>270</v>
      </c>
      <c r="P133" s="23" t="s">
        <v>237</v>
      </c>
      <c r="Q133" s="19" t="s">
        <v>271</v>
      </c>
      <c r="R133" s="19">
        <v>5800</v>
      </c>
      <c r="S133" s="19" t="s">
        <v>462</v>
      </c>
      <c r="T133" s="19" t="s">
        <v>263</v>
      </c>
      <c r="U133" s="20" t="s">
        <v>263</v>
      </c>
      <c r="V133" s="19" t="s">
        <v>208</v>
      </c>
      <c r="W133" s="19" t="s">
        <v>219</v>
      </c>
      <c r="X133" s="35">
        <v>2</v>
      </c>
      <c r="Y133" s="35">
        <v>2</v>
      </c>
      <c r="Z133" s="32"/>
      <c r="AA133" s="22">
        <v>2</v>
      </c>
      <c r="AB133" s="22">
        <v>1</v>
      </c>
      <c r="AC133" s="22">
        <v>2</v>
      </c>
      <c r="AD133" s="22"/>
      <c r="AE133" s="61">
        <f t="shared" si="48"/>
        <v>5</v>
      </c>
      <c r="AF133" s="22"/>
      <c r="AG133" s="40">
        <f t="shared" si="49"/>
        <v>5</v>
      </c>
      <c r="AH133" s="24">
        <v>5</v>
      </c>
      <c r="AI133" s="24"/>
      <c r="AJ133" s="24"/>
      <c r="AK133" s="24"/>
      <c r="AL133" s="23">
        <f t="shared" si="50"/>
        <v>0</v>
      </c>
      <c r="AM133" s="25"/>
      <c r="AN133" s="25"/>
      <c r="AO133" s="25"/>
      <c r="AP133" s="25"/>
      <c r="AQ133" s="80">
        <f t="shared" si="51"/>
        <v>0</v>
      </c>
      <c r="AR133" s="13">
        <v>5</v>
      </c>
      <c r="AS133" s="21"/>
      <c r="AT133" s="83">
        <v>2</v>
      </c>
      <c r="AU133" s="83">
        <v>3</v>
      </c>
      <c r="AV133" s="77"/>
      <c r="AW133" s="21"/>
      <c r="AX133" s="21"/>
      <c r="AY133" s="21"/>
      <c r="AZ133" s="21"/>
      <c r="BA133" s="21"/>
      <c r="BB133" s="21"/>
      <c r="BC133" s="77"/>
      <c r="BD133" s="21"/>
      <c r="BE133" s="21"/>
      <c r="BF133" s="21"/>
      <c r="BG133" s="21"/>
      <c r="BH133" s="21"/>
      <c r="BI133" s="21"/>
      <c r="BJ133" s="77"/>
      <c r="BK133" s="21"/>
      <c r="BL133" s="21"/>
      <c r="BM133" s="21"/>
      <c r="BN133" s="21"/>
      <c r="BO133" s="21"/>
      <c r="BP133" s="21"/>
      <c r="BQ133" s="77"/>
      <c r="BR133" s="21"/>
      <c r="BS133" s="21"/>
      <c r="BT133" s="21"/>
      <c r="BU133" s="21"/>
      <c r="BV133" s="21"/>
      <c r="BW133" s="79">
        <f t="shared" ref="BW133:BW176" si="52">SUM(AS133:BV133)</f>
        <v>5</v>
      </c>
      <c r="BX133" s="58">
        <f t="shared" ref="BX133:BX176" si="53">AQ133-BW133</f>
        <v>-5</v>
      </c>
      <c r="BY133" s="26"/>
      <c r="BZ133" s="21"/>
      <c r="CA133" s="51" t="s">
        <v>482</v>
      </c>
      <c r="CB133" s="50" t="b">
        <f t="shared" si="47"/>
        <v>1</v>
      </c>
      <c r="CC133" s="52" t="s">
        <v>482</v>
      </c>
      <c r="CD133" s="19" t="s">
        <v>1057</v>
      </c>
      <c r="CE133" s="19" t="s">
        <v>886</v>
      </c>
      <c r="CF133" s="19" t="s">
        <v>976</v>
      </c>
      <c r="CG133" s="19" t="s">
        <v>908</v>
      </c>
      <c r="CH133" s="19" t="s">
        <v>909</v>
      </c>
      <c r="CI133" s="19" t="s">
        <v>898</v>
      </c>
      <c r="CJ133" s="19" t="s">
        <v>899</v>
      </c>
      <c r="CK133" s="19" t="s">
        <v>875</v>
      </c>
      <c r="CL133" s="19" t="s">
        <v>876</v>
      </c>
      <c r="CM133" s="19" t="s">
        <v>1003</v>
      </c>
      <c r="CN133" s="19" t="s">
        <v>1004</v>
      </c>
      <c r="CO133" s="19" t="s">
        <v>977</v>
      </c>
      <c r="CP133" s="19" t="s">
        <v>978</v>
      </c>
      <c r="CQ133" s="19"/>
      <c r="CR133" s="19"/>
      <c r="CS133" s="19" t="s">
        <v>904</v>
      </c>
      <c r="CT133" s="19" t="s">
        <v>905</v>
      </c>
      <c r="CU133" s="19" t="s">
        <v>910</v>
      </c>
      <c r="CV133" s="19" t="s">
        <v>911</v>
      </c>
      <c r="CW133" s="19"/>
      <c r="CX133" s="19"/>
      <c r="CY133" s="19"/>
      <c r="CZ133" s="19"/>
      <c r="DA133" s="19"/>
      <c r="DB133" s="19"/>
      <c r="DC133" s="19"/>
      <c r="DD133" s="19"/>
      <c r="DE133" s="19"/>
      <c r="DF133" s="19"/>
    </row>
    <row r="134" spans="1:110" x14ac:dyDescent="0.25">
      <c r="A134" s="19" t="s">
        <v>228</v>
      </c>
      <c r="B134" s="19" t="s">
        <v>80</v>
      </c>
      <c r="C134" s="19" t="str">
        <f t="shared" si="46"/>
        <v>95259729India</v>
      </c>
      <c r="D134" s="19">
        <v>95259729</v>
      </c>
      <c r="E134" s="19" t="s">
        <v>484</v>
      </c>
      <c r="F134" s="19" t="s">
        <v>261</v>
      </c>
      <c r="G134" s="20" t="s">
        <v>484</v>
      </c>
      <c r="H134" s="19"/>
      <c r="I134" s="19" t="s">
        <v>230</v>
      </c>
      <c r="J134" s="19" t="s">
        <v>243</v>
      </c>
      <c r="K134" s="19" t="s">
        <v>266</v>
      </c>
      <c r="L134" s="19" t="s">
        <v>267</v>
      </c>
      <c r="M134" s="19" t="s">
        <v>268</v>
      </c>
      <c r="N134" s="19" t="s">
        <v>269</v>
      </c>
      <c r="O134" s="19" t="s">
        <v>275</v>
      </c>
      <c r="P134" s="23" t="s">
        <v>237</v>
      </c>
      <c r="Q134" s="19" t="s">
        <v>271</v>
      </c>
      <c r="R134" s="19">
        <v>5800</v>
      </c>
      <c r="S134" s="19" t="s">
        <v>422</v>
      </c>
      <c r="T134" s="19" t="s">
        <v>263</v>
      </c>
      <c r="U134" s="20" t="s">
        <v>263</v>
      </c>
      <c r="V134" s="19" t="s">
        <v>210</v>
      </c>
      <c r="W134" s="19" t="s">
        <v>219</v>
      </c>
      <c r="X134" s="35">
        <v>5</v>
      </c>
      <c r="Y134" s="35">
        <v>4</v>
      </c>
      <c r="Z134" s="32"/>
      <c r="AA134" s="22"/>
      <c r="AB134" s="22"/>
      <c r="AC134" s="22">
        <v>5</v>
      </c>
      <c r="AD134" s="22"/>
      <c r="AE134" s="61">
        <f t="shared" si="48"/>
        <v>5</v>
      </c>
      <c r="AF134" s="22"/>
      <c r="AG134" s="40">
        <f t="shared" si="49"/>
        <v>5</v>
      </c>
      <c r="AH134" s="24"/>
      <c r="AI134" s="24"/>
      <c r="AJ134" s="24"/>
      <c r="AK134" s="24"/>
      <c r="AL134" s="23">
        <f t="shared" si="50"/>
        <v>5</v>
      </c>
      <c r="AM134" s="25"/>
      <c r="AN134" s="25"/>
      <c r="AO134" s="25">
        <v>5</v>
      </c>
      <c r="AP134" s="25"/>
      <c r="AQ134" s="80">
        <f t="shared" si="51"/>
        <v>5</v>
      </c>
      <c r="AR134" s="13"/>
      <c r="AS134" s="21"/>
      <c r="AT134" s="21"/>
      <c r="AU134" s="21"/>
      <c r="AV134" s="77"/>
      <c r="AW134" s="21"/>
      <c r="AX134" s="21"/>
      <c r="AY134" s="21"/>
      <c r="AZ134" s="21"/>
      <c r="BA134" s="21"/>
      <c r="BB134" s="21"/>
      <c r="BC134" s="77"/>
      <c r="BD134" s="21"/>
      <c r="BE134" s="21"/>
      <c r="BF134" s="21"/>
      <c r="BG134" s="21"/>
      <c r="BH134" s="21"/>
      <c r="BI134" s="21">
        <v>2</v>
      </c>
      <c r="BJ134" s="77"/>
      <c r="BK134" s="21">
        <v>3</v>
      </c>
      <c r="BL134" s="21"/>
      <c r="BM134" s="21"/>
      <c r="BN134" s="21"/>
      <c r="BO134" s="21"/>
      <c r="BP134" s="21"/>
      <c r="BQ134" s="77"/>
      <c r="BR134" s="21"/>
      <c r="BS134" s="21"/>
      <c r="BT134" s="21"/>
      <c r="BU134" s="21"/>
      <c r="BV134" s="21"/>
      <c r="BW134" s="79">
        <f t="shared" si="52"/>
        <v>5</v>
      </c>
      <c r="BX134" s="58">
        <f t="shared" si="53"/>
        <v>0</v>
      </c>
      <c r="BY134" s="26"/>
      <c r="BZ134" s="21"/>
      <c r="CA134" s="51" t="s">
        <v>484</v>
      </c>
      <c r="CB134" s="50" t="b">
        <f t="shared" si="47"/>
        <v>1</v>
      </c>
      <c r="CC134" s="52" t="s">
        <v>484</v>
      </c>
      <c r="CD134" s="19" t="s">
        <v>1058</v>
      </c>
      <c r="CE134" s="19" t="s">
        <v>886</v>
      </c>
      <c r="CF134" s="19" t="s">
        <v>976</v>
      </c>
      <c r="CG134" s="19" t="s">
        <v>908</v>
      </c>
      <c r="CH134" s="19" t="s">
        <v>909</v>
      </c>
      <c r="CI134" s="19" t="s">
        <v>898</v>
      </c>
      <c r="CJ134" s="19" t="s">
        <v>899</v>
      </c>
      <c r="CK134" s="19" t="s">
        <v>875</v>
      </c>
      <c r="CL134" s="19" t="s">
        <v>876</v>
      </c>
      <c r="CM134" s="19" t="s">
        <v>1059</v>
      </c>
      <c r="CN134" s="19" t="s">
        <v>1060</v>
      </c>
      <c r="CO134" s="19" t="s">
        <v>977</v>
      </c>
      <c r="CP134" s="19" t="s">
        <v>978</v>
      </c>
      <c r="CQ134" s="19"/>
      <c r="CR134" s="19"/>
      <c r="CS134" s="19" t="s">
        <v>904</v>
      </c>
      <c r="CT134" s="19" t="s">
        <v>905</v>
      </c>
      <c r="CU134" s="19" t="s">
        <v>910</v>
      </c>
      <c r="CV134" s="19" t="s">
        <v>911</v>
      </c>
      <c r="CW134" s="19"/>
      <c r="CX134" s="19"/>
      <c r="CY134" s="19"/>
      <c r="CZ134" s="19"/>
      <c r="DA134" s="19"/>
      <c r="DB134" s="19"/>
      <c r="DC134" s="19"/>
      <c r="DD134" s="19"/>
      <c r="DE134" s="19"/>
      <c r="DF134" s="19"/>
    </row>
    <row r="135" spans="1:110" x14ac:dyDescent="0.25">
      <c r="A135" s="19" t="s">
        <v>228</v>
      </c>
      <c r="B135" s="19" t="s">
        <v>80</v>
      </c>
      <c r="C135" s="19" t="str">
        <f t="shared" si="46"/>
        <v>95259576India</v>
      </c>
      <c r="D135" s="19">
        <v>95259576</v>
      </c>
      <c r="E135" s="19" t="s">
        <v>1612</v>
      </c>
      <c r="F135" s="19" t="s">
        <v>261</v>
      </c>
      <c r="G135" s="20" t="s">
        <v>1612</v>
      </c>
      <c r="H135" s="19"/>
      <c r="I135" s="19" t="s">
        <v>230</v>
      </c>
      <c r="J135" s="19" t="s">
        <v>243</v>
      </c>
      <c r="K135" s="19" t="s">
        <v>266</v>
      </c>
      <c r="L135" s="19" t="s">
        <v>267</v>
      </c>
      <c r="M135" s="19" t="s">
        <v>268</v>
      </c>
      <c r="N135" s="19" t="s">
        <v>269</v>
      </c>
      <c r="O135" s="19" t="s">
        <v>275</v>
      </c>
      <c r="P135" s="23" t="s">
        <v>237</v>
      </c>
      <c r="Q135" s="19" t="s">
        <v>271</v>
      </c>
      <c r="R135" s="19">
        <v>5800</v>
      </c>
      <c r="S135" s="19" t="s">
        <v>272</v>
      </c>
      <c r="T135" s="19" t="s">
        <v>263</v>
      </c>
      <c r="U135" s="20" t="s">
        <v>263</v>
      </c>
      <c r="V135" s="19" t="s">
        <v>1563</v>
      </c>
      <c r="W135" s="19" t="s">
        <v>219</v>
      </c>
      <c r="X135" s="35"/>
      <c r="Y135" s="35"/>
      <c r="Z135" s="32"/>
      <c r="AA135" s="22"/>
      <c r="AB135" s="22"/>
      <c r="AC135" s="22"/>
      <c r="AD135" s="22">
        <v>2</v>
      </c>
      <c r="AE135" s="61">
        <f t="shared" si="48"/>
        <v>2</v>
      </c>
      <c r="AF135" s="22"/>
      <c r="AG135" s="40">
        <f t="shared" si="49"/>
        <v>2</v>
      </c>
      <c r="AH135" s="24">
        <v>1</v>
      </c>
      <c r="AI135" s="24"/>
      <c r="AJ135" s="24"/>
      <c r="AK135" s="24"/>
      <c r="AL135" s="23">
        <f t="shared" si="50"/>
        <v>1</v>
      </c>
      <c r="AM135" s="25"/>
      <c r="AN135" s="25"/>
      <c r="AO135" s="25"/>
      <c r="AP135" s="25">
        <v>1</v>
      </c>
      <c r="AQ135" s="80">
        <f t="shared" si="51"/>
        <v>1</v>
      </c>
      <c r="AR135" s="13">
        <v>1</v>
      </c>
      <c r="AS135" s="21"/>
      <c r="AT135" s="83">
        <v>1</v>
      </c>
      <c r="AU135" s="21"/>
      <c r="AV135" s="77"/>
      <c r="AW135" s="21"/>
      <c r="AX135" s="21"/>
      <c r="AY135" s="21"/>
      <c r="AZ135" s="21"/>
      <c r="BA135" s="21"/>
      <c r="BB135" s="21"/>
      <c r="BC135" s="77"/>
      <c r="BD135" s="21"/>
      <c r="BE135" s="21"/>
      <c r="BF135" s="21"/>
      <c r="BG135" s="21"/>
      <c r="BH135" s="21"/>
      <c r="BI135" s="21"/>
      <c r="BJ135" s="77"/>
      <c r="BK135" s="21"/>
      <c r="BL135" s="21"/>
      <c r="BM135" s="21"/>
      <c r="BN135" s="21"/>
      <c r="BO135" s="21">
        <v>1</v>
      </c>
      <c r="BP135" s="21"/>
      <c r="BQ135" s="77"/>
      <c r="BR135" s="21"/>
      <c r="BS135" s="21"/>
      <c r="BT135" s="21"/>
      <c r="BU135" s="21"/>
      <c r="BV135" s="21"/>
      <c r="BW135" s="79">
        <f t="shared" si="52"/>
        <v>2</v>
      </c>
      <c r="BX135" s="58">
        <f t="shared" si="53"/>
        <v>-1</v>
      </c>
      <c r="BY135" s="26"/>
      <c r="BZ135" s="21"/>
      <c r="CA135" s="51" t="s">
        <v>1612</v>
      </c>
      <c r="CB135" s="50" t="b">
        <f t="shared" si="47"/>
        <v>1</v>
      </c>
      <c r="CC135" s="52" t="s">
        <v>1612</v>
      </c>
      <c r="CD135" s="19" t="s">
        <v>1670</v>
      </c>
      <c r="CE135" s="19" t="s">
        <v>886</v>
      </c>
      <c r="CF135" s="19" t="s">
        <v>887</v>
      </c>
      <c r="CG135" s="19" t="s">
        <v>995</v>
      </c>
      <c r="CH135" s="19" t="s">
        <v>897</v>
      </c>
      <c r="CI135" s="19" t="s">
        <v>898</v>
      </c>
      <c r="CJ135" s="19" t="s">
        <v>899</v>
      </c>
      <c r="CK135" s="19" t="s">
        <v>875</v>
      </c>
      <c r="CL135" s="19" t="s">
        <v>876</v>
      </c>
      <c r="CM135" s="19" t="s">
        <v>1059</v>
      </c>
      <c r="CN135" s="19" t="s">
        <v>1060</v>
      </c>
      <c r="CO135" s="19" t="s">
        <v>1671</v>
      </c>
      <c r="CP135" s="19" t="s">
        <v>1672</v>
      </c>
      <c r="CQ135" s="19"/>
      <c r="CR135" s="19"/>
      <c r="CS135" s="19" t="s">
        <v>904</v>
      </c>
      <c r="CT135" s="19" t="s">
        <v>905</v>
      </c>
      <c r="CU135" s="19" t="s">
        <v>1000</v>
      </c>
      <c r="CV135" s="19" t="s">
        <v>1001</v>
      </c>
      <c r="CW135" s="19"/>
      <c r="CX135" s="19"/>
      <c r="CY135" s="19"/>
      <c r="CZ135" s="19"/>
      <c r="DA135" s="19"/>
      <c r="DB135" s="19"/>
      <c r="DC135" s="19"/>
      <c r="DD135" s="19"/>
      <c r="DE135" s="19"/>
      <c r="DF135" s="19"/>
    </row>
    <row r="136" spans="1:110" x14ac:dyDescent="0.25">
      <c r="A136" s="19" t="s">
        <v>228</v>
      </c>
      <c r="B136" s="19" t="s">
        <v>80</v>
      </c>
      <c r="C136" s="19" t="str">
        <f t="shared" si="46"/>
        <v>97058954India</v>
      </c>
      <c r="D136" s="19">
        <v>97058954</v>
      </c>
      <c r="E136" s="19" t="s">
        <v>436</v>
      </c>
      <c r="F136" s="19" t="s">
        <v>261</v>
      </c>
      <c r="G136" s="20" t="s">
        <v>436</v>
      </c>
      <c r="H136" s="19"/>
      <c r="I136" s="19" t="s">
        <v>230</v>
      </c>
      <c r="J136" s="19" t="s">
        <v>334</v>
      </c>
      <c r="K136" s="19" t="s">
        <v>266</v>
      </c>
      <c r="L136" s="19" t="s">
        <v>279</v>
      </c>
      <c r="M136" s="19" t="s">
        <v>268</v>
      </c>
      <c r="N136" s="19" t="s">
        <v>269</v>
      </c>
      <c r="O136" s="19" t="s">
        <v>275</v>
      </c>
      <c r="P136" s="23" t="s">
        <v>237</v>
      </c>
      <c r="Q136" s="19" t="s">
        <v>437</v>
      </c>
      <c r="R136" s="19">
        <v>5900</v>
      </c>
      <c r="S136" s="19" t="s">
        <v>272</v>
      </c>
      <c r="T136" s="19" t="s">
        <v>263</v>
      </c>
      <c r="U136" s="20" t="s">
        <v>263</v>
      </c>
      <c r="V136" s="19" t="s">
        <v>168</v>
      </c>
      <c r="W136" s="19" t="s">
        <v>219</v>
      </c>
      <c r="X136" s="35">
        <v>2</v>
      </c>
      <c r="Y136" s="35">
        <v>2</v>
      </c>
      <c r="Z136" s="32"/>
      <c r="AA136" s="22"/>
      <c r="AB136" s="22">
        <v>2</v>
      </c>
      <c r="AC136" s="22">
        <v>1</v>
      </c>
      <c r="AD136" s="22">
        <v>2</v>
      </c>
      <c r="AE136" s="61">
        <f t="shared" ref="AE136:AE146" si="54">SUM(AA136:AD136)</f>
        <v>5</v>
      </c>
      <c r="AF136" s="22"/>
      <c r="AG136" s="40">
        <f t="shared" ref="AG136:AG146" si="55">AF136+AE136</f>
        <v>5</v>
      </c>
      <c r="AH136" s="24"/>
      <c r="AI136" s="24"/>
      <c r="AJ136" s="24"/>
      <c r="AK136" s="24"/>
      <c r="AL136" s="23">
        <f t="shared" ref="AL136:AL141" si="56">AG136-AH136-AI136-AJ136+AK136</f>
        <v>5</v>
      </c>
      <c r="AM136" s="25"/>
      <c r="AN136" s="25">
        <v>2</v>
      </c>
      <c r="AO136" s="25">
        <v>1</v>
      </c>
      <c r="AP136" s="25">
        <v>2</v>
      </c>
      <c r="AQ136" s="25">
        <f t="shared" si="51"/>
        <v>5</v>
      </c>
      <c r="AR136" s="13"/>
      <c r="AS136" s="21"/>
      <c r="AT136" s="21"/>
      <c r="AU136" s="21"/>
      <c r="AV136" s="77"/>
      <c r="AW136" s="21"/>
      <c r="AX136" s="21"/>
      <c r="AY136" s="21"/>
      <c r="AZ136" s="21"/>
      <c r="BA136" s="21"/>
      <c r="BB136" s="21">
        <v>2</v>
      </c>
      <c r="BC136" s="77"/>
      <c r="BD136" s="21"/>
      <c r="BE136" s="21"/>
      <c r="BF136" s="21"/>
      <c r="BG136" s="21"/>
      <c r="BH136" s="21">
        <v>1</v>
      </c>
      <c r="BI136" s="21"/>
      <c r="BJ136" s="77"/>
      <c r="BK136" s="21"/>
      <c r="BL136" s="21"/>
      <c r="BM136" s="21"/>
      <c r="BN136" s="21"/>
      <c r="BO136" s="21">
        <v>2</v>
      </c>
      <c r="BP136" s="21"/>
      <c r="BQ136" s="77"/>
      <c r="BR136" s="21"/>
      <c r="BS136" s="21"/>
      <c r="BT136" s="21"/>
      <c r="BU136" s="21"/>
      <c r="BV136" s="21"/>
      <c r="BW136" s="79">
        <f t="shared" si="52"/>
        <v>5</v>
      </c>
      <c r="BX136" s="58">
        <f t="shared" si="53"/>
        <v>0</v>
      </c>
      <c r="BY136" s="26"/>
      <c r="BZ136" s="21"/>
      <c r="CA136" s="51" t="s">
        <v>436</v>
      </c>
      <c r="CB136" s="50" t="b">
        <f t="shared" si="47"/>
        <v>1</v>
      </c>
      <c r="CC136" s="52" t="s">
        <v>436</v>
      </c>
      <c r="CD136" s="19" t="s">
        <v>1061</v>
      </c>
      <c r="CE136" s="19" t="s">
        <v>921</v>
      </c>
      <c r="CF136" s="19" t="s">
        <v>922</v>
      </c>
      <c r="CG136" s="19" t="s">
        <v>936</v>
      </c>
      <c r="CH136" s="19" t="s">
        <v>937</v>
      </c>
      <c r="CI136" s="19" t="s">
        <v>925</v>
      </c>
      <c r="CJ136" s="19" t="s">
        <v>926</v>
      </c>
      <c r="CK136" s="19" t="s">
        <v>938</v>
      </c>
      <c r="CL136" s="19" t="s">
        <v>939</v>
      </c>
      <c r="CM136" s="19" t="s">
        <v>1062</v>
      </c>
      <c r="CN136" s="19" t="s">
        <v>1063</v>
      </c>
      <c r="CO136" s="19" t="s">
        <v>942</v>
      </c>
      <c r="CP136" s="19" t="s">
        <v>943</v>
      </c>
      <c r="CQ136" s="19"/>
      <c r="CR136" s="19"/>
      <c r="CS136" s="19" t="s">
        <v>538</v>
      </c>
      <c r="CT136" s="19" t="s">
        <v>539</v>
      </c>
      <c r="CU136" s="19" t="s">
        <v>944</v>
      </c>
      <c r="CV136" s="19" t="s">
        <v>945</v>
      </c>
      <c r="CW136" s="19"/>
      <c r="CX136" s="19"/>
      <c r="CY136" s="19"/>
      <c r="CZ136" s="19"/>
      <c r="DA136" s="19"/>
      <c r="DB136" s="19"/>
      <c r="DC136" s="19"/>
      <c r="DD136" s="19"/>
      <c r="DE136" s="19"/>
      <c r="DF136" s="19"/>
    </row>
    <row r="137" spans="1:110" x14ac:dyDescent="0.25">
      <c r="A137" s="19" t="s">
        <v>228</v>
      </c>
      <c r="B137" s="19" t="s">
        <v>80</v>
      </c>
      <c r="C137" s="19" t="str">
        <f t="shared" si="46"/>
        <v>97058955India</v>
      </c>
      <c r="D137" s="19">
        <v>97058955</v>
      </c>
      <c r="E137" s="19" t="s">
        <v>452</v>
      </c>
      <c r="F137" s="19" t="s">
        <v>261</v>
      </c>
      <c r="G137" s="20" t="s">
        <v>452</v>
      </c>
      <c r="H137" s="19"/>
      <c r="I137" s="19" t="s">
        <v>230</v>
      </c>
      <c r="J137" s="19" t="s">
        <v>334</v>
      </c>
      <c r="K137" s="19" t="s">
        <v>266</v>
      </c>
      <c r="L137" s="19" t="s">
        <v>279</v>
      </c>
      <c r="M137" s="19" t="s">
        <v>268</v>
      </c>
      <c r="N137" s="19" t="s">
        <v>269</v>
      </c>
      <c r="O137" s="19" t="s">
        <v>275</v>
      </c>
      <c r="P137" s="23" t="s">
        <v>237</v>
      </c>
      <c r="Q137" s="19" t="s">
        <v>437</v>
      </c>
      <c r="R137" s="19">
        <v>5900</v>
      </c>
      <c r="S137" s="19" t="s">
        <v>272</v>
      </c>
      <c r="T137" s="19" t="s">
        <v>263</v>
      </c>
      <c r="U137" s="20" t="s">
        <v>263</v>
      </c>
      <c r="V137" s="19" t="s">
        <v>179</v>
      </c>
      <c r="W137" s="19" t="s">
        <v>219</v>
      </c>
      <c r="X137" s="35">
        <v>9</v>
      </c>
      <c r="Y137" s="35">
        <v>9</v>
      </c>
      <c r="Z137" s="32"/>
      <c r="AA137" s="22"/>
      <c r="AB137" s="22">
        <v>3</v>
      </c>
      <c r="AC137" s="22">
        <v>2</v>
      </c>
      <c r="AD137" s="22">
        <v>2</v>
      </c>
      <c r="AE137" s="61">
        <f t="shared" si="54"/>
        <v>7</v>
      </c>
      <c r="AF137" s="22"/>
      <c r="AG137" s="40">
        <f t="shared" si="55"/>
        <v>7</v>
      </c>
      <c r="AH137" s="24"/>
      <c r="AI137" s="24"/>
      <c r="AJ137" s="24"/>
      <c r="AK137" s="24">
        <v>9</v>
      </c>
      <c r="AL137" s="23">
        <f t="shared" si="56"/>
        <v>16</v>
      </c>
      <c r="AM137" s="25"/>
      <c r="AN137" s="25">
        <v>3</v>
      </c>
      <c r="AO137" s="25">
        <v>5</v>
      </c>
      <c r="AP137" s="25">
        <v>8</v>
      </c>
      <c r="AQ137" s="25">
        <f t="shared" si="51"/>
        <v>16</v>
      </c>
      <c r="AR137" s="13"/>
      <c r="AS137" s="21"/>
      <c r="AT137" s="21"/>
      <c r="AU137" s="21"/>
      <c r="AV137" s="77"/>
      <c r="AW137" s="21"/>
      <c r="AX137" s="21"/>
      <c r="AY137" s="21"/>
      <c r="AZ137" s="21"/>
      <c r="BA137" s="21">
        <v>1</v>
      </c>
      <c r="BB137" s="21">
        <v>2</v>
      </c>
      <c r="BC137" s="77"/>
      <c r="BD137" s="21"/>
      <c r="BE137" s="21"/>
      <c r="BF137" s="21"/>
      <c r="BG137" s="21"/>
      <c r="BH137" s="21">
        <v>2</v>
      </c>
      <c r="BI137" s="21">
        <v>2</v>
      </c>
      <c r="BJ137" s="77"/>
      <c r="BK137" s="21"/>
      <c r="BL137" s="21"/>
      <c r="BM137" s="21"/>
      <c r="BN137" s="21"/>
      <c r="BO137" s="21"/>
      <c r="BP137" s="21"/>
      <c r="BQ137" s="77"/>
      <c r="BR137" s="21"/>
      <c r="BS137" s="21"/>
      <c r="BT137" s="21"/>
      <c r="BU137" s="21"/>
      <c r="BV137" s="21"/>
      <c r="BW137" s="79">
        <f t="shared" si="52"/>
        <v>7</v>
      </c>
      <c r="BX137" s="58">
        <f t="shared" si="53"/>
        <v>9</v>
      </c>
      <c r="BY137" s="26"/>
      <c r="BZ137" s="21"/>
      <c r="CA137" s="51" t="s">
        <v>452</v>
      </c>
      <c r="CB137" s="50" t="b">
        <f t="shared" si="47"/>
        <v>1</v>
      </c>
      <c r="CC137" s="52" t="s">
        <v>452</v>
      </c>
      <c r="CD137" s="19" t="s">
        <v>1068</v>
      </c>
      <c r="CE137" s="19" t="s">
        <v>921</v>
      </c>
      <c r="CF137" s="19" t="s">
        <v>922</v>
      </c>
      <c r="CG137" s="19" t="s">
        <v>923</v>
      </c>
      <c r="CH137" s="19" t="s">
        <v>924</v>
      </c>
      <c r="CI137" s="19" t="s">
        <v>925</v>
      </c>
      <c r="CJ137" s="19" t="s">
        <v>926</v>
      </c>
      <c r="CK137" s="19" t="s">
        <v>1064</v>
      </c>
      <c r="CL137" s="19" t="s">
        <v>1065</v>
      </c>
      <c r="CM137" s="19" t="s">
        <v>1066</v>
      </c>
      <c r="CN137" s="19" t="s">
        <v>1067</v>
      </c>
      <c r="CO137" s="19" t="s">
        <v>1069</v>
      </c>
      <c r="CP137" s="19" t="s">
        <v>1070</v>
      </c>
      <c r="CQ137" s="19"/>
      <c r="CR137" s="19"/>
      <c r="CS137" s="19" t="s">
        <v>538</v>
      </c>
      <c r="CT137" s="19" t="s">
        <v>539</v>
      </c>
      <c r="CU137" s="19" t="s">
        <v>933</v>
      </c>
      <c r="CV137" s="19" t="s">
        <v>934</v>
      </c>
      <c r="CW137" s="19"/>
      <c r="CX137" s="19"/>
      <c r="CY137" s="19"/>
      <c r="CZ137" s="19"/>
      <c r="DA137" s="19"/>
      <c r="DB137" s="19"/>
      <c r="DC137" s="19"/>
      <c r="DD137" s="19"/>
      <c r="DE137" s="19"/>
      <c r="DF137" s="19"/>
    </row>
    <row r="138" spans="1:110" x14ac:dyDescent="0.25">
      <c r="A138" s="19" t="s">
        <v>228</v>
      </c>
      <c r="B138" s="19" t="s">
        <v>80</v>
      </c>
      <c r="C138" s="19" t="str">
        <f t="shared" si="46"/>
        <v>97058958India</v>
      </c>
      <c r="D138" s="19">
        <v>97058958</v>
      </c>
      <c r="E138" s="19" t="s">
        <v>460</v>
      </c>
      <c r="F138" s="19" t="s">
        <v>261</v>
      </c>
      <c r="G138" s="20" t="s">
        <v>460</v>
      </c>
      <c r="H138" s="19"/>
      <c r="I138" s="19" t="s">
        <v>230</v>
      </c>
      <c r="J138" s="19" t="s">
        <v>334</v>
      </c>
      <c r="K138" s="19" t="s">
        <v>266</v>
      </c>
      <c r="L138" s="19" t="s">
        <v>279</v>
      </c>
      <c r="M138" s="19" t="s">
        <v>268</v>
      </c>
      <c r="N138" s="19" t="s">
        <v>269</v>
      </c>
      <c r="O138" s="19" t="s">
        <v>275</v>
      </c>
      <c r="P138" s="23" t="s">
        <v>237</v>
      </c>
      <c r="Q138" s="19" t="s">
        <v>437</v>
      </c>
      <c r="R138" s="19">
        <v>5900</v>
      </c>
      <c r="S138" s="19" t="s">
        <v>272</v>
      </c>
      <c r="T138" s="19" t="s">
        <v>263</v>
      </c>
      <c r="U138" s="20" t="s">
        <v>263</v>
      </c>
      <c r="V138" s="19" t="s">
        <v>184</v>
      </c>
      <c r="W138" s="19" t="s">
        <v>219</v>
      </c>
      <c r="X138" s="35">
        <v>2</v>
      </c>
      <c r="Y138" s="35">
        <v>2</v>
      </c>
      <c r="Z138" s="32"/>
      <c r="AA138" s="22"/>
      <c r="AB138" s="22">
        <v>2</v>
      </c>
      <c r="AC138" s="22"/>
      <c r="AD138" s="22">
        <v>2</v>
      </c>
      <c r="AE138" s="61">
        <f t="shared" si="54"/>
        <v>4</v>
      </c>
      <c r="AF138" s="22"/>
      <c r="AG138" s="40">
        <f t="shared" si="55"/>
        <v>4</v>
      </c>
      <c r="AH138" s="24"/>
      <c r="AI138" s="24"/>
      <c r="AJ138" s="24"/>
      <c r="AK138" s="24"/>
      <c r="AL138" s="23">
        <f t="shared" si="56"/>
        <v>4</v>
      </c>
      <c r="AM138" s="25"/>
      <c r="AN138" s="25">
        <v>2</v>
      </c>
      <c r="AO138" s="25"/>
      <c r="AP138" s="25">
        <v>2</v>
      </c>
      <c r="AQ138" s="25">
        <f t="shared" si="51"/>
        <v>4</v>
      </c>
      <c r="AR138" s="13"/>
      <c r="AS138" s="21"/>
      <c r="AT138" s="21"/>
      <c r="AU138" s="21"/>
      <c r="AV138" s="77"/>
      <c r="AW138" s="21"/>
      <c r="AX138" s="21"/>
      <c r="AY138" s="21"/>
      <c r="AZ138" s="21"/>
      <c r="BA138" s="21"/>
      <c r="BB138" s="21">
        <v>2</v>
      </c>
      <c r="BC138" s="77"/>
      <c r="BD138" s="21"/>
      <c r="BE138" s="21"/>
      <c r="BF138" s="21"/>
      <c r="BG138" s="21"/>
      <c r="BH138" s="21"/>
      <c r="BI138" s="21"/>
      <c r="BJ138" s="77"/>
      <c r="BK138" s="21"/>
      <c r="BL138" s="21"/>
      <c r="BM138" s="21"/>
      <c r="BN138" s="21"/>
      <c r="BO138" s="21">
        <v>2</v>
      </c>
      <c r="BP138" s="21"/>
      <c r="BQ138" s="77"/>
      <c r="BR138" s="21"/>
      <c r="BS138" s="21"/>
      <c r="BT138" s="21"/>
      <c r="BU138" s="21"/>
      <c r="BV138" s="21"/>
      <c r="BW138" s="79">
        <f t="shared" si="52"/>
        <v>4</v>
      </c>
      <c r="BX138" s="58">
        <f t="shared" si="53"/>
        <v>0</v>
      </c>
      <c r="BY138" s="26"/>
      <c r="BZ138" s="21"/>
      <c r="CA138" s="51" t="s">
        <v>460</v>
      </c>
      <c r="CB138" s="50" t="b">
        <f t="shared" si="47"/>
        <v>1</v>
      </c>
      <c r="CC138" s="51" t="s">
        <v>460</v>
      </c>
      <c r="CD138" s="19" t="s">
        <v>1071</v>
      </c>
      <c r="CE138" s="19" t="s">
        <v>921</v>
      </c>
      <c r="CF138" s="19" t="s">
        <v>922</v>
      </c>
      <c r="CG138" s="19" t="s">
        <v>923</v>
      </c>
      <c r="CH138" s="19" t="s">
        <v>924</v>
      </c>
      <c r="CI138" s="19" t="s">
        <v>925</v>
      </c>
      <c r="CJ138" s="19" t="s">
        <v>926</v>
      </c>
      <c r="CK138" s="19" t="s">
        <v>1072</v>
      </c>
      <c r="CL138" s="19" t="s">
        <v>1073</v>
      </c>
      <c r="CM138" s="19" t="s">
        <v>1074</v>
      </c>
      <c r="CN138" s="19" t="s">
        <v>1075</v>
      </c>
      <c r="CO138" s="19" t="s">
        <v>1076</v>
      </c>
      <c r="CP138" s="19" t="s">
        <v>1077</v>
      </c>
      <c r="CQ138" s="19"/>
      <c r="CR138" s="19"/>
      <c r="CS138" s="19" t="s">
        <v>538</v>
      </c>
      <c r="CT138" s="19" t="s">
        <v>539</v>
      </c>
      <c r="CU138" s="19" t="s">
        <v>933</v>
      </c>
      <c r="CV138" s="19" t="s">
        <v>934</v>
      </c>
      <c r="CW138" s="19"/>
      <c r="CX138" s="19"/>
      <c r="CY138" s="19"/>
      <c r="CZ138" s="19"/>
      <c r="DA138" s="19"/>
      <c r="DB138" s="19"/>
      <c r="DC138" s="19"/>
      <c r="DD138" s="19"/>
      <c r="DE138" s="19"/>
      <c r="DF138" s="19"/>
    </row>
    <row r="139" spans="1:110" x14ac:dyDescent="0.25">
      <c r="A139" s="19" t="s">
        <v>228</v>
      </c>
      <c r="B139" s="19" t="s">
        <v>80</v>
      </c>
      <c r="C139" s="19" t="str">
        <f t="shared" si="46"/>
        <v>97058957India</v>
      </c>
      <c r="D139" s="19">
        <v>97058957</v>
      </c>
      <c r="E139" s="19" t="s">
        <v>461</v>
      </c>
      <c r="F139" s="19" t="s">
        <v>261</v>
      </c>
      <c r="G139" s="20" t="s">
        <v>461</v>
      </c>
      <c r="H139" s="19"/>
      <c r="I139" s="19" t="s">
        <v>230</v>
      </c>
      <c r="J139" s="19" t="s">
        <v>334</v>
      </c>
      <c r="K139" s="19" t="s">
        <v>266</v>
      </c>
      <c r="L139" s="19" t="s">
        <v>279</v>
      </c>
      <c r="M139" s="19" t="s">
        <v>268</v>
      </c>
      <c r="N139" s="19" t="s">
        <v>269</v>
      </c>
      <c r="O139" s="19" t="s">
        <v>275</v>
      </c>
      <c r="P139" s="23" t="s">
        <v>237</v>
      </c>
      <c r="Q139" s="19" t="s">
        <v>437</v>
      </c>
      <c r="R139" s="19">
        <v>5900</v>
      </c>
      <c r="S139" s="19" t="s">
        <v>272</v>
      </c>
      <c r="T139" s="19" t="s">
        <v>263</v>
      </c>
      <c r="U139" s="20" t="s">
        <v>263</v>
      </c>
      <c r="V139" s="19" t="s">
        <v>185</v>
      </c>
      <c r="W139" s="19" t="s">
        <v>219</v>
      </c>
      <c r="X139" s="35">
        <v>2</v>
      </c>
      <c r="Y139" s="35">
        <v>2</v>
      </c>
      <c r="Z139" s="32"/>
      <c r="AA139" s="22">
        <v>1</v>
      </c>
      <c r="AB139" s="22">
        <v>1</v>
      </c>
      <c r="AC139" s="22"/>
      <c r="AD139" s="22"/>
      <c r="AE139" s="61">
        <f t="shared" si="54"/>
        <v>2</v>
      </c>
      <c r="AF139" s="22"/>
      <c r="AG139" s="40">
        <f t="shared" si="55"/>
        <v>2</v>
      </c>
      <c r="AH139" s="24"/>
      <c r="AI139" s="24"/>
      <c r="AJ139" s="24"/>
      <c r="AK139" s="24"/>
      <c r="AL139" s="23">
        <f t="shared" si="56"/>
        <v>2</v>
      </c>
      <c r="AM139" s="25">
        <v>1</v>
      </c>
      <c r="AN139" s="25">
        <v>1</v>
      </c>
      <c r="AO139" s="25"/>
      <c r="AP139" s="25"/>
      <c r="AQ139" s="25">
        <f t="shared" si="51"/>
        <v>2</v>
      </c>
      <c r="AR139" s="13"/>
      <c r="AS139" s="21"/>
      <c r="AT139" s="21"/>
      <c r="AU139" s="21"/>
      <c r="AV139" s="77"/>
      <c r="AW139" s="21">
        <v>1</v>
      </c>
      <c r="AX139" s="21"/>
      <c r="AY139" s="21"/>
      <c r="AZ139" s="21"/>
      <c r="BA139" s="21"/>
      <c r="BB139" s="21"/>
      <c r="BC139" s="77"/>
      <c r="BD139" s="21">
        <v>1</v>
      </c>
      <c r="BE139" s="21"/>
      <c r="BF139" s="21"/>
      <c r="BG139" s="21"/>
      <c r="BH139" s="21"/>
      <c r="BI139" s="21"/>
      <c r="BJ139" s="77"/>
      <c r="BK139" s="21"/>
      <c r="BL139" s="21"/>
      <c r="BM139" s="21"/>
      <c r="BN139" s="21"/>
      <c r="BO139" s="21"/>
      <c r="BP139" s="21"/>
      <c r="BQ139" s="77"/>
      <c r="BR139" s="21"/>
      <c r="BS139" s="21"/>
      <c r="BT139" s="21"/>
      <c r="BU139" s="21"/>
      <c r="BV139" s="21"/>
      <c r="BW139" s="79">
        <f t="shared" si="52"/>
        <v>2</v>
      </c>
      <c r="BX139" s="58">
        <f t="shared" si="53"/>
        <v>0</v>
      </c>
      <c r="BY139" s="26"/>
      <c r="BZ139" s="21"/>
      <c r="CA139" s="51" t="s">
        <v>461</v>
      </c>
      <c r="CB139" s="50" t="b">
        <f t="shared" si="47"/>
        <v>1</v>
      </c>
      <c r="CC139" s="51" t="s">
        <v>461</v>
      </c>
      <c r="CD139" s="19" t="s">
        <v>1078</v>
      </c>
      <c r="CE139" s="19" t="s">
        <v>921</v>
      </c>
      <c r="CF139" s="19" t="s">
        <v>922</v>
      </c>
      <c r="CG139" s="19" t="s">
        <v>936</v>
      </c>
      <c r="CH139" s="19" t="s">
        <v>937</v>
      </c>
      <c r="CI139" s="19" t="s">
        <v>925</v>
      </c>
      <c r="CJ139" s="19" t="s">
        <v>926</v>
      </c>
      <c r="CK139" s="19" t="s">
        <v>1079</v>
      </c>
      <c r="CL139" s="19" t="s">
        <v>1080</v>
      </c>
      <c r="CM139" s="19" t="s">
        <v>1081</v>
      </c>
      <c r="CN139" s="19" t="s">
        <v>1082</v>
      </c>
      <c r="CO139" s="19" t="s">
        <v>1083</v>
      </c>
      <c r="CP139" s="19" t="s">
        <v>1084</v>
      </c>
      <c r="CQ139" s="19"/>
      <c r="CR139" s="19"/>
      <c r="CS139" s="19" t="s">
        <v>538</v>
      </c>
      <c r="CT139" s="19" t="s">
        <v>539</v>
      </c>
      <c r="CU139" s="19" t="s">
        <v>944</v>
      </c>
      <c r="CV139" s="19" t="s">
        <v>945</v>
      </c>
      <c r="CW139" s="19"/>
      <c r="CX139" s="19"/>
      <c r="CY139" s="19"/>
      <c r="CZ139" s="19"/>
      <c r="DA139" s="19"/>
      <c r="DB139" s="19"/>
      <c r="DC139" s="19"/>
      <c r="DD139" s="19"/>
      <c r="DE139" s="19"/>
      <c r="DF139" s="19"/>
    </row>
    <row r="140" spans="1:110" x14ac:dyDescent="0.25">
      <c r="A140" s="57" t="s">
        <v>224</v>
      </c>
      <c r="B140" s="57" t="s">
        <v>224</v>
      </c>
      <c r="C140" s="19" t="str">
        <f t="shared" si="46"/>
        <v>10252640NPI Proj</v>
      </c>
      <c r="D140" s="57">
        <v>10252640</v>
      </c>
      <c r="E140" s="19" t="s">
        <v>229</v>
      </c>
      <c r="F140" s="19" t="s">
        <v>261</v>
      </c>
      <c r="G140" s="75" t="s">
        <v>229</v>
      </c>
      <c r="H140" s="19"/>
      <c r="I140" s="57" t="s">
        <v>491</v>
      </c>
      <c r="J140" s="57" t="s">
        <v>487</v>
      </c>
      <c r="K140" s="57" t="s">
        <v>494</v>
      </c>
      <c r="L140" s="57" t="s">
        <v>233</v>
      </c>
      <c r="M140" s="57" t="s">
        <v>362</v>
      </c>
      <c r="N140" s="57" t="s">
        <v>235</v>
      </c>
      <c r="O140" s="57" t="s">
        <v>275</v>
      </c>
      <c r="P140" s="76" t="s">
        <v>237</v>
      </c>
      <c r="Q140" s="57" t="s">
        <v>495</v>
      </c>
      <c r="R140" s="57">
        <v>6100</v>
      </c>
      <c r="S140" s="57" t="s">
        <v>272</v>
      </c>
      <c r="T140" s="57" t="s">
        <v>488</v>
      </c>
      <c r="U140" s="75" t="s">
        <v>488</v>
      </c>
      <c r="V140" s="57" t="s">
        <v>1617</v>
      </c>
      <c r="W140" s="19"/>
      <c r="X140" s="35">
        <v>100</v>
      </c>
      <c r="Y140" s="35">
        <v>100</v>
      </c>
      <c r="Z140" s="32"/>
      <c r="AA140" s="22"/>
      <c r="AB140" s="22"/>
      <c r="AC140" s="22"/>
      <c r="AD140" s="22"/>
      <c r="AE140" s="61">
        <f t="shared" si="54"/>
        <v>0</v>
      </c>
      <c r="AF140" s="22"/>
      <c r="AG140" s="40">
        <f t="shared" si="55"/>
        <v>0</v>
      </c>
      <c r="AH140" s="24"/>
      <c r="AI140" s="24"/>
      <c r="AJ140" s="24"/>
      <c r="AK140" s="24"/>
      <c r="AL140" s="23">
        <f t="shared" si="56"/>
        <v>0</v>
      </c>
      <c r="AM140" s="25"/>
      <c r="AN140" s="25"/>
      <c r="AO140" s="25"/>
      <c r="AP140" s="25"/>
      <c r="AQ140" s="25">
        <f t="shared" si="51"/>
        <v>0</v>
      </c>
      <c r="AR140" s="13"/>
      <c r="AS140" s="21"/>
      <c r="AT140" s="21"/>
      <c r="AU140" s="21"/>
      <c r="AV140" s="77"/>
      <c r="AW140" s="21"/>
      <c r="AX140" s="21"/>
      <c r="AY140" s="21"/>
      <c r="AZ140" s="21"/>
      <c r="BA140" s="21"/>
      <c r="BB140" s="21"/>
      <c r="BC140" s="77"/>
      <c r="BD140" s="21"/>
      <c r="BE140" s="21"/>
      <c r="BF140" s="21"/>
      <c r="BG140" s="21"/>
      <c r="BH140" s="21"/>
      <c r="BI140" s="21"/>
      <c r="BJ140" s="77"/>
      <c r="BK140" s="21"/>
      <c r="BL140" s="21"/>
      <c r="BM140" s="21"/>
      <c r="BN140" s="21"/>
      <c r="BO140" s="21"/>
      <c r="BP140" s="21"/>
      <c r="BQ140" s="77"/>
      <c r="BR140" s="21"/>
      <c r="BS140" s="21"/>
      <c r="BT140" s="21"/>
      <c r="BU140" s="21"/>
      <c r="BV140" s="21"/>
      <c r="BW140" s="79">
        <f t="shared" si="52"/>
        <v>0</v>
      </c>
      <c r="BX140" s="58">
        <f t="shared" si="53"/>
        <v>0</v>
      </c>
      <c r="BY140" s="26"/>
      <c r="BZ140" s="21"/>
      <c r="CA140" s="51" t="s">
        <v>229</v>
      </c>
      <c r="CB140" s="50" t="b">
        <f t="shared" si="47"/>
        <v>0</v>
      </c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  <c r="CO140" s="19"/>
      <c r="CP140" s="19"/>
      <c r="CQ140" s="19"/>
      <c r="CR140" s="19"/>
      <c r="CS140" s="19"/>
      <c r="CT140" s="19"/>
      <c r="CU140" s="19"/>
      <c r="CV140" s="19"/>
      <c r="CW140" s="19"/>
      <c r="CX140" s="19"/>
      <c r="CY140" s="19"/>
      <c r="CZ140" s="19"/>
      <c r="DA140" s="19"/>
      <c r="DB140" s="19"/>
      <c r="DC140" s="19"/>
      <c r="DD140" s="19"/>
      <c r="DE140" s="19"/>
      <c r="DF140" s="19"/>
    </row>
    <row r="141" spans="1:110" x14ac:dyDescent="0.25">
      <c r="A141" s="19" t="s">
        <v>81</v>
      </c>
      <c r="B141" s="19" t="s">
        <v>82</v>
      </c>
      <c r="C141" s="19" t="str">
        <f t="shared" si="46"/>
        <v>80652672Saudi Arabia</v>
      </c>
      <c r="D141" s="19">
        <v>80652672</v>
      </c>
      <c r="E141" s="19" t="s">
        <v>356</v>
      </c>
      <c r="F141" s="19" t="s">
        <v>261</v>
      </c>
      <c r="G141" s="20" t="s">
        <v>356</v>
      </c>
      <c r="H141" s="19"/>
      <c r="I141" s="19" t="s">
        <v>230</v>
      </c>
      <c r="J141" s="19" t="s">
        <v>357</v>
      </c>
      <c r="K141" s="19" t="s">
        <v>352</v>
      </c>
      <c r="L141" s="19" t="s">
        <v>289</v>
      </c>
      <c r="M141" s="19" t="s">
        <v>353</v>
      </c>
      <c r="N141" s="19" t="s">
        <v>284</v>
      </c>
      <c r="O141" s="19" t="s">
        <v>275</v>
      </c>
      <c r="P141" s="23" t="s">
        <v>285</v>
      </c>
      <c r="Q141" s="19" t="s">
        <v>354</v>
      </c>
      <c r="R141" s="19">
        <v>6300</v>
      </c>
      <c r="S141" s="19" t="s">
        <v>272</v>
      </c>
      <c r="T141" s="19" t="s">
        <v>287</v>
      </c>
      <c r="U141" s="20" t="s">
        <v>287</v>
      </c>
      <c r="V141" s="19" t="s">
        <v>1589</v>
      </c>
      <c r="W141" s="19" t="s">
        <v>220</v>
      </c>
      <c r="X141" s="35">
        <v>10</v>
      </c>
      <c r="Y141" s="35"/>
      <c r="Z141" s="32"/>
      <c r="AA141" s="22"/>
      <c r="AB141" s="22"/>
      <c r="AC141" s="22"/>
      <c r="AD141" s="22"/>
      <c r="AE141" s="61">
        <f t="shared" si="54"/>
        <v>0</v>
      </c>
      <c r="AF141" s="22"/>
      <c r="AG141" s="40">
        <f t="shared" si="55"/>
        <v>0</v>
      </c>
      <c r="AH141" s="24"/>
      <c r="AI141" s="24"/>
      <c r="AJ141" s="24"/>
      <c r="AK141" s="24"/>
      <c r="AL141" s="23">
        <f t="shared" si="56"/>
        <v>0</v>
      </c>
      <c r="AM141" s="25"/>
      <c r="AN141" s="25"/>
      <c r="AO141" s="25"/>
      <c r="AP141" s="25"/>
      <c r="AQ141" s="25">
        <f t="shared" si="51"/>
        <v>0</v>
      </c>
      <c r="AR141" s="13"/>
      <c r="AS141" s="21"/>
      <c r="AT141" s="21"/>
      <c r="AU141" s="21"/>
      <c r="AV141" s="77"/>
      <c r="AW141" s="21"/>
      <c r="AX141" s="21"/>
      <c r="AY141" s="21"/>
      <c r="AZ141" s="21"/>
      <c r="BA141" s="21"/>
      <c r="BB141" s="21"/>
      <c r="BC141" s="77"/>
      <c r="BD141" s="21"/>
      <c r="BE141" s="21"/>
      <c r="BF141" s="21"/>
      <c r="BG141" s="21"/>
      <c r="BH141" s="21"/>
      <c r="BI141" s="21"/>
      <c r="BJ141" s="77"/>
      <c r="BK141" s="21"/>
      <c r="BL141" s="21"/>
      <c r="BM141" s="21"/>
      <c r="BN141" s="21"/>
      <c r="BO141" s="21"/>
      <c r="BP141" s="21"/>
      <c r="BQ141" s="77"/>
      <c r="BR141" s="21"/>
      <c r="BS141" s="21"/>
      <c r="BT141" s="21"/>
      <c r="BU141" s="21"/>
      <c r="BV141" s="21"/>
      <c r="BW141" s="79">
        <f t="shared" si="52"/>
        <v>0</v>
      </c>
      <c r="BX141" s="58">
        <f t="shared" si="53"/>
        <v>0</v>
      </c>
      <c r="BY141" s="26"/>
      <c r="BZ141" s="21"/>
      <c r="CA141" s="51" t="s">
        <v>356</v>
      </c>
      <c r="CB141" s="50" t="b">
        <f t="shared" si="47"/>
        <v>1</v>
      </c>
      <c r="CC141" s="52" t="s">
        <v>356</v>
      </c>
      <c r="CD141" s="19" t="s">
        <v>1102</v>
      </c>
      <c r="CE141" s="19" t="s">
        <v>632</v>
      </c>
      <c r="CF141" s="19" t="s">
        <v>1103</v>
      </c>
      <c r="CG141" s="19" t="s">
        <v>1104</v>
      </c>
      <c r="CH141" s="19" t="s">
        <v>1105</v>
      </c>
      <c r="CI141" s="19" t="s">
        <v>1106</v>
      </c>
      <c r="CJ141" s="19" t="s">
        <v>1107</v>
      </c>
      <c r="CK141" s="19" t="s">
        <v>1108</v>
      </c>
      <c r="CL141" s="19" t="s">
        <v>1109</v>
      </c>
      <c r="CM141" s="19" t="s">
        <v>1110</v>
      </c>
      <c r="CN141" s="19" t="s">
        <v>1111</v>
      </c>
      <c r="CO141" s="19" t="s">
        <v>1112</v>
      </c>
      <c r="CP141" s="19" t="s">
        <v>1113</v>
      </c>
      <c r="CQ141" s="19"/>
      <c r="CR141" s="19"/>
      <c r="CS141" s="19" t="s">
        <v>1114</v>
      </c>
      <c r="CT141" s="19" t="s">
        <v>1115</v>
      </c>
      <c r="CU141" s="19" t="s">
        <v>1116</v>
      </c>
      <c r="CV141" s="19" t="s">
        <v>1117</v>
      </c>
      <c r="CW141" s="19"/>
      <c r="CX141" s="19"/>
      <c r="CY141" s="19"/>
      <c r="CZ141" s="19"/>
      <c r="DA141" s="19"/>
      <c r="DB141" s="19"/>
      <c r="DC141" s="19"/>
      <c r="DD141" s="19"/>
      <c r="DE141" s="19"/>
      <c r="DF141" s="19"/>
    </row>
    <row r="142" spans="1:110" x14ac:dyDescent="0.25">
      <c r="A142" s="19" t="s">
        <v>81</v>
      </c>
      <c r="B142" s="19" t="s">
        <v>94</v>
      </c>
      <c r="C142" s="19" t="str">
        <f t="shared" si="46"/>
        <v>80652672Qatar</v>
      </c>
      <c r="D142" s="19">
        <v>80652672</v>
      </c>
      <c r="E142" s="19" t="s">
        <v>356</v>
      </c>
      <c r="F142" s="19" t="s">
        <v>261</v>
      </c>
      <c r="G142" s="20" t="s">
        <v>356</v>
      </c>
      <c r="H142" s="19"/>
      <c r="I142" s="19" t="s">
        <v>230</v>
      </c>
      <c r="J142" s="19" t="s">
        <v>357</v>
      </c>
      <c r="K142" s="19" t="s">
        <v>352</v>
      </c>
      <c r="L142" s="19" t="s">
        <v>289</v>
      </c>
      <c r="M142" s="19" t="s">
        <v>353</v>
      </c>
      <c r="N142" s="19" t="s">
        <v>284</v>
      </c>
      <c r="O142" s="19" t="s">
        <v>275</v>
      </c>
      <c r="P142" s="23" t="s">
        <v>285</v>
      </c>
      <c r="Q142" s="19" t="s">
        <v>354</v>
      </c>
      <c r="R142" s="19">
        <v>6300</v>
      </c>
      <c r="S142" s="19" t="s">
        <v>272</v>
      </c>
      <c r="T142" s="19" t="s">
        <v>287</v>
      </c>
      <c r="U142" s="20" t="s">
        <v>287</v>
      </c>
      <c r="V142" s="19" t="s">
        <v>1589</v>
      </c>
      <c r="W142" s="19" t="s">
        <v>220</v>
      </c>
      <c r="X142" s="35">
        <v>10</v>
      </c>
      <c r="Y142" s="35"/>
      <c r="Z142" s="32"/>
      <c r="AA142" s="22"/>
      <c r="AB142" s="22"/>
      <c r="AC142" s="22"/>
      <c r="AD142" s="22"/>
      <c r="AE142" s="61">
        <f t="shared" si="54"/>
        <v>0</v>
      </c>
      <c r="AF142" s="22"/>
      <c r="AG142" s="40">
        <f t="shared" si="55"/>
        <v>0</v>
      </c>
      <c r="AH142" s="24">
        <v>2</v>
      </c>
      <c r="AI142" s="24"/>
      <c r="AJ142" s="24"/>
      <c r="AK142" s="24"/>
      <c r="AL142" s="23">
        <v>0</v>
      </c>
      <c r="AM142" s="25"/>
      <c r="AN142" s="25"/>
      <c r="AO142" s="25"/>
      <c r="AP142" s="25"/>
      <c r="AQ142" s="25">
        <f t="shared" si="51"/>
        <v>0</v>
      </c>
      <c r="AR142" s="13">
        <v>2</v>
      </c>
      <c r="AS142" s="21"/>
      <c r="AT142" s="21"/>
      <c r="AU142" s="83">
        <v>2</v>
      </c>
      <c r="AV142" s="77"/>
      <c r="AW142" s="21"/>
      <c r="AX142" s="21"/>
      <c r="AY142" s="21"/>
      <c r="AZ142" s="21"/>
      <c r="BA142" s="21"/>
      <c r="BB142" s="21"/>
      <c r="BC142" s="77"/>
      <c r="BD142" s="21"/>
      <c r="BE142" s="21"/>
      <c r="BF142" s="21"/>
      <c r="BG142" s="21"/>
      <c r="BH142" s="21"/>
      <c r="BI142" s="21"/>
      <c r="BJ142" s="77"/>
      <c r="BK142" s="21"/>
      <c r="BL142" s="21"/>
      <c r="BM142" s="21"/>
      <c r="BN142" s="21"/>
      <c r="BO142" s="21"/>
      <c r="BP142" s="21"/>
      <c r="BQ142" s="77"/>
      <c r="BR142" s="21"/>
      <c r="BS142" s="21"/>
      <c r="BT142" s="21"/>
      <c r="BU142" s="21"/>
      <c r="BV142" s="21"/>
      <c r="BW142" s="79">
        <f t="shared" si="52"/>
        <v>2</v>
      </c>
      <c r="BX142" s="58">
        <f t="shared" si="53"/>
        <v>-2</v>
      </c>
      <c r="BY142" s="26"/>
      <c r="BZ142" s="21"/>
      <c r="CA142" s="51" t="s">
        <v>356</v>
      </c>
      <c r="CB142" s="50" t="b">
        <f t="shared" si="47"/>
        <v>1</v>
      </c>
      <c r="CC142" s="50" t="s">
        <v>356</v>
      </c>
      <c r="CD142" s="19" t="s">
        <v>1102</v>
      </c>
      <c r="CE142" s="19" t="s">
        <v>632</v>
      </c>
      <c r="CF142" s="19" t="s">
        <v>1103</v>
      </c>
      <c r="CG142" s="19" t="s">
        <v>1104</v>
      </c>
      <c r="CH142" s="19" t="s">
        <v>1105</v>
      </c>
      <c r="CI142" s="19" t="s">
        <v>1106</v>
      </c>
      <c r="CJ142" s="19" t="s">
        <v>1107</v>
      </c>
      <c r="CK142" s="19" t="s">
        <v>1108</v>
      </c>
      <c r="CL142" s="19" t="s">
        <v>1109</v>
      </c>
      <c r="CM142" s="19" t="s">
        <v>1110</v>
      </c>
      <c r="CN142" s="19" t="s">
        <v>1111</v>
      </c>
      <c r="CO142" s="19" t="s">
        <v>1112</v>
      </c>
      <c r="CP142" s="19" t="s">
        <v>1113</v>
      </c>
      <c r="CQ142" s="19"/>
      <c r="CR142" s="19"/>
      <c r="CS142" s="19" t="s">
        <v>1114</v>
      </c>
      <c r="CT142" s="19" t="s">
        <v>1115</v>
      </c>
      <c r="CU142" s="19" t="s">
        <v>1116</v>
      </c>
      <c r="CV142" s="19" t="s">
        <v>1117</v>
      </c>
      <c r="CW142" s="19"/>
      <c r="CX142" s="19"/>
      <c r="CY142" s="19"/>
      <c r="CZ142" s="19"/>
      <c r="DA142" s="19"/>
      <c r="DB142" s="19"/>
      <c r="DC142" s="19"/>
      <c r="DD142" s="19"/>
      <c r="DE142" s="19"/>
      <c r="DF142" s="19"/>
    </row>
    <row r="143" spans="1:110" x14ac:dyDescent="0.25">
      <c r="A143" s="19" t="s">
        <v>81</v>
      </c>
      <c r="B143" s="19" t="s">
        <v>92</v>
      </c>
      <c r="C143" s="19" t="str">
        <f t="shared" si="46"/>
        <v>80651341UTD.ARAB EMIR.</v>
      </c>
      <c r="D143" s="19">
        <v>80651341</v>
      </c>
      <c r="E143" s="19" t="s">
        <v>370</v>
      </c>
      <c r="F143" s="19" t="s">
        <v>261</v>
      </c>
      <c r="G143" s="20" t="s">
        <v>370</v>
      </c>
      <c r="H143" s="19"/>
      <c r="I143" s="19" t="s">
        <v>230</v>
      </c>
      <c r="J143" s="19" t="s">
        <v>359</v>
      </c>
      <c r="K143" s="19" t="s">
        <v>352</v>
      </c>
      <c r="L143" s="19" t="s">
        <v>361</v>
      </c>
      <c r="M143" s="19" t="s">
        <v>353</v>
      </c>
      <c r="N143" s="19" t="s">
        <v>284</v>
      </c>
      <c r="O143" s="19" t="s">
        <v>275</v>
      </c>
      <c r="P143" s="23" t="s">
        <v>285</v>
      </c>
      <c r="Q143" s="19" t="s">
        <v>354</v>
      </c>
      <c r="R143" s="19">
        <v>6300</v>
      </c>
      <c r="S143" s="19" t="s">
        <v>272</v>
      </c>
      <c r="T143" s="19" t="s">
        <v>287</v>
      </c>
      <c r="U143" s="20" t="s">
        <v>287</v>
      </c>
      <c r="V143" s="19" t="s">
        <v>134</v>
      </c>
      <c r="W143" s="19" t="s">
        <v>219</v>
      </c>
      <c r="X143" s="35">
        <v>10</v>
      </c>
      <c r="Y143" s="35"/>
      <c r="Z143" s="32"/>
      <c r="AA143" s="22"/>
      <c r="AB143" s="22"/>
      <c r="AC143" s="22"/>
      <c r="AD143" s="22"/>
      <c r="AE143" s="61">
        <f t="shared" si="54"/>
        <v>0</v>
      </c>
      <c r="AF143" s="22"/>
      <c r="AG143" s="40">
        <f t="shared" si="55"/>
        <v>0</v>
      </c>
      <c r="AH143" s="24"/>
      <c r="AI143" s="24"/>
      <c r="AJ143" s="24"/>
      <c r="AK143" s="24"/>
      <c r="AL143" s="23">
        <f t="shared" ref="AL143:AL150" si="57">AG143-AH143-AI143-AJ143+AK143</f>
        <v>0</v>
      </c>
      <c r="AM143" s="25"/>
      <c r="AN143" s="25"/>
      <c r="AO143" s="25"/>
      <c r="AP143" s="25"/>
      <c r="AQ143" s="25">
        <f t="shared" si="51"/>
        <v>0</v>
      </c>
      <c r="AR143" s="13"/>
      <c r="AS143" s="21"/>
      <c r="AT143" s="21"/>
      <c r="AU143" s="21"/>
      <c r="AV143" s="77"/>
      <c r="AW143" s="21"/>
      <c r="AX143" s="21"/>
      <c r="AY143" s="21"/>
      <c r="AZ143" s="21"/>
      <c r="BA143" s="21"/>
      <c r="BB143" s="21"/>
      <c r="BC143" s="77"/>
      <c r="BD143" s="21"/>
      <c r="BE143" s="21"/>
      <c r="BF143" s="21"/>
      <c r="BG143" s="21"/>
      <c r="BH143" s="21"/>
      <c r="BI143" s="21"/>
      <c r="BJ143" s="77"/>
      <c r="BK143" s="21"/>
      <c r="BL143" s="21"/>
      <c r="BM143" s="21"/>
      <c r="BN143" s="21"/>
      <c r="BO143" s="21"/>
      <c r="BP143" s="21"/>
      <c r="BQ143" s="77"/>
      <c r="BR143" s="21"/>
      <c r="BS143" s="21"/>
      <c r="BT143" s="21"/>
      <c r="BU143" s="21"/>
      <c r="BV143" s="21"/>
      <c r="BW143" s="79">
        <f t="shared" si="52"/>
        <v>0</v>
      </c>
      <c r="BX143" s="58">
        <f t="shared" si="53"/>
        <v>0</v>
      </c>
      <c r="BY143" s="26"/>
      <c r="BZ143" s="21"/>
      <c r="CA143" s="51" t="s">
        <v>370</v>
      </c>
      <c r="CB143" s="50" t="b">
        <f t="shared" si="47"/>
        <v>1</v>
      </c>
      <c r="CC143" s="53" t="s">
        <v>370</v>
      </c>
      <c r="CD143" s="19" t="s">
        <v>1118</v>
      </c>
      <c r="CE143" s="19" t="s">
        <v>1086</v>
      </c>
      <c r="CF143" s="19" t="s">
        <v>1087</v>
      </c>
      <c r="CG143" s="19" t="s">
        <v>1119</v>
      </c>
      <c r="CH143" s="19" t="s">
        <v>1120</v>
      </c>
      <c r="CI143" s="19" t="s">
        <v>1090</v>
      </c>
      <c r="CJ143" s="19" t="s">
        <v>1091</v>
      </c>
      <c r="CK143" s="19" t="s">
        <v>1121</v>
      </c>
      <c r="CL143" s="19" t="s">
        <v>1122</v>
      </c>
      <c r="CM143" s="19" t="s">
        <v>1123</v>
      </c>
      <c r="CN143" s="19" t="s">
        <v>1124</v>
      </c>
      <c r="CO143" s="19" t="s">
        <v>1125</v>
      </c>
      <c r="CP143" s="19" t="s">
        <v>1118</v>
      </c>
      <c r="CQ143" s="19"/>
      <c r="CR143" s="19"/>
      <c r="CS143" s="19" t="s">
        <v>1114</v>
      </c>
      <c r="CT143" s="19" t="s">
        <v>1115</v>
      </c>
      <c r="CU143" s="19" t="s">
        <v>1126</v>
      </c>
      <c r="CV143" s="19" t="s">
        <v>1127</v>
      </c>
      <c r="CW143" s="19"/>
      <c r="CX143" s="19"/>
      <c r="CY143" s="19"/>
      <c r="CZ143" s="19"/>
      <c r="DA143" s="19"/>
      <c r="DB143" s="19"/>
      <c r="DC143" s="19"/>
      <c r="DD143" s="19"/>
      <c r="DE143" s="19"/>
      <c r="DF143" s="19"/>
    </row>
    <row r="144" spans="1:110" x14ac:dyDescent="0.25">
      <c r="A144" s="19" t="s">
        <v>81</v>
      </c>
      <c r="B144" s="19" t="s">
        <v>97</v>
      </c>
      <c r="C144" s="19" t="str">
        <f t="shared" si="46"/>
        <v>80653171GHANA</v>
      </c>
      <c r="D144" s="19">
        <v>80653171</v>
      </c>
      <c r="E144" s="19" t="s">
        <v>350</v>
      </c>
      <c r="F144" s="19" t="s">
        <v>261</v>
      </c>
      <c r="G144" s="20" t="s">
        <v>350</v>
      </c>
      <c r="H144" s="19"/>
      <c r="I144" s="19" t="s">
        <v>230</v>
      </c>
      <c r="J144" s="19" t="s">
        <v>351</v>
      </c>
      <c r="K144" s="19" t="s">
        <v>352</v>
      </c>
      <c r="L144" s="19" t="s">
        <v>289</v>
      </c>
      <c r="M144" s="19" t="s">
        <v>353</v>
      </c>
      <c r="N144" s="19" t="s">
        <v>284</v>
      </c>
      <c r="O144" s="19" t="s">
        <v>275</v>
      </c>
      <c r="P144" s="23" t="s">
        <v>285</v>
      </c>
      <c r="Q144" s="19" t="s">
        <v>354</v>
      </c>
      <c r="R144" s="19">
        <v>6300</v>
      </c>
      <c r="S144" s="19" t="s">
        <v>272</v>
      </c>
      <c r="T144" s="19" t="s">
        <v>287</v>
      </c>
      <c r="U144" s="20" t="s">
        <v>287</v>
      </c>
      <c r="V144" s="19" t="s">
        <v>135</v>
      </c>
      <c r="W144" s="19" t="s">
        <v>221</v>
      </c>
      <c r="X144" s="35">
        <v>3</v>
      </c>
      <c r="Y144" s="35"/>
      <c r="Z144" s="32"/>
      <c r="AA144" s="22"/>
      <c r="AB144" s="22"/>
      <c r="AC144" s="22"/>
      <c r="AD144" s="22"/>
      <c r="AE144" s="61">
        <f t="shared" si="54"/>
        <v>0</v>
      </c>
      <c r="AF144" s="22"/>
      <c r="AG144" s="40">
        <f t="shared" si="55"/>
        <v>0</v>
      </c>
      <c r="AH144" s="24"/>
      <c r="AI144" s="24"/>
      <c r="AJ144" s="24"/>
      <c r="AK144" s="24"/>
      <c r="AL144" s="23">
        <f t="shared" si="57"/>
        <v>0</v>
      </c>
      <c r="AM144" s="25"/>
      <c r="AN144" s="25"/>
      <c r="AO144" s="25"/>
      <c r="AP144" s="25"/>
      <c r="AQ144" s="25">
        <f t="shared" si="51"/>
        <v>0</v>
      </c>
      <c r="AR144" s="13"/>
      <c r="AS144" s="21"/>
      <c r="AT144" s="21"/>
      <c r="AU144" s="21"/>
      <c r="AV144" s="77"/>
      <c r="AW144" s="21"/>
      <c r="AX144" s="21"/>
      <c r="AY144" s="21"/>
      <c r="AZ144" s="21"/>
      <c r="BA144" s="21"/>
      <c r="BB144" s="21"/>
      <c r="BC144" s="77"/>
      <c r="BD144" s="21"/>
      <c r="BE144" s="21"/>
      <c r="BF144" s="21"/>
      <c r="BG144" s="21"/>
      <c r="BH144" s="21"/>
      <c r="BI144" s="21"/>
      <c r="BJ144" s="77"/>
      <c r="BK144" s="21"/>
      <c r="BL144" s="21"/>
      <c r="BM144" s="21"/>
      <c r="BN144" s="21"/>
      <c r="BO144" s="21"/>
      <c r="BP144" s="21"/>
      <c r="BQ144" s="77"/>
      <c r="BR144" s="21"/>
      <c r="BS144" s="21"/>
      <c r="BT144" s="21"/>
      <c r="BU144" s="21"/>
      <c r="BV144" s="21"/>
      <c r="BW144" s="79">
        <f t="shared" si="52"/>
        <v>0</v>
      </c>
      <c r="BX144" s="58">
        <f t="shared" si="53"/>
        <v>0</v>
      </c>
      <c r="BY144" s="26"/>
      <c r="BZ144" s="21"/>
      <c r="CA144" s="51" t="s">
        <v>350</v>
      </c>
      <c r="CB144" s="50" t="b">
        <f t="shared" si="47"/>
        <v>1</v>
      </c>
      <c r="CC144" s="53" t="s">
        <v>350</v>
      </c>
      <c r="CD144" s="19" t="s">
        <v>1085</v>
      </c>
      <c r="CE144" s="19" t="s">
        <v>1086</v>
      </c>
      <c r="CF144" s="19" t="s">
        <v>1087</v>
      </c>
      <c r="CG144" s="19" t="s">
        <v>1088</v>
      </c>
      <c r="CH144" s="19" t="s">
        <v>1089</v>
      </c>
      <c r="CI144" s="19" t="s">
        <v>1090</v>
      </c>
      <c r="CJ144" s="19" t="s">
        <v>1091</v>
      </c>
      <c r="CK144" s="19" t="s">
        <v>1092</v>
      </c>
      <c r="CL144" s="19" t="s">
        <v>1093</v>
      </c>
      <c r="CM144" s="19" t="s">
        <v>1094</v>
      </c>
      <c r="CN144" s="19" t="s">
        <v>1095</v>
      </c>
      <c r="CO144" s="19" t="s">
        <v>1096</v>
      </c>
      <c r="CP144" s="19" t="s">
        <v>1097</v>
      </c>
      <c r="CQ144" s="19"/>
      <c r="CR144" s="19"/>
      <c r="CS144" s="19" t="s">
        <v>1098</v>
      </c>
      <c r="CT144" s="19" t="s">
        <v>1099</v>
      </c>
      <c r="CU144" s="19" t="s">
        <v>1100</v>
      </c>
      <c r="CV144" s="19" t="s">
        <v>1101</v>
      </c>
      <c r="CW144" s="19"/>
      <c r="CX144" s="19"/>
      <c r="CY144" s="19"/>
      <c r="CZ144" s="19"/>
      <c r="DA144" s="19"/>
      <c r="DB144" s="19"/>
      <c r="DC144" s="19"/>
      <c r="DD144" s="19"/>
      <c r="DE144" s="19"/>
      <c r="DF144" s="19"/>
    </row>
    <row r="145" spans="1:110" x14ac:dyDescent="0.25">
      <c r="A145" s="19" t="s">
        <v>81</v>
      </c>
      <c r="B145" s="19" t="s">
        <v>99</v>
      </c>
      <c r="C145" s="19" t="str">
        <f t="shared" si="46"/>
        <v>80652287OMAN</v>
      </c>
      <c r="D145" s="19">
        <v>80652287</v>
      </c>
      <c r="E145" s="19" t="s">
        <v>379</v>
      </c>
      <c r="F145" s="19" t="s">
        <v>261</v>
      </c>
      <c r="G145" s="20" t="s">
        <v>379</v>
      </c>
      <c r="H145" s="19"/>
      <c r="I145" s="19" t="s">
        <v>230</v>
      </c>
      <c r="J145" s="19" t="s">
        <v>351</v>
      </c>
      <c r="K145" s="19" t="s">
        <v>352</v>
      </c>
      <c r="L145" s="19" t="s">
        <v>289</v>
      </c>
      <c r="M145" s="19" t="s">
        <v>353</v>
      </c>
      <c r="N145" s="19" t="s">
        <v>284</v>
      </c>
      <c r="O145" s="19" t="s">
        <v>275</v>
      </c>
      <c r="P145" s="23" t="s">
        <v>285</v>
      </c>
      <c r="Q145" s="19" t="s">
        <v>354</v>
      </c>
      <c r="R145" s="19">
        <v>6300</v>
      </c>
      <c r="S145" s="19" t="s">
        <v>272</v>
      </c>
      <c r="T145" s="19" t="s">
        <v>287</v>
      </c>
      <c r="U145" s="20" t="s">
        <v>287</v>
      </c>
      <c r="V145" s="19" t="s">
        <v>1592</v>
      </c>
      <c r="W145" s="19" t="s">
        <v>219</v>
      </c>
      <c r="X145" s="35">
        <v>4</v>
      </c>
      <c r="Y145" s="35"/>
      <c r="Z145" s="32"/>
      <c r="AA145" s="22"/>
      <c r="AB145" s="22"/>
      <c r="AC145" s="22"/>
      <c r="AD145" s="22"/>
      <c r="AE145" s="61">
        <f t="shared" si="54"/>
        <v>0</v>
      </c>
      <c r="AF145" s="22"/>
      <c r="AG145" s="40">
        <f t="shared" si="55"/>
        <v>0</v>
      </c>
      <c r="AH145" s="24"/>
      <c r="AI145" s="24"/>
      <c r="AJ145" s="24"/>
      <c r="AK145" s="24"/>
      <c r="AL145" s="23">
        <f t="shared" si="57"/>
        <v>0</v>
      </c>
      <c r="AM145" s="25"/>
      <c r="AN145" s="25"/>
      <c r="AO145" s="25"/>
      <c r="AP145" s="25"/>
      <c r="AQ145" s="25">
        <f t="shared" si="51"/>
        <v>0</v>
      </c>
      <c r="AR145" s="13"/>
      <c r="AS145" s="21"/>
      <c r="AT145" s="21"/>
      <c r="AU145" s="21"/>
      <c r="AV145" s="77"/>
      <c r="AW145" s="21"/>
      <c r="AX145" s="21"/>
      <c r="AY145" s="21"/>
      <c r="AZ145" s="21"/>
      <c r="BA145" s="21"/>
      <c r="BB145" s="21"/>
      <c r="BC145" s="77"/>
      <c r="BD145" s="21"/>
      <c r="BE145" s="21"/>
      <c r="BF145" s="21"/>
      <c r="BG145" s="21"/>
      <c r="BH145" s="21"/>
      <c r="BI145" s="21"/>
      <c r="BJ145" s="77"/>
      <c r="BK145" s="21"/>
      <c r="BL145" s="21"/>
      <c r="BM145" s="21"/>
      <c r="BN145" s="21"/>
      <c r="BO145" s="21"/>
      <c r="BP145" s="21"/>
      <c r="BQ145" s="77"/>
      <c r="BR145" s="21"/>
      <c r="BS145" s="21"/>
      <c r="BT145" s="21"/>
      <c r="BU145" s="21"/>
      <c r="BV145" s="21"/>
      <c r="BW145" s="79">
        <f t="shared" si="52"/>
        <v>0</v>
      </c>
      <c r="BX145" s="58">
        <f t="shared" si="53"/>
        <v>0</v>
      </c>
      <c r="BY145" s="26"/>
      <c r="BZ145" s="21"/>
      <c r="CA145" s="51" t="s">
        <v>379</v>
      </c>
      <c r="CB145" s="50" t="b">
        <f t="shared" si="47"/>
        <v>1</v>
      </c>
      <c r="CC145" s="50" t="s">
        <v>379</v>
      </c>
      <c r="CD145" s="19" t="s">
        <v>1085</v>
      </c>
      <c r="CE145" s="19" t="s">
        <v>1086</v>
      </c>
      <c r="CF145" s="19" t="s">
        <v>1087</v>
      </c>
      <c r="CG145" s="19" t="s">
        <v>1088</v>
      </c>
      <c r="CH145" s="19" t="s">
        <v>1089</v>
      </c>
      <c r="CI145" s="19" t="s">
        <v>1090</v>
      </c>
      <c r="CJ145" s="19" t="s">
        <v>1091</v>
      </c>
      <c r="CK145" s="19" t="s">
        <v>1092</v>
      </c>
      <c r="CL145" s="19" t="s">
        <v>1093</v>
      </c>
      <c r="CM145" s="19" t="s">
        <v>1128</v>
      </c>
      <c r="CN145" s="19" t="s">
        <v>1129</v>
      </c>
      <c r="CO145" s="19" t="s">
        <v>1130</v>
      </c>
      <c r="CP145" s="19" t="s">
        <v>1097</v>
      </c>
      <c r="CQ145" s="19"/>
      <c r="CR145" s="19"/>
      <c r="CS145" s="19" t="s">
        <v>1098</v>
      </c>
      <c r="CT145" s="19" t="s">
        <v>1099</v>
      </c>
      <c r="CU145" s="19" t="s">
        <v>1100</v>
      </c>
      <c r="CV145" s="19" t="s">
        <v>1101</v>
      </c>
      <c r="CW145" s="19"/>
      <c r="CX145" s="19"/>
      <c r="CY145" s="19"/>
      <c r="CZ145" s="19"/>
      <c r="DA145" s="19"/>
      <c r="DB145" s="19"/>
      <c r="DC145" s="19"/>
      <c r="DD145" s="19"/>
      <c r="DE145" s="19"/>
      <c r="DF145" s="19"/>
    </row>
    <row r="146" spans="1:110" x14ac:dyDescent="0.25">
      <c r="A146" s="19" t="s">
        <v>81</v>
      </c>
      <c r="B146" s="19" t="s">
        <v>91</v>
      </c>
      <c r="C146" s="19" t="str">
        <f t="shared" ref="C146:C155" si="58">D146&amp;B146</f>
        <v>83200362Sri Lanka</v>
      </c>
      <c r="D146" s="19">
        <v>83200362</v>
      </c>
      <c r="E146" s="19" t="s">
        <v>366</v>
      </c>
      <c r="F146" s="19" t="s">
        <v>261</v>
      </c>
      <c r="G146" s="20" t="s">
        <v>366</v>
      </c>
      <c r="H146" s="19"/>
      <c r="I146" s="19" t="s">
        <v>230</v>
      </c>
      <c r="J146" s="19" t="s">
        <v>359</v>
      </c>
      <c r="K146" s="19" t="s">
        <v>367</v>
      </c>
      <c r="L146" s="19" t="s">
        <v>252</v>
      </c>
      <c r="M146" s="19" t="s">
        <v>345</v>
      </c>
      <c r="N146" s="19" t="s">
        <v>284</v>
      </c>
      <c r="O146" s="19" t="s">
        <v>368</v>
      </c>
      <c r="P146" s="23" t="s">
        <v>285</v>
      </c>
      <c r="Q146" s="19" t="s">
        <v>369</v>
      </c>
      <c r="R146" s="19">
        <v>7200</v>
      </c>
      <c r="S146" s="19" t="s">
        <v>239</v>
      </c>
      <c r="T146" s="19" t="s">
        <v>287</v>
      </c>
      <c r="U146" s="20" t="s">
        <v>287</v>
      </c>
      <c r="V146" s="19" t="s">
        <v>130</v>
      </c>
      <c r="W146" s="19" t="s">
        <v>219</v>
      </c>
      <c r="X146" s="35"/>
      <c r="Y146" s="35">
        <v>2</v>
      </c>
      <c r="Z146" s="32"/>
      <c r="AA146" s="22"/>
      <c r="AB146" s="22"/>
      <c r="AC146" s="22"/>
      <c r="AD146" s="22"/>
      <c r="AE146" s="61">
        <f t="shared" si="54"/>
        <v>0</v>
      </c>
      <c r="AF146" s="22"/>
      <c r="AG146" s="40">
        <f t="shared" si="55"/>
        <v>0</v>
      </c>
      <c r="AH146" s="24"/>
      <c r="AI146" s="24"/>
      <c r="AJ146" s="24"/>
      <c r="AK146" s="24"/>
      <c r="AL146" s="23">
        <f t="shared" si="57"/>
        <v>0</v>
      </c>
      <c r="AM146" s="25"/>
      <c r="AN146" s="25"/>
      <c r="AO146" s="25"/>
      <c r="AP146" s="25"/>
      <c r="AQ146" s="25">
        <f t="shared" ref="AQ146:AQ163" si="59">SUM(AM146:AP146)</f>
        <v>0</v>
      </c>
      <c r="AR146" s="13"/>
      <c r="AS146" s="21"/>
      <c r="AT146" s="21"/>
      <c r="AU146" s="21"/>
      <c r="AV146" s="77"/>
      <c r="AW146" s="21"/>
      <c r="AX146" s="21"/>
      <c r="AY146" s="21"/>
      <c r="AZ146" s="21"/>
      <c r="BA146" s="21"/>
      <c r="BB146" s="21"/>
      <c r="BC146" s="77"/>
      <c r="BD146" s="21"/>
      <c r="BE146" s="21"/>
      <c r="BF146" s="21"/>
      <c r="BG146" s="21"/>
      <c r="BH146" s="21"/>
      <c r="BI146" s="21"/>
      <c r="BJ146" s="77"/>
      <c r="BK146" s="21"/>
      <c r="BL146" s="21"/>
      <c r="BM146" s="21"/>
      <c r="BN146" s="21"/>
      <c r="BO146" s="21"/>
      <c r="BP146" s="21"/>
      <c r="BQ146" s="77"/>
      <c r="BR146" s="21"/>
      <c r="BS146" s="21"/>
      <c r="BT146" s="21"/>
      <c r="BU146" s="21"/>
      <c r="BV146" s="21"/>
      <c r="BW146" s="79">
        <f t="shared" si="52"/>
        <v>0</v>
      </c>
      <c r="BX146" s="58">
        <f t="shared" si="53"/>
        <v>0</v>
      </c>
      <c r="BY146" s="26"/>
      <c r="BZ146" s="21"/>
      <c r="CA146" s="19" t="s">
        <v>366</v>
      </c>
      <c r="CB146" s="50" t="b">
        <f t="shared" ref="CB146:CB155" si="60">CC146=CA146</f>
        <v>1</v>
      </c>
      <c r="CC146" s="51" t="s">
        <v>366</v>
      </c>
      <c r="CD146" s="19" t="s">
        <v>1137</v>
      </c>
      <c r="CE146" s="19" t="s">
        <v>1131</v>
      </c>
      <c r="CF146" s="19" t="s">
        <v>1132</v>
      </c>
      <c r="CG146" s="19" t="s">
        <v>1138</v>
      </c>
      <c r="CH146" s="19" t="s">
        <v>1139</v>
      </c>
      <c r="CI146" s="19" t="s">
        <v>1140</v>
      </c>
      <c r="CJ146" s="19" t="s">
        <v>1141</v>
      </c>
      <c r="CK146" s="19" t="s">
        <v>1142</v>
      </c>
      <c r="CL146" s="19" t="s">
        <v>1143</v>
      </c>
      <c r="CM146" s="19" t="s">
        <v>1144</v>
      </c>
      <c r="CN146" s="19" t="s">
        <v>1145</v>
      </c>
      <c r="CO146" s="19" t="s">
        <v>1146</v>
      </c>
      <c r="CP146" s="19" t="s">
        <v>1147</v>
      </c>
      <c r="CQ146" s="19" t="s">
        <v>1133</v>
      </c>
      <c r="CR146" s="19" t="s">
        <v>1134</v>
      </c>
      <c r="CS146" s="19" t="s">
        <v>1135</v>
      </c>
      <c r="CT146" s="19" t="s">
        <v>1136</v>
      </c>
      <c r="CU146" s="19" t="s">
        <v>1148</v>
      </c>
      <c r="CV146" s="19" t="s">
        <v>1149</v>
      </c>
      <c r="CW146" s="19"/>
      <c r="CX146" s="19"/>
      <c r="CY146" s="19"/>
      <c r="CZ146" s="19"/>
      <c r="DA146" s="19"/>
      <c r="DB146" s="19"/>
      <c r="DC146" s="19"/>
      <c r="DD146" s="19"/>
      <c r="DE146" s="19"/>
      <c r="DF146" s="19"/>
    </row>
    <row r="147" spans="1:110" x14ac:dyDescent="0.25">
      <c r="A147" s="19" t="s">
        <v>81</v>
      </c>
      <c r="B147" s="19" t="s">
        <v>93</v>
      </c>
      <c r="C147" s="19" t="str">
        <f t="shared" si="58"/>
        <v>82006958Bangladesh</v>
      </c>
      <c r="D147" s="19">
        <v>82006958</v>
      </c>
      <c r="E147" s="19" t="s">
        <v>380</v>
      </c>
      <c r="F147" s="19" t="s">
        <v>261</v>
      </c>
      <c r="G147" s="20" t="s">
        <v>380</v>
      </c>
      <c r="H147" s="19"/>
      <c r="I147" s="19" t="s">
        <v>230</v>
      </c>
      <c r="J147" s="19" t="s">
        <v>355</v>
      </c>
      <c r="K147" s="19" t="s">
        <v>381</v>
      </c>
      <c r="L147" s="19" t="s">
        <v>282</v>
      </c>
      <c r="M147" s="19" t="s">
        <v>382</v>
      </c>
      <c r="N147" s="19" t="s">
        <v>284</v>
      </c>
      <c r="O147" s="19" t="s">
        <v>293</v>
      </c>
      <c r="P147" s="23" t="s">
        <v>285</v>
      </c>
      <c r="Q147" s="19" t="s">
        <v>383</v>
      </c>
      <c r="R147" s="19">
        <v>7200</v>
      </c>
      <c r="S147" s="19" t="s">
        <v>239</v>
      </c>
      <c r="T147" s="19" t="s">
        <v>287</v>
      </c>
      <c r="U147" s="20" t="s">
        <v>287</v>
      </c>
      <c r="V147" s="19" t="s">
        <v>136</v>
      </c>
      <c r="W147" s="19" t="s">
        <v>219</v>
      </c>
      <c r="X147" s="35">
        <v>10</v>
      </c>
      <c r="Y147" s="35">
        <v>5</v>
      </c>
      <c r="Z147" s="32"/>
      <c r="AA147" s="22"/>
      <c r="AB147" s="22"/>
      <c r="AC147" s="22"/>
      <c r="AD147" s="22"/>
      <c r="AE147" s="61">
        <f t="shared" ref="AE147:AE170" si="61">SUM(AA147:AD147)</f>
        <v>0</v>
      </c>
      <c r="AF147" s="22"/>
      <c r="AG147" s="40">
        <f t="shared" ref="AG147:AG170" si="62">AF147+AE147</f>
        <v>0</v>
      </c>
      <c r="AH147" s="24"/>
      <c r="AI147" s="24"/>
      <c r="AJ147" s="24"/>
      <c r="AK147" s="24"/>
      <c r="AL147" s="23">
        <f t="shared" si="57"/>
        <v>0</v>
      </c>
      <c r="AM147" s="25"/>
      <c r="AN147" s="25"/>
      <c r="AO147" s="25"/>
      <c r="AP147" s="25"/>
      <c r="AQ147" s="25">
        <f t="shared" si="59"/>
        <v>0</v>
      </c>
      <c r="AR147" s="13"/>
      <c r="AS147" s="21"/>
      <c r="AT147" s="21"/>
      <c r="AU147" s="21"/>
      <c r="AV147" s="77"/>
      <c r="AW147" s="21"/>
      <c r="AX147" s="21"/>
      <c r="AY147" s="21"/>
      <c r="AZ147" s="21"/>
      <c r="BA147" s="21"/>
      <c r="BB147" s="21"/>
      <c r="BC147" s="77"/>
      <c r="BD147" s="21"/>
      <c r="BE147" s="21"/>
      <c r="BF147" s="21"/>
      <c r="BG147" s="21"/>
      <c r="BH147" s="21"/>
      <c r="BI147" s="21"/>
      <c r="BJ147" s="77"/>
      <c r="BK147" s="21"/>
      <c r="BL147" s="21"/>
      <c r="BM147" s="21"/>
      <c r="BN147" s="21"/>
      <c r="BO147" s="21"/>
      <c r="BP147" s="21"/>
      <c r="BQ147" s="77"/>
      <c r="BR147" s="21"/>
      <c r="BS147" s="21"/>
      <c r="BT147" s="21"/>
      <c r="BU147" s="21"/>
      <c r="BV147" s="21"/>
      <c r="BW147" s="79">
        <f t="shared" si="52"/>
        <v>0</v>
      </c>
      <c r="BX147" s="58">
        <f t="shared" si="53"/>
        <v>0</v>
      </c>
      <c r="BY147" s="26"/>
      <c r="BZ147" s="21"/>
      <c r="CA147" s="19" t="s">
        <v>380</v>
      </c>
      <c r="CB147" s="50" t="b">
        <f t="shared" si="60"/>
        <v>1</v>
      </c>
      <c r="CC147" s="53" t="s">
        <v>380</v>
      </c>
      <c r="CD147" s="19" t="s">
        <v>1159</v>
      </c>
      <c r="CE147" s="19" t="s">
        <v>1150</v>
      </c>
      <c r="CF147" s="19" t="s">
        <v>1151</v>
      </c>
      <c r="CG147" s="19" t="s">
        <v>1152</v>
      </c>
      <c r="CH147" s="19" t="s">
        <v>1153</v>
      </c>
      <c r="CI147" s="19" t="s">
        <v>1160</v>
      </c>
      <c r="CJ147" s="19" t="s">
        <v>1161</v>
      </c>
      <c r="CK147" s="19" t="s">
        <v>1162</v>
      </c>
      <c r="CL147" s="19" t="s">
        <v>1163</v>
      </c>
      <c r="CM147" s="19" t="s">
        <v>1164</v>
      </c>
      <c r="CN147" s="19" t="s">
        <v>1165</v>
      </c>
      <c r="CO147" s="19" t="s">
        <v>1166</v>
      </c>
      <c r="CP147" s="19" t="s">
        <v>1167</v>
      </c>
      <c r="CQ147" s="19" t="s">
        <v>1154</v>
      </c>
      <c r="CR147" s="19" t="s">
        <v>1155</v>
      </c>
      <c r="CS147" s="19" t="s">
        <v>1156</v>
      </c>
      <c r="CT147" s="19" t="s">
        <v>1157</v>
      </c>
      <c r="CU147" s="19" t="s">
        <v>1168</v>
      </c>
      <c r="CV147" s="19" t="s">
        <v>1169</v>
      </c>
      <c r="CW147" s="19" t="s">
        <v>1170</v>
      </c>
      <c r="CX147" s="19" t="s">
        <v>1171</v>
      </c>
      <c r="CY147" s="19"/>
      <c r="CZ147" s="19"/>
      <c r="DA147" s="19"/>
      <c r="DB147" s="19"/>
      <c r="DC147" s="19"/>
      <c r="DD147" s="19"/>
      <c r="DE147" s="19"/>
      <c r="DF147" s="19"/>
    </row>
    <row r="148" spans="1:110" x14ac:dyDescent="0.25">
      <c r="A148" s="57" t="s">
        <v>224</v>
      </c>
      <c r="B148" s="57" t="s">
        <v>224</v>
      </c>
      <c r="C148" s="19" t="str">
        <f t="shared" si="58"/>
        <v>11152905NPI Proj</v>
      </c>
      <c r="D148" s="57">
        <v>11152905</v>
      </c>
      <c r="E148" s="19" t="s">
        <v>229</v>
      </c>
      <c r="F148" s="19" t="s">
        <v>261</v>
      </c>
      <c r="G148" s="75" t="s">
        <v>229</v>
      </c>
      <c r="H148" s="19"/>
      <c r="I148" s="57" t="s">
        <v>491</v>
      </c>
      <c r="J148" s="57" t="s">
        <v>487</v>
      </c>
      <c r="K148" s="57" t="s">
        <v>492</v>
      </c>
      <c r="L148" s="57" t="s">
        <v>361</v>
      </c>
      <c r="M148" s="57" t="s">
        <v>362</v>
      </c>
      <c r="N148" s="57" t="s">
        <v>284</v>
      </c>
      <c r="O148" s="57" t="s">
        <v>270</v>
      </c>
      <c r="P148" s="76" t="s">
        <v>285</v>
      </c>
      <c r="Q148" s="57" t="s">
        <v>223</v>
      </c>
      <c r="R148" s="57">
        <v>7750</v>
      </c>
      <c r="S148" s="57" t="s">
        <v>272</v>
      </c>
      <c r="T148" s="57" t="s">
        <v>488</v>
      </c>
      <c r="U148" s="75" t="s">
        <v>488</v>
      </c>
      <c r="V148" s="57" t="s">
        <v>1615</v>
      </c>
      <c r="W148" s="19"/>
      <c r="X148" s="35">
        <v>4</v>
      </c>
      <c r="Y148" s="35">
        <v>4</v>
      </c>
      <c r="Z148" s="32"/>
      <c r="AA148" s="22">
        <v>1</v>
      </c>
      <c r="AB148" s="22">
        <v>1</v>
      </c>
      <c r="AC148" s="22">
        <v>1</v>
      </c>
      <c r="AD148" s="22"/>
      <c r="AE148" s="61">
        <f t="shared" si="61"/>
        <v>3</v>
      </c>
      <c r="AF148" s="22"/>
      <c r="AG148" s="40">
        <f t="shared" si="62"/>
        <v>3</v>
      </c>
      <c r="AH148" s="24"/>
      <c r="AI148" s="24"/>
      <c r="AJ148" s="24"/>
      <c r="AK148" s="24"/>
      <c r="AL148" s="23">
        <f t="shared" si="57"/>
        <v>3</v>
      </c>
      <c r="AM148" s="25"/>
      <c r="AN148" s="25"/>
      <c r="AO148" s="25"/>
      <c r="AP148" s="25"/>
      <c r="AQ148" s="25">
        <f t="shared" si="59"/>
        <v>0</v>
      </c>
      <c r="AR148" s="13"/>
      <c r="AS148" s="21"/>
      <c r="AT148" s="21"/>
      <c r="AU148" s="21"/>
      <c r="AV148" s="77"/>
      <c r="AW148" s="21"/>
      <c r="AX148" s="21"/>
      <c r="AY148" s="21"/>
      <c r="AZ148" s="21"/>
      <c r="BA148" s="21"/>
      <c r="BB148" s="21"/>
      <c r="BC148" s="77"/>
      <c r="BD148" s="21"/>
      <c r="BE148" s="21"/>
      <c r="BF148" s="21"/>
      <c r="BG148" s="21"/>
      <c r="BH148" s="21"/>
      <c r="BI148" s="21"/>
      <c r="BJ148" s="77"/>
      <c r="BK148" s="21"/>
      <c r="BL148" s="21"/>
      <c r="BM148" s="21"/>
      <c r="BN148" s="21"/>
      <c r="BO148" s="21"/>
      <c r="BP148" s="21"/>
      <c r="BQ148" s="77"/>
      <c r="BR148" s="21"/>
      <c r="BS148" s="21"/>
      <c r="BT148" s="21"/>
      <c r="BU148" s="21"/>
      <c r="BV148" s="21"/>
      <c r="BW148" s="79">
        <f t="shared" si="52"/>
        <v>0</v>
      </c>
      <c r="BX148" s="58">
        <f t="shared" si="53"/>
        <v>0</v>
      </c>
      <c r="BY148" s="26" t="s">
        <v>1726</v>
      </c>
      <c r="BZ148" s="21"/>
      <c r="CA148" s="19" t="s">
        <v>229</v>
      </c>
      <c r="CB148" s="50" t="b">
        <f t="shared" si="60"/>
        <v>0</v>
      </c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  <c r="CV148" s="19"/>
      <c r="CW148" s="19"/>
      <c r="CX148" s="19"/>
      <c r="CY148" s="19"/>
      <c r="CZ148" s="19"/>
      <c r="DA148" s="19"/>
      <c r="DB148" s="19"/>
      <c r="DC148" s="19"/>
      <c r="DD148" s="19"/>
      <c r="DE148" s="19"/>
      <c r="DF148" s="19"/>
    </row>
    <row r="149" spans="1:110" x14ac:dyDescent="0.25">
      <c r="A149" s="57" t="s">
        <v>224</v>
      </c>
      <c r="B149" s="57" t="s">
        <v>224</v>
      </c>
      <c r="C149" s="19" t="str">
        <f t="shared" si="58"/>
        <v>11153079NPI Proj</v>
      </c>
      <c r="D149" s="57">
        <v>11153079</v>
      </c>
      <c r="E149" s="19" t="s">
        <v>229</v>
      </c>
      <c r="F149" s="19" t="s">
        <v>261</v>
      </c>
      <c r="G149" s="75" t="s">
        <v>229</v>
      </c>
      <c r="H149" s="19"/>
      <c r="I149" s="57" t="s">
        <v>491</v>
      </c>
      <c r="J149" s="57" t="s">
        <v>487</v>
      </c>
      <c r="K149" s="57" t="s">
        <v>492</v>
      </c>
      <c r="L149" s="57" t="s">
        <v>361</v>
      </c>
      <c r="M149" s="57" t="s">
        <v>362</v>
      </c>
      <c r="N149" s="57" t="s">
        <v>284</v>
      </c>
      <c r="O149" s="57" t="s">
        <v>270</v>
      </c>
      <c r="P149" s="76" t="s">
        <v>285</v>
      </c>
      <c r="Q149" s="57" t="s">
        <v>223</v>
      </c>
      <c r="R149" s="57">
        <v>7750</v>
      </c>
      <c r="S149" s="57" t="s">
        <v>272</v>
      </c>
      <c r="T149" s="57" t="s">
        <v>488</v>
      </c>
      <c r="U149" s="75" t="s">
        <v>488</v>
      </c>
      <c r="V149" s="57" t="s">
        <v>225</v>
      </c>
      <c r="W149" s="19"/>
      <c r="X149" s="35">
        <v>3</v>
      </c>
      <c r="Y149" s="35">
        <v>4</v>
      </c>
      <c r="Z149" s="32"/>
      <c r="AA149" s="22">
        <v>1</v>
      </c>
      <c r="AB149" s="22">
        <v>1</v>
      </c>
      <c r="AC149" s="22">
        <v>1</v>
      </c>
      <c r="AD149" s="22"/>
      <c r="AE149" s="61">
        <f t="shared" si="61"/>
        <v>3</v>
      </c>
      <c r="AF149" s="22"/>
      <c r="AG149" s="40">
        <f t="shared" si="62"/>
        <v>3</v>
      </c>
      <c r="AH149" s="24"/>
      <c r="AI149" s="24"/>
      <c r="AJ149" s="24"/>
      <c r="AK149" s="24"/>
      <c r="AL149" s="23">
        <f t="shared" si="57"/>
        <v>3</v>
      </c>
      <c r="AM149" s="25"/>
      <c r="AN149" s="25"/>
      <c r="AO149" s="25"/>
      <c r="AP149" s="25"/>
      <c r="AQ149" s="25">
        <f t="shared" si="59"/>
        <v>0</v>
      </c>
      <c r="AR149" s="13"/>
      <c r="AS149" s="21"/>
      <c r="AT149" s="21"/>
      <c r="AU149" s="21"/>
      <c r="AV149" s="77"/>
      <c r="AW149" s="21"/>
      <c r="AX149" s="21"/>
      <c r="AY149" s="21"/>
      <c r="AZ149" s="21"/>
      <c r="BA149" s="21"/>
      <c r="BB149" s="21"/>
      <c r="BC149" s="77"/>
      <c r="BD149" s="21"/>
      <c r="BE149" s="21"/>
      <c r="BF149" s="21"/>
      <c r="BG149" s="21"/>
      <c r="BH149" s="21"/>
      <c r="BI149" s="21"/>
      <c r="BJ149" s="77"/>
      <c r="BK149" s="21"/>
      <c r="BL149" s="21"/>
      <c r="BM149" s="21"/>
      <c r="BN149" s="21"/>
      <c r="BO149" s="21"/>
      <c r="BP149" s="21"/>
      <c r="BQ149" s="77"/>
      <c r="BR149" s="21"/>
      <c r="BS149" s="21"/>
      <c r="BT149" s="21"/>
      <c r="BU149" s="21"/>
      <c r="BV149" s="21"/>
      <c r="BW149" s="79">
        <f t="shared" si="52"/>
        <v>0</v>
      </c>
      <c r="BX149" s="58">
        <f t="shared" si="53"/>
        <v>0</v>
      </c>
      <c r="BY149" s="26" t="s">
        <v>1726</v>
      </c>
      <c r="BZ149" s="21"/>
      <c r="CA149" s="19" t="s">
        <v>229</v>
      </c>
      <c r="CB149" s="50" t="b">
        <f t="shared" si="60"/>
        <v>0</v>
      </c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  <c r="CO149" s="19"/>
      <c r="CP149" s="19"/>
      <c r="CQ149" s="19"/>
      <c r="CR149" s="19"/>
      <c r="CS149" s="19"/>
      <c r="CT149" s="19"/>
      <c r="CU149" s="19"/>
      <c r="CV149" s="19"/>
      <c r="CW149" s="19"/>
      <c r="CX149" s="19"/>
      <c r="CY149" s="19"/>
      <c r="CZ149" s="19"/>
      <c r="DA149" s="19"/>
      <c r="DB149" s="19"/>
      <c r="DC149" s="19"/>
      <c r="DD149" s="19"/>
      <c r="DE149" s="19"/>
      <c r="DF149" s="19"/>
    </row>
    <row r="150" spans="1:110" x14ac:dyDescent="0.25">
      <c r="A150" s="57" t="s">
        <v>224</v>
      </c>
      <c r="B150" s="57" t="s">
        <v>224</v>
      </c>
      <c r="C150" s="19" t="str">
        <f t="shared" si="58"/>
        <v>11152967NPI Proj</v>
      </c>
      <c r="D150" s="57">
        <v>11152967</v>
      </c>
      <c r="E150" s="19" t="s">
        <v>229</v>
      </c>
      <c r="F150" s="19" t="s">
        <v>261</v>
      </c>
      <c r="G150" s="75" t="s">
        <v>229</v>
      </c>
      <c r="H150" s="19"/>
      <c r="I150" s="57" t="s">
        <v>491</v>
      </c>
      <c r="J150" s="57" t="s">
        <v>487</v>
      </c>
      <c r="K150" s="57" t="s">
        <v>492</v>
      </c>
      <c r="L150" s="57" t="s">
        <v>361</v>
      </c>
      <c r="M150" s="57" t="s">
        <v>362</v>
      </c>
      <c r="N150" s="57" t="s">
        <v>284</v>
      </c>
      <c r="O150" s="57" t="s">
        <v>270</v>
      </c>
      <c r="P150" s="76" t="s">
        <v>285</v>
      </c>
      <c r="Q150" s="57" t="s">
        <v>223</v>
      </c>
      <c r="R150" s="57">
        <v>7750</v>
      </c>
      <c r="S150" s="57" t="s">
        <v>272</v>
      </c>
      <c r="T150" s="57" t="s">
        <v>488</v>
      </c>
      <c r="U150" s="75" t="s">
        <v>488</v>
      </c>
      <c r="V150" s="57" t="s">
        <v>1616</v>
      </c>
      <c r="W150" s="19"/>
      <c r="X150" s="35">
        <v>2</v>
      </c>
      <c r="Y150" s="35">
        <v>2</v>
      </c>
      <c r="Z150" s="32"/>
      <c r="AA150" s="22">
        <v>1</v>
      </c>
      <c r="AB150" s="22">
        <v>1</v>
      </c>
      <c r="AC150" s="22"/>
      <c r="AD150" s="22"/>
      <c r="AE150" s="61">
        <f t="shared" si="61"/>
        <v>2</v>
      </c>
      <c r="AF150" s="22"/>
      <c r="AG150" s="40">
        <f t="shared" si="62"/>
        <v>2</v>
      </c>
      <c r="AH150" s="24">
        <v>2</v>
      </c>
      <c r="AI150" s="24"/>
      <c r="AJ150" s="24"/>
      <c r="AK150" s="24"/>
      <c r="AL150" s="23">
        <f t="shared" si="57"/>
        <v>0</v>
      </c>
      <c r="AM150" s="25"/>
      <c r="AN150" s="25"/>
      <c r="AO150" s="25"/>
      <c r="AP150" s="25"/>
      <c r="AQ150" s="25">
        <f t="shared" si="59"/>
        <v>0</v>
      </c>
      <c r="AR150" s="13">
        <v>2</v>
      </c>
      <c r="AS150" s="21"/>
      <c r="AT150" s="21"/>
      <c r="AU150" s="83">
        <v>2</v>
      </c>
      <c r="AV150" s="77"/>
      <c r="AW150" s="21"/>
      <c r="AX150" s="21"/>
      <c r="AY150" s="21"/>
      <c r="AZ150" s="21"/>
      <c r="BA150" s="21"/>
      <c r="BB150" s="21"/>
      <c r="BC150" s="77"/>
      <c r="BD150" s="21"/>
      <c r="BE150" s="21"/>
      <c r="BF150" s="21"/>
      <c r="BG150" s="21"/>
      <c r="BH150" s="21"/>
      <c r="BI150" s="21"/>
      <c r="BJ150" s="77"/>
      <c r="BK150" s="21"/>
      <c r="BL150" s="21"/>
      <c r="BM150" s="21"/>
      <c r="BN150" s="21"/>
      <c r="BO150" s="21"/>
      <c r="BP150" s="21"/>
      <c r="BQ150" s="77"/>
      <c r="BR150" s="21"/>
      <c r="BS150" s="21"/>
      <c r="BT150" s="21"/>
      <c r="BU150" s="21"/>
      <c r="BV150" s="21"/>
      <c r="BW150" s="79">
        <f t="shared" si="52"/>
        <v>2</v>
      </c>
      <c r="BX150" s="58">
        <f t="shared" si="53"/>
        <v>-2</v>
      </c>
      <c r="BY150" s="26"/>
      <c r="BZ150" s="21"/>
      <c r="CA150" s="19" t="s">
        <v>229</v>
      </c>
      <c r="CB150" s="50" t="b">
        <f t="shared" si="60"/>
        <v>0</v>
      </c>
      <c r="CC150" s="55"/>
      <c r="CD150" s="55"/>
      <c r="CE150" s="55"/>
      <c r="CF150" s="55"/>
      <c r="CG150" s="55"/>
      <c r="CH150" s="55"/>
      <c r="CI150" s="55"/>
      <c r="CJ150" s="55"/>
      <c r="CK150" s="55"/>
      <c r="CL150" s="55"/>
      <c r="CM150" s="55"/>
      <c r="CN150" s="55"/>
      <c r="CO150" s="55"/>
      <c r="CP150" s="55"/>
      <c r="CQ150" s="55"/>
      <c r="CR150" s="55"/>
      <c r="CS150" s="55"/>
      <c r="CT150" s="55"/>
      <c r="CU150" s="55"/>
      <c r="CV150" s="55"/>
      <c r="CW150" s="55"/>
      <c r="CX150" s="55"/>
      <c r="CY150" s="55"/>
      <c r="CZ150" s="55"/>
      <c r="DA150" s="55"/>
      <c r="DB150" s="55"/>
      <c r="DC150" s="55"/>
      <c r="DD150" s="55"/>
      <c r="DE150" s="55"/>
      <c r="DF150" s="55"/>
    </row>
    <row r="151" spans="1:110" x14ac:dyDescent="0.25">
      <c r="A151" s="19" t="s">
        <v>224</v>
      </c>
      <c r="B151" s="19" t="s">
        <v>224</v>
      </c>
      <c r="C151" s="19" t="str">
        <f t="shared" si="58"/>
        <v>10159274NPI Proj</v>
      </c>
      <c r="D151" s="19">
        <v>10159274</v>
      </c>
      <c r="E151" s="19" t="s">
        <v>493</v>
      </c>
      <c r="F151" s="19" t="s">
        <v>261</v>
      </c>
      <c r="G151" s="20" t="s">
        <v>493</v>
      </c>
      <c r="H151" s="19"/>
      <c r="I151" s="19" t="s">
        <v>230</v>
      </c>
      <c r="J151" s="19" t="s">
        <v>487</v>
      </c>
      <c r="K151" s="19" t="s">
        <v>492</v>
      </c>
      <c r="L151" s="19" t="s">
        <v>361</v>
      </c>
      <c r="M151" s="19" t="s">
        <v>362</v>
      </c>
      <c r="N151" s="19" t="s">
        <v>284</v>
      </c>
      <c r="O151" s="19" t="s">
        <v>270</v>
      </c>
      <c r="P151" s="23" t="s">
        <v>285</v>
      </c>
      <c r="Q151" s="19" t="s">
        <v>223</v>
      </c>
      <c r="R151" s="19">
        <v>7750</v>
      </c>
      <c r="S151" s="19" t="s">
        <v>272</v>
      </c>
      <c r="T151" s="19" t="s">
        <v>488</v>
      </c>
      <c r="U151" s="20" t="s">
        <v>488</v>
      </c>
      <c r="V151" s="19" t="s">
        <v>226</v>
      </c>
      <c r="W151" s="19"/>
      <c r="X151" s="35"/>
      <c r="Y151" s="35"/>
      <c r="Z151" s="32"/>
      <c r="AA151" s="22">
        <v>2</v>
      </c>
      <c r="AB151" s="22">
        <v>2</v>
      </c>
      <c r="AC151" s="22"/>
      <c r="AD151" s="22"/>
      <c r="AE151" s="61">
        <f t="shared" si="61"/>
        <v>4</v>
      </c>
      <c r="AF151" s="22"/>
      <c r="AG151" s="40">
        <f t="shared" si="62"/>
        <v>4</v>
      </c>
      <c r="AH151" s="24"/>
      <c r="AI151" s="24"/>
      <c r="AJ151" s="24"/>
      <c r="AK151" s="24"/>
      <c r="AL151" s="23">
        <f t="shared" ref="AL151:AL176" si="63">AG151-AH151-AI151-AJ151+AK151</f>
        <v>4</v>
      </c>
      <c r="AM151" s="25"/>
      <c r="AN151" s="25"/>
      <c r="AO151" s="25"/>
      <c r="AP151" s="25">
        <v>4</v>
      </c>
      <c r="AQ151" s="25">
        <f t="shared" si="59"/>
        <v>4</v>
      </c>
      <c r="AR151" s="13"/>
      <c r="AS151" s="21"/>
      <c r="AT151" s="21"/>
      <c r="AU151" s="21"/>
      <c r="AV151" s="77"/>
      <c r="AW151" s="21"/>
      <c r="AX151" s="21"/>
      <c r="AY151" s="21"/>
      <c r="AZ151" s="21"/>
      <c r="BA151" s="21"/>
      <c r="BB151" s="21"/>
      <c r="BC151" s="77"/>
      <c r="BD151" s="21"/>
      <c r="BE151" s="21"/>
      <c r="BF151" s="21"/>
      <c r="BG151" s="21"/>
      <c r="BH151" s="21"/>
      <c r="BI151" s="21"/>
      <c r="BJ151" s="77"/>
      <c r="BK151" s="21"/>
      <c r="BL151" s="21"/>
      <c r="BM151" s="21"/>
      <c r="BN151" s="21"/>
      <c r="BO151" s="21"/>
      <c r="BP151" s="21"/>
      <c r="BQ151" s="77"/>
      <c r="BR151" s="21"/>
      <c r="BS151" s="21"/>
      <c r="BT151" s="21"/>
      <c r="BU151" s="21"/>
      <c r="BV151" s="21"/>
      <c r="BW151" s="79">
        <f t="shared" si="52"/>
        <v>0</v>
      </c>
      <c r="BX151" s="58">
        <f t="shared" si="53"/>
        <v>4</v>
      </c>
      <c r="BY151" s="26"/>
      <c r="BZ151" s="21"/>
      <c r="CA151" s="19" t="s">
        <v>493</v>
      </c>
      <c r="CB151" s="50" t="b">
        <f t="shared" si="60"/>
        <v>1</v>
      </c>
      <c r="CC151" s="52" t="s">
        <v>493</v>
      </c>
      <c r="CD151" s="19" t="s">
        <v>1178</v>
      </c>
      <c r="CE151" s="19" t="s">
        <v>1179</v>
      </c>
      <c r="CF151" s="19" t="s">
        <v>1180</v>
      </c>
      <c r="CG151" s="19"/>
      <c r="CH151" s="19"/>
      <c r="CI151" s="19"/>
      <c r="CJ151" s="19"/>
      <c r="CK151" s="19" t="s">
        <v>1181</v>
      </c>
      <c r="CL151" s="19" t="s">
        <v>1182</v>
      </c>
      <c r="CM151" s="19" t="s">
        <v>1183</v>
      </c>
      <c r="CN151" s="19" t="s">
        <v>1184</v>
      </c>
      <c r="CO151" s="19" t="s">
        <v>1185</v>
      </c>
      <c r="CP151" s="19" t="s">
        <v>1186</v>
      </c>
      <c r="CQ151" s="19"/>
      <c r="CR151" s="19"/>
      <c r="CS151" s="19" t="s">
        <v>1187</v>
      </c>
      <c r="CT151" s="19" t="s">
        <v>1188</v>
      </c>
      <c r="CU151" s="19"/>
      <c r="CV151" s="19"/>
      <c r="CW151" s="19"/>
      <c r="CX151" s="19"/>
      <c r="CY151" s="19"/>
      <c r="CZ151" s="19"/>
      <c r="DA151" s="19"/>
      <c r="DB151" s="19"/>
      <c r="DC151" s="19"/>
      <c r="DD151" s="19"/>
      <c r="DE151" s="19"/>
      <c r="DF151" s="19"/>
    </row>
    <row r="152" spans="1:110" x14ac:dyDescent="0.25">
      <c r="A152" s="57" t="s">
        <v>224</v>
      </c>
      <c r="B152" s="57" t="s">
        <v>224</v>
      </c>
      <c r="C152" s="19" t="str">
        <f t="shared" si="58"/>
        <v>10153271PNPI Proj</v>
      </c>
      <c r="D152" s="57" t="s">
        <v>1566</v>
      </c>
      <c r="E152" s="19" t="s">
        <v>229</v>
      </c>
      <c r="F152" s="19" t="s">
        <v>261</v>
      </c>
      <c r="G152" s="75" t="s">
        <v>229</v>
      </c>
      <c r="H152" s="19"/>
      <c r="I152" s="57" t="s">
        <v>491</v>
      </c>
      <c r="J152" s="57" t="s">
        <v>487</v>
      </c>
      <c r="K152" s="57" t="s">
        <v>492</v>
      </c>
      <c r="L152" s="57" t="s">
        <v>361</v>
      </c>
      <c r="M152" s="57" t="s">
        <v>362</v>
      </c>
      <c r="N152" s="57" t="s">
        <v>284</v>
      </c>
      <c r="O152" s="57" t="s">
        <v>270</v>
      </c>
      <c r="P152" s="76" t="s">
        <v>285</v>
      </c>
      <c r="Q152" s="57" t="s">
        <v>223</v>
      </c>
      <c r="R152" s="57">
        <v>7750</v>
      </c>
      <c r="S152" s="57" t="s">
        <v>272</v>
      </c>
      <c r="T152" s="57" t="s">
        <v>488</v>
      </c>
      <c r="U152" s="75" t="s">
        <v>488</v>
      </c>
      <c r="V152" s="57" t="s">
        <v>1568</v>
      </c>
      <c r="W152" s="19"/>
      <c r="X152" s="35"/>
      <c r="Y152" s="35"/>
      <c r="Z152" s="32"/>
      <c r="AA152" s="22">
        <v>1</v>
      </c>
      <c r="AB152" s="22"/>
      <c r="AC152" s="22"/>
      <c r="AD152" s="22"/>
      <c r="AE152" s="61">
        <f t="shared" si="61"/>
        <v>1</v>
      </c>
      <c r="AF152" s="22"/>
      <c r="AG152" s="40">
        <f t="shared" si="62"/>
        <v>1</v>
      </c>
      <c r="AH152" s="24"/>
      <c r="AI152" s="24"/>
      <c r="AJ152" s="24"/>
      <c r="AK152" s="24"/>
      <c r="AL152" s="23">
        <f t="shared" si="63"/>
        <v>1</v>
      </c>
      <c r="AM152" s="25"/>
      <c r="AN152" s="25"/>
      <c r="AO152" s="25"/>
      <c r="AP152" s="25"/>
      <c r="AQ152" s="25">
        <f t="shared" si="59"/>
        <v>0</v>
      </c>
      <c r="AR152" s="13"/>
      <c r="AS152" s="21"/>
      <c r="AT152" s="21"/>
      <c r="AU152" s="21"/>
      <c r="AV152" s="77"/>
      <c r="AW152" s="21"/>
      <c r="AX152" s="21"/>
      <c r="AY152" s="21"/>
      <c r="AZ152" s="21"/>
      <c r="BA152" s="21"/>
      <c r="BB152" s="21"/>
      <c r="BC152" s="77"/>
      <c r="BD152" s="21"/>
      <c r="BE152" s="21"/>
      <c r="BF152" s="21"/>
      <c r="BG152" s="21"/>
      <c r="BH152" s="21"/>
      <c r="BI152" s="21"/>
      <c r="BJ152" s="77"/>
      <c r="BK152" s="21"/>
      <c r="BL152" s="21"/>
      <c r="BM152" s="21"/>
      <c r="BN152" s="21"/>
      <c r="BO152" s="21"/>
      <c r="BP152" s="21"/>
      <c r="BQ152" s="77"/>
      <c r="BR152" s="21"/>
      <c r="BS152" s="21"/>
      <c r="BT152" s="21"/>
      <c r="BU152" s="21"/>
      <c r="BV152" s="21"/>
      <c r="BW152" s="79">
        <f t="shared" si="52"/>
        <v>0</v>
      </c>
      <c r="BX152" s="58">
        <f t="shared" si="53"/>
        <v>0</v>
      </c>
      <c r="BY152" s="26" t="s">
        <v>1726</v>
      </c>
      <c r="BZ152" s="21"/>
      <c r="CA152" s="19" t="s">
        <v>229</v>
      </c>
      <c r="CB152" s="50" t="b">
        <f t="shared" si="60"/>
        <v>0</v>
      </c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9"/>
      <c r="CV152" s="19"/>
      <c r="CW152" s="19"/>
      <c r="CX152" s="19"/>
      <c r="CY152" s="19"/>
      <c r="CZ152" s="19"/>
      <c r="DA152" s="19"/>
      <c r="DB152" s="19"/>
      <c r="DC152" s="19"/>
      <c r="DD152" s="19"/>
      <c r="DE152" s="19"/>
      <c r="DF152" s="19"/>
    </row>
    <row r="153" spans="1:110" x14ac:dyDescent="0.25">
      <c r="A153" s="57" t="s">
        <v>224</v>
      </c>
      <c r="B153" s="57" t="s">
        <v>224</v>
      </c>
      <c r="C153" s="19" t="str">
        <f t="shared" si="58"/>
        <v>10153270PNPI Proj</v>
      </c>
      <c r="D153" s="57" t="s">
        <v>1567</v>
      </c>
      <c r="E153" s="19" t="s">
        <v>229</v>
      </c>
      <c r="F153" s="19" t="s">
        <v>261</v>
      </c>
      <c r="G153" s="75" t="s">
        <v>229</v>
      </c>
      <c r="H153" s="19"/>
      <c r="I153" s="57" t="s">
        <v>491</v>
      </c>
      <c r="J153" s="57" t="s">
        <v>487</v>
      </c>
      <c r="K153" s="57" t="s">
        <v>492</v>
      </c>
      <c r="L153" s="57" t="s">
        <v>361</v>
      </c>
      <c r="M153" s="57" t="s">
        <v>362</v>
      </c>
      <c r="N153" s="57" t="s">
        <v>284</v>
      </c>
      <c r="O153" s="57" t="s">
        <v>270</v>
      </c>
      <c r="P153" s="76" t="s">
        <v>285</v>
      </c>
      <c r="Q153" s="57" t="s">
        <v>223</v>
      </c>
      <c r="R153" s="57">
        <v>7750</v>
      </c>
      <c r="S153" s="57" t="s">
        <v>272</v>
      </c>
      <c r="T153" s="57" t="s">
        <v>488</v>
      </c>
      <c r="U153" s="75" t="s">
        <v>488</v>
      </c>
      <c r="V153" s="57" t="s">
        <v>1569</v>
      </c>
      <c r="W153" s="19"/>
      <c r="X153" s="35">
        <v>2</v>
      </c>
      <c r="Y153" s="35"/>
      <c r="Z153" s="32"/>
      <c r="AA153" s="22"/>
      <c r="AB153" s="22"/>
      <c r="AC153" s="22"/>
      <c r="AD153" s="22"/>
      <c r="AE153" s="61">
        <f t="shared" si="61"/>
        <v>0</v>
      </c>
      <c r="AF153" s="22"/>
      <c r="AG153" s="40">
        <f t="shared" si="62"/>
        <v>0</v>
      </c>
      <c r="AH153" s="24"/>
      <c r="AI153" s="24"/>
      <c r="AJ153" s="24"/>
      <c r="AK153" s="24"/>
      <c r="AL153" s="23">
        <f t="shared" si="63"/>
        <v>0</v>
      </c>
      <c r="AM153" s="25"/>
      <c r="AN153" s="25"/>
      <c r="AO153" s="25"/>
      <c r="AP153" s="25"/>
      <c r="AQ153" s="25">
        <f t="shared" si="59"/>
        <v>0</v>
      </c>
      <c r="AR153" s="13"/>
      <c r="AS153" s="21"/>
      <c r="AT153" s="21"/>
      <c r="AU153" s="21"/>
      <c r="AV153" s="77"/>
      <c r="AW153" s="21"/>
      <c r="AX153" s="21"/>
      <c r="AY153" s="21"/>
      <c r="AZ153" s="21"/>
      <c r="BA153" s="21"/>
      <c r="BB153" s="21"/>
      <c r="BC153" s="77"/>
      <c r="BD153" s="21"/>
      <c r="BE153" s="21"/>
      <c r="BF153" s="21"/>
      <c r="BG153" s="21"/>
      <c r="BH153" s="21"/>
      <c r="BI153" s="21"/>
      <c r="BJ153" s="77"/>
      <c r="BK153" s="21"/>
      <c r="BL153" s="21"/>
      <c r="BM153" s="21"/>
      <c r="BN153" s="21"/>
      <c r="BO153" s="21"/>
      <c r="BP153" s="21"/>
      <c r="BQ153" s="77"/>
      <c r="BR153" s="21"/>
      <c r="BS153" s="21"/>
      <c r="BT153" s="21"/>
      <c r="BU153" s="21"/>
      <c r="BV153" s="21"/>
      <c r="BW153" s="79">
        <f t="shared" si="52"/>
        <v>0</v>
      </c>
      <c r="BX153" s="58">
        <f t="shared" si="53"/>
        <v>0</v>
      </c>
      <c r="BY153" s="26"/>
      <c r="BZ153" s="21"/>
      <c r="CA153" s="19" t="s">
        <v>229</v>
      </c>
      <c r="CB153" s="50" t="b">
        <f t="shared" si="60"/>
        <v>0</v>
      </c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  <c r="CO153" s="19"/>
      <c r="CP153" s="19"/>
      <c r="CQ153" s="19"/>
      <c r="CR153" s="19"/>
      <c r="CS153" s="19"/>
      <c r="CT153" s="19"/>
      <c r="CU153" s="19"/>
      <c r="CV153" s="19"/>
      <c r="CW153" s="19"/>
      <c r="CX153" s="19"/>
      <c r="CY153" s="19"/>
      <c r="CZ153" s="19"/>
      <c r="DA153" s="19"/>
      <c r="DB153" s="19"/>
      <c r="DC153" s="19"/>
      <c r="DD153" s="19"/>
      <c r="DE153" s="19"/>
      <c r="DF153" s="19"/>
    </row>
    <row r="154" spans="1:110" x14ac:dyDescent="0.25">
      <c r="A154" s="19" t="s">
        <v>228</v>
      </c>
      <c r="B154" s="19" t="s">
        <v>80</v>
      </c>
      <c r="C154" s="19" t="str">
        <f t="shared" si="58"/>
        <v>91906425India</v>
      </c>
      <c r="D154" s="19">
        <v>91906425</v>
      </c>
      <c r="E154" s="19" t="s">
        <v>292</v>
      </c>
      <c r="F154" s="19" t="s">
        <v>261</v>
      </c>
      <c r="G154" s="20" t="s">
        <v>292</v>
      </c>
      <c r="H154" s="19"/>
      <c r="I154" s="19" t="s">
        <v>230</v>
      </c>
      <c r="J154" s="19" t="s">
        <v>288</v>
      </c>
      <c r="K154" s="19" t="s">
        <v>290</v>
      </c>
      <c r="L154" s="19" t="s">
        <v>245</v>
      </c>
      <c r="M154" s="19" t="s">
        <v>234</v>
      </c>
      <c r="N154" s="19" t="s">
        <v>284</v>
      </c>
      <c r="O154" s="19" t="s">
        <v>293</v>
      </c>
      <c r="P154" s="23" t="s">
        <v>285</v>
      </c>
      <c r="Q154" s="19" t="s">
        <v>291</v>
      </c>
      <c r="R154" s="19">
        <v>7800</v>
      </c>
      <c r="S154" s="19" t="s">
        <v>239</v>
      </c>
      <c r="T154" s="19" t="s">
        <v>287</v>
      </c>
      <c r="U154" s="20" t="s">
        <v>287</v>
      </c>
      <c r="V154" s="19" t="s">
        <v>110</v>
      </c>
      <c r="W154" s="19" t="s">
        <v>221</v>
      </c>
      <c r="X154" s="35">
        <v>10</v>
      </c>
      <c r="Y154" s="35">
        <v>8</v>
      </c>
      <c r="Z154" s="32"/>
      <c r="AA154" s="22">
        <v>3</v>
      </c>
      <c r="AB154" s="22">
        <v>3</v>
      </c>
      <c r="AC154" s="22">
        <v>2</v>
      </c>
      <c r="AD154" s="22">
        <v>2</v>
      </c>
      <c r="AE154" s="61">
        <f t="shared" si="61"/>
        <v>10</v>
      </c>
      <c r="AF154" s="22"/>
      <c r="AG154" s="40">
        <f t="shared" si="62"/>
        <v>10</v>
      </c>
      <c r="AH154" s="24"/>
      <c r="AI154" s="24"/>
      <c r="AJ154" s="24"/>
      <c r="AK154" s="24">
        <v>5</v>
      </c>
      <c r="AL154" s="23">
        <f t="shared" si="63"/>
        <v>15</v>
      </c>
      <c r="AM154" s="25">
        <v>3</v>
      </c>
      <c r="AN154" s="25">
        <v>3</v>
      </c>
      <c r="AO154" s="25">
        <v>5</v>
      </c>
      <c r="AP154" s="25">
        <v>4</v>
      </c>
      <c r="AQ154" s="25">
        <f t="shared" si="59"/>
        <v>15</v>
      </c>
      <c r="AR154" s="13"/>
      <c r="AS154" s="21"/>
      <c r="AT154" s="21"/>
      <c r="AU154" s="21"/>
      <c r="AV154" s="77"/>
      <c r="AW154" s="21">
        <v>3</v>
      </c>
      <c r="AX154" s="21"/>
      <c r="AY154" s="21"/>
      <c r="AZ154" s="21"/>
      <c r="BA154" s="21"/>
      <c r="BB154" s="21">
        <v>3</v>
      </c>
      <c r="BC154" s="77"/>
      <c r="BD154" s="21"/>
      <c r="BE154" s="21"/>
      <c r="BF154" s="21"/>
      <c r="BG154" s="21"/>
      <c r="BH154" s="21"/>
      <c r="BI154" s="21">
        <v>2</v>
      </c>
      <c r="BJ154" s="77"/>
      <c r="BK154" s="21">
        <v>2</v>
      </c>
      <c r="BL154" s="21"/>
      <c r="BM154" s="21"/>
      <c r="BN154" s="21"/>
      <c r="BO154" s="21"/>
      <c r="BP154" s="21"/>
      <c r="BQ154" s="77"/>
      <c r="BR154" s="21"/>
      <c r="BS154" s="21"/>
      <c r="BT154" s="21"/>
      <c r="BU154" s="21"/>
      <c r="BV154" s="21"/>
      <c r="BW154" s="79">
        <f t="shared" si="52"/>
        <v>10</v>
      </c>
      <c r="BX154" s="58">
        <f t="shared" si="53"/>
        <v>5</v>
      </c>
      <c r="BY154" s="26"/>
      <c r="BZ154" s="70"/>
      <c r="CA154" s="19" t="s">
        <v>292</v>
      </c>
      <c r="CB154" s="50" t="b">
        <f t="shared" si="60"/>
        <v>1</v>
      </c>
      <c r="CC154" s="52" t="s">
        <v>292</v>
      </c>
      <c r="CD154" s="19" t="s">
        <v>1205</v>
      </c>
      <c r="CE154" s="19" t="s">
        <v>1189</v>
      </c>
      <c r="CF154" s="19" t="s">
        <v>1190</v>
      </c>
      <c r="CG154" s="19" t="s">
        <v>1191</v>
      </c>
      <c r="CH154" s="19" t="s">
        <v>1673</v>
      </c>
      <c r="CI154" s="19" t="s">
        <v>1192</v>
      </c>
      <c r="CJ154" s="19" t="s">
        <v>1193</v>
      </c>
      <c r="CK154" s="19" t="s">
        <v>1194</v>
      </c>
      <c r="CL154" s="19" t="s">
        <v>1195</v>
      </c>
      <c r="CM154" s="19" t="s">
        <v>1196</v>
      </c>
      <c r="CN154" s="19" t="s">
        <v>1674</v>
      </c>
      <c r="CO154" s="19" t="s">
        <v>1197</v>
      </c>
      <c r="CP154" s="19" t="s">
        <v>1198</v>
      </c>
      <c r="CQ154" s="19" t="s">
        <v>1199</v>
      </c>
      <c r="CR154" s="19" t="s">
        <v>1200</v>
      </c>
      <c r="CS154" s="19" t="s">
        <v>1201</v>
      </c>
      <c r="CT154" s="19" t="s">
        <v>1202</v>
      </c>
      <c r="CU154" s="19" t="s">
        <v>1203</v>
      </c>
      <c r="CV154" s="19" t="s">
        <v>1204</v>
      </c>
      <c r="CW154" s="19"/>
      <c r="CX154" s="19"/>
      <c r="CY154" s="19"/>
      <c r="CZ154" s="19"/>
      <c r="DA154" s="19"/>
      <c r="DB154" s="19"/>
      <c r="DC154" s="19"/>
      <c r="DD154" s="19"/>
      <c r="DE154" s="19"/>
      <c r="DF154" s="19"/>
    </row>
    <row r="155" spans="1:110" x14ac:dyDescent="0.25">
      <c r="A155" s="19" t="s">
        <v>81</v>
      </c>
      <c r="B155" s="19" t="s">
        <v>83</v>
      </c>
      <c r="C155" s="19" t="str">
        <f t="shared" si="58"/>
        <v>91902955NEPAL</v>
      </c>
      <c r="D155" s="19">
        <v>91902955</v>
      </c>
      <c r="E155" s="19" t="s">
        <v>385</v>
      </c>
      <c r="F155" s="19" t="s">
        <v>261</v>
      </c>
      <c r="G155" s="20" t="s">
        <v>385</v>
      </c>
      <c r="H155" s="19"/>
      <c r="I155" s="19" t="s">
        <v>230</v>
      </c>
      <c r="J155" s="19" t="s">
        <v>288</v>
      </c>
      <c r="K155" s="19" t="s">
        <v>386</v>
      </c>
      <c r="L155" s="19" t="s">
        <v>245</v>
      </c>
      <c r="M155" s="19" t="s">
        <v>234</v>
      </c>
      <c r="N155" s="19" t="s">
        <v>284</v>
      </c>
      <c r="O155" s="19" t="s">
        <v>293</v>
      </c>
      <c r="P155" s="23" t="s">
        <v>285</v>
      </c>
      <c r="Q155" s="19" t="s">
        <v>291</v>
      </c>
      <c r="R155" s="19">
        <v>7800</v>
      </c>
      <c r="S155" s="19" t="s">
        <v>239</v>
      </c>
      <c r="T155" s="19" t="s">
        <v>287</v>
      </c>
      <c r="U155" s="20" t="s">
        <v>287</v>
      </c>
      <c r="V155" s="19" t="s">
        <v>138</v>
      </c>
      <c r="W155" s="19" t="s">
        <v>219</v>
      </c>
      <c r="X155" s="35">
        <v>2</v>
      </c>
      <c r="Y155" s="35"/>
      <c r="Z155" s="32"/>
      <c r="AA155" s="22">
        <v>2</v>
      </c>
      <c r="AB155" s="22"/>
      <c r="AC155" s="22"/>
      <c r="AD155" s="22"/>
      <c r="AE155" s="61">
        <f t="shared" si="61"/>
        <v>2</v>
      </c>
      <c r="AF155" s="22"/>
      <c r="AG155" s="40">
        <f t="shared" si="62"/>
        <v>2</v>
      </c>
      <c r="AH155" s="24"/>
      <c r="AI155" s="24"/>
      <c r="AJ155" s="24"/>
      <c r="AK155" s="24"/>
      <c r="AL155" s="23">
        <f t="shared" si="63"/>
        <v>2</v>
      </c>
      <c r="AM155" s="25"/>
      <c r="AN155" s="25"/>
      <c r="AO155" s="25">
        <v>2</v>
      </c>
      <c r="AP155" s="25"/>
      <c r="AQ155" s="25">
        <f t="shared" si="59"/>
        <v>2</v>
      </c>
      <c r="AR155" s="13"/>
      <c r="AS155" s="21"/>
      <c r="AT155" s="21"/>
      <c r="AU155" s="21"/>
      <c r="AV155" s="77"/>
      <c r="AW155" s="21"/>
      <c r="AX155" s="21"/>
      <c r="AY155" s="21"/>
      <c r="AZ155" s="21"/>
      <c r="BA155" s="21"/>
      <c r="BB155" s="21"/>
      <c r="BC155" s="77"/>
      <c r="BD155" s="21"/>
      <c r="BE155" s="21"/>
      <c r="BF155" s="21"/>
      <c r="BG155" s="21"/>
      <c r="BH155" s="21"/>
      <c r="BI155" s="21"/>
      <c r="BJ155" s="77"/>
      <c r="BK155" s="21"/>
      <c r="BL155" s="21"/>
      <c r="BM155" s="21"/>
      <c r="BN155" s="21">
        <v>1</v>
      </c>
      <c r="BO155" s="21">
        <v>1</v>
      </c>
      <c r="BP155" s="21"/>
      <c r="BQ155" s="77"/>
      <c r="BR155" s="21"/>
      <c r="BS155" s="21"/>
      <c r="BT155" s="21"/>
      <c r="BU155" s="21"/>
      <c r="BV155" s="21"/>
      <c r="BW155" s="79">
        <f t="shared" si="52"/>
        <v>2</v>
      </c>
      <c r="BX155" s="58">
        <f t="shared" si="53"/>
        <v>0</v>
      </c>
      <c r="BY155" s="26"/>
      <c r="BZ155" s="21"/>
      <c r="CA155" s="19" t="s">
        <v>385</v>
      </c>
      <c r="CB155" s="50" t="b">
        <f t="shared" si="60"/>
        <v>1</v>
      </c>
      <c r="CC155" s="52" t="s">
        <v>385</v>
      </c>
      <c r="CD155" s="19" t="s">
        <v>1675</v>
      </c>
      <c r="CE155" s="19" t="s">
        <v>1189</v>
      </c>
      <c r="CF155" s="19" t="s">
        <v>1190</v>
      </c>
      <c r="CG155" s="19" t="s">
        <v>1191</v>
      </c>
      <c r="CH155" s="19" t="s">
        <v>1673</v>
      </c>
      <c r="CI155" s="19" t="s">
        <v>1192</v>
      </c>
      <c r="CJ155" s="19" t="s">
        <v>1193</v>
      </c>
      <c r="CK155" s="19" t="s">
        <v>1194</v>
      </c>
      <c r="CL155" s="19" t="s">
        <v>1195</v>
      </c>
      <c r="CM155" s="19" t="s">
        <v>1196</v>
      </c>
      <c r="CN155" s="19" t="s">
        <v>1674</v>
      </c>
      <c r="CO155" s="19" t="s">
        <v>1206</v>
      </c>
      <c r="CP155" s="19" t="s">
        <v>1676</v>
      </c>
      <c r="CQ155" s="19" t="s">
        <v>1199</v>
      </c>
      <c r="CR155" s="19" t="s">
        <v>1200</v>
      </c>
      <c r="CS155" s="19" t="s">
        <v>1201</v>
      </c>
      <c r="CT155" s="19" t="s">
        <v>1202</v>
      </c>
      <c r="CU155" s="19" t="s">
        <v>1207</v>
      </c>
      <c r="CV155" s="19" t="s">
        <v>1208</v>
      </c>
      <c r="CW155" s="19"/>
      <c r="CX155" s="19"/>
      <c r="CY155" s="19"/>
      <c r="CZ155" s="19"/>
      <c r="DA155" s="19"/>
      <c r="DB155" s="19"/>
      <c r="DC155" s="19"/>
      <c r="DD155" s="19"/>
      <c r="DE155" s="19"/>
      <c r="DF155" s="19"/>
    </row>
    <row r="156" spans="1:110" x14ac:dyDescent="0.25">
      <c r="A156" s="19" t="s">
        <v>81</v>
      </c>
      <c r="B156" s="19" t="s">
        <v>90</v>
      </c>
      <c r="C156" s="19" t="str">
        <f t="shared" ref="C156:C176" si="64">D156&amp;B156</f>
        <v>83459512SOUTH AFRICA</v>
      </c>
      <c r="D156" s="19">
        <v>83459512</v>
      </c>
      <c r="E156" s="19" t="s">
        <v>371</v>
      </c>
      <c r="F156" s="19" t="s">
        <v>261</v>
      </c>
      <c r="G156" s="20" t="s">
        <v>371</v>
      </c>
      <c r="H156" s="19"/>
      <c r="I156" s="19" t="s">
        <v>230</v>
      </c>
      <c r="J156" s="19" t="s">
        <v>322</v>
      </c>
      <c r="K156" s="19" t="s">
        <v>372</v>
      </c>
      <c r="L156" s="19" t="s">
        <v>282</v>
      </c>
      <c r="M156" s="19" t="s">
        <v>234</v>
      </c>
      <c r="N156" s="19" t="s">
        <v>284</v>
      </c>
      <c r="O156" s="19" t="s">
        <v>335</v>
      </c>
      <c r="P156" s="23" t="s">
        <v>285</v>
      </c>
      <c r="Q156" s="19" t="s">
        <v>373</v>
      </c>
      <c r="R156" s="19">
        <v>7900</v>
      </c>
      <c r="S156" s="19" t="s">
        <v>239</v>
      </c>
      <c r="T156" s="19" t="s">
        <v>287</v>
      </c>
      <c r="U156" s="20" t="s">
        <v>287</v>
      </c>
      <c r="V156" s="19" t="s">
        <v>1590</v>
      </c>
      <c r="W156" s="19" t="s">
        <v>219</v>
      </c>
      <c r="X156" s="35"/>
      <c r="Y156" s="35"/>
      <c r="Z156" s="32"/>
      <c r="AA156" s="22">
        <v>19</v>
      </c>
      <c r="AB156" s="22"/>
      <c r="AC156" s="22"/>
      <c r="AD156" s="22"/>
      <c r="AE156" s="61">
        <f t="shared" si="61"/>
        <v>19</v>
      </c>
      <c r="AF156" s="22"/>
      <c r="AG156" s="40">
        <f t="shared" si="62"/>
        <v>19</v>
      </c>
      <c r="AH156" s="24">
        <v>5</v>
      </c>
      <c r="AI156" s="24"/>
      <c r="AJ156" s="24"/>
      <c r="AK156" s="24"/>
      <c r="AL156" s="23">
        <f t="shared" si="63"/>
        <v>14</v>
      </c>
      <c r="AM156" s="25"/>
      <c r="AN156" s="25">
        <v>7</v>
      </c>
      <c r="AO156" s="25">
        <v>7</v>
      </c>
      <c r="AP156" s="25"/>
      <c r="AQ156" s="25">
        <f t="shared" si="59"/>
        <v>14</v>
      </c>
      <c r="AR156" s="13">
        <v>5</v>
      </c>
      <c r="AS156" s="21"/>
      <c r="AT156" s="21"/>
      <c r="AU156" s="83">
        <v>5</v>
      </c>
      <c r="AV156" s="77"/>
      <c r="AW156" s="21"/>
      <c r="AX156" s="21"/>
      <c r="AY156" s="21"/>
      <c r="AZ156" s="21"/>
      <c r="BA156" s="21"/>
      <c r="BB156" s="21"/>
      <c r="BC156" s="77"/>
      <c r="BD156" s="21"/>
      <c r="BE156" s="21"/>
      <c r="BF156" s="21">
        <v>2</v>
      </c>
      <c r="BG156" s="21">
        <v>2</v>
      </c>
      <c r="BH156" s="21">
        <v>2</v>
      </c>
      <c r="BI156" s="21">
        <v>1</v>
      </c>
      <c r="BJ156" s="77"/>
      <c r="BK156" s="21"/>
      <c r="BL156" s="21">
        <v>1</v>
      </c>
      <c r="BM156" s="21">
        <v>2</v>
      </c>
      <c r="BN156" s="21">
        <v>2</v>
      </c>
      <c r="BO156" s="21">
        <v>2</v>
      </c>
      <c r="BP156" s="21"/>
      <c r="BQ156" s="77"/>
      <c r="BR156" s="21"/>
      <c r="BS156" s="21"/>
      <c r="BT156" s="21"/>
      <c r="BU156" s="21"/>
      <c r="BV156" s="21"/>
      <c r="BW156" s="79">
        <f t="shared" si="52"/>
        <v>19</v>
      </c>
      <c r="BX156" s="58">
        <f t="shared" si="53"/>
        <v>-5</v>
      </c>
      <c r="BY156" s="26"/>
      <c r="BZ156" s="21"/>
      <c r="CA156" s="19" t="s">
        <v>371</v>
      </c>
      <c r="CB156" s="50" t="b">
        <f t="shared" ref="CB156:CB176" si="65">CC156=CA156</f>
        <v>1</v>
      </c>
      <c r="CC156" s="52" t="s">
        <v>371</v>
      </c>
      <c r="CD156" s="19" t="s">
        <v>1224</v>
      </c>
      <c r="CE156" s="19" t="s">
        <v>1189</v>
      </c>
      <c r="CF156" s="19" t="s">
        <v>1190</v>
      </c>
      <c r="CG156" s="19" t="s">
        <v>1216</v>
      </c>
      <c r="CH156" s="19" t="s">
        <v>1217</v>
      </c>
      <c r="CI156" s="19" t="s">
        <v>1218</v>
      </c>
      <c r="CJ156" s="19" t="s">
        <v>1219</v>
      </c>
      <c r="CK156" s="19" t="s">
        <v>1211</v>
      </c>
      <c r="CL156" s="19" t="s">
        <v>1158</v>
      </c>
      <c r="CM156" s="19" t="s">
        <v>1220</v>
      </c>
      <c r="CN156" s="19" t="s">
        <v>1221</v>
      </c>
      <c r="CO156" s="19" t="s">
        <v>1225</v>
      </c>
      <c r="CP156" s="19" t="s">
        <v>1226</v>
      </c>
      <c r="CQ156" s="19" t="s">
        <v>1199</v>
      </c>
      <c r="CR156" s="19" t="s">
        <v>1200</v>
      </c>
      <c r="CS156" s="19" t="s">
        <v>1212</v>
      </c>
      <c r="CT156" s="19" t="s">
        <v>1213</v>
      </c>
      <c r="CU156" s="19" t="s">
        <v>1222</v>
      </c>
      <c r="CV156" s="19" t="s">
        <v>1223</v>
      </c>
      <c r="CW156" s="19" t="s">
        <v>1214</v>
      </c>
      <c r="CX156" s="19" t="s">
        <v>1215</v>
      </c>
      <c r="CY156" s="19"/>
      <c r="CZ156" s="19"/>
      <c r="DA156" s="19"/>
      <c r="DB156" s="19"/>
      <c r="DC156" s="19"/>
      <c r="DD156" s="19"/>
      <c r="DE156" s="19"/>
      <c r="DF156" s="19"/>
    </row>
    <row r="157" spans="1:110" x14ac:dyDescent="0.25">
      <c r="A157" s="19" t="s">
        <v>74</v>
      </c>
      <c r="B157" s="19" t="s">
        <v>1533</v>
      </c>
      <c r="C157" s="19" t="str">
        <f t="shared" si="64"/>
        <v>91407417NMRDA Nagpur (10)</v>
      </c>
      <c r="D157" s="19">
        <v>91407417</v>
      </c>
      <c r="E157" s="19" t="s">
        <v>1575</v>
      </c>
      <c r="F157" s="19" t="s">
        <v>261</v>
      </c>
      <c r="G157" s="20" t="s">
        <v>1575</v>
      </c>
      <c r="H157" s="19"/>
      <c r="I157" s="19" t="s">
        <v>230</v>
      </c>
      <c r="J157" s="19" t="s">
        <v>296</v>
      </c>
      <c r="K157" s="19" t="s">
        <v>297</v>
      </c>
      <c r="L157" s="19" t="s">
        <v>282</v>
      </c>
      <c r="M157" s="19" t="s">
        <v>298</v>
      </c>
      <c r="N157" s="19" t="s">
        <v>284</v>
      </c>
      <c r="O157" s="19" t="s">
        <v>293</v>
      </c>
      <c r="P157" s="23" t="s">
        <v>285</v>
      </c>
      <c r="Q157" s="19" t="s">
        <v>299</v>
      </c>
      <c r="R157" s="19">
        <v>8000</v>
      </c>
      <c r="S157" s="19" t="s">
        <v>239</v>
      </c>
      <c r="T157" s="19" t="s">
        <v>287</v>
      </c>
      <c r="U157" s="20" t="s">
        <v>287</v>
      </c>
      <c r="V157" s="19" t="s">
        <v>1538</v>
      </c>
      <c r="W157" s="19" t="s">
        <v>219</v>
      </c>
      <c r="X157" s="35"/>
      <c r="Y157" s="35"/>
      <c r="Z157" s="32"/>
      <c r="AA157" s="22">
        <v>3</v>
      </c>
      <c r="AB157" s="22"/>
      <c r="AC157" s="22"/>
      <c r="AD157" s="22"/>
      <c r="AE157" s="61">
        <f t="shared" si="61"/>
        <v>3</v>
      </c>
      <c r="AF157" s="22"/>
      <c r="AG157" s="40">
        <f t="shared" si="62"/>
        <v>3</v>
      </c>
      <c r="AH157" s="24">
        <v>3</v>
      </c>
      <c r="AI157" s="24"/>
      <c r="AJ157" s="24"/>
      <c r="AK157" s="24"/>
      <c r="AL157" s="23">
        <f t="shared" si="63"/>
        <v>0</v>
      </c>
      <c r="AM157" s="25"/>
      <c r="AN157" s="25"/>
      <c r="AO157" s="25"/>
      <c r="AP157" s="25"/>
      <c r="AQ157" s="25">
        <f t="shared" si="59"/>
        <v>0</v>
      </c>
      <c r="AR157" s="13">
        <v>3</v>
      </c>
      <c r="AS157" s="21"/>
      <c r="AT157" s="21"/>
      <c r="AU157" s="83">
        <v>3</v>
      </c>
      <c r="AV157" s="77"/>
      <c r="AW157" s="21"/>
      <c r="AX157" s="21"/>
      <c r="AY157" s="21"/>
      <c r="AZ157" s="21"/>
      <c r="BA157" s="21"/>
      <c r="BB157" s="21"/>
      <c r="BC157" s="77"/>
      <c r="BD157" s="21"/>
      <c r="BE157" s="21"/>
      <c r="BF157" s="21"/>
      <c r="BG157" s="21"/>
      <c r="BH157" s="21"/>
      <c r="BI157" s="21"/>
      <c r="BJ157" s="77"/>
      <c r="BK157" s="21"/>
      <c r="BL157" s="21"/>
      <c r="BM157" s="21"/>
      <c r="BN157" s="21"/>
      <c r="BO157" s="21"/>
      <c r="BP157" s="21"/>
      <c r="BQ157" s="77"/>
      <c r="BR157" s="21"/>
      <c r="BS157" s="21"/>
      <c r="BT157" s="21"/>
      <c r="BU157" s="21"/>
      <c r="BV157" s="21"/>
      <c r="BW157" s="79">
        <f t="shared" si="52"/>
        <v>3</v>
      </c>
      <c r="BX157" s="58">
        <f t="shared" si="53"/>
        <v>-3</v>
      </c>
      <c r="BY157" s="26"/>
      <c r="BZ157" s="21"/>
      <c r="CA157" s="19" t="s">
        <v>1575</v>
      </c>
      <c r="CB157" s="50" t="b">
        <f t="shared" si="65"/>
        <v>1</v>
      </c>
      <c r="CC157" s="50" t="s">
        <v>1575</v>
      </c>
      <c r="CD157" s="19" t="s">
        <v>1677</v>
      </c>
      <c r="CE157" s="19" t="s">
        <v>1189</v>
      </c>
      <c r="CF157" s="19" t="s">
        <v>1190</v>
      </c>
      <c r="CG157" s="19" t="s">
        <v>1228</v>
      </c>
      <c r="CH157" s="19" t="s">
        <v>1229</v>
      </c>
      <c r="CI157" s="19" t="s">
        <v>1209</v>
      </c>
      <c r="CJ157" s="19" t="s">
        <v>1210</v>
      </c>
      <c r="CK157" s="19" t="s">
        <v>1230</v>
      </c>
      <c r="CL157" s="19" t="s">
        <v>1231</v>
      </c>
      <c r="CM157" s="19" t="s">
        <v>1678</v>
      </c>
      <c r="CN157" s="19" t="s">
        <v>1679</v>
      </c>
      <c r="CO157" s="19" t="s">
        <v>1680</v>
      </c>
      <c r="CP157" s="19" t="s">
        <v>1681</v>
      </c>
      <c r="CQ157" s="19" t="s">
        <v>1199</v>
      </c>
      <c r="CR157" s="19" t="s">
        <v>1200</v>
      </c>
      <c r="CS157" s="19" t="s">
        <v>1236</v>
      </c>
      <c r="CT157" s="19" t="s">
        <v>1237</v>
      </c>
      <c r="CU157" s="19" t="s">
        <v>1238</v>
      </c>
      <c r="CV157" s="19" t="s">
        <v>1239</v>
      </c>
      <c r="CW157" s="19" t="s">
        <v>1240</v>
      </c>
      <c r="CX157" s="19" t="s">
        <v>1241</v>
      </c>
      <c r="CY157" s="19"/>
      <c r="CZ157" s="19"/>
      <c r="DA157" s="19"/>
      <c r="DB157" s="19"/>
      <c r="DC157" s="19"/>
      <c r="DD157" s="19"/>
      <c r="DE157" s="19"/>
      <c r="DF157" s="19"/>
    </row>
    <row r="158" spans="1:110" x14ac:dyDescent="0.25">
      <c r="A158" s="19" t="s">
        <v>228</v>
      </c>
      <c r="B158" s="19" t="s">
        <v>80</v>
      </c>
      <c r="C158" s="19" t="str">
        <f t="shared" si="64"/>
        <v>91407547India</v>
      </c>
      <c r="D158" s="19">
        <v>91407547</v>
      </c>
      <c r="E158" s="19" t="s">
        <v>300</v>
      </c>
      <c r="F158" s="19" t="s">
        <v>261</v>
      </c>
      <c r="G158" s="20" t="s">
        <v>300</v>
      </c>
      <c r="H158" s="19"/>
      <c r="I158" s="19" t="s">
        <v>230</v>
      </c>
      <c r="J158" s="19" t="s">
        <v>296</v>
      </c>
      <c r="K158" s="19" t="s">
        <v>297</v>
      </c>
      <c r="L158" s="19" t="s">
        <v>282</v>
      </c>
      <c r="M158" s="19" t="s">
        <v>298</v>
      </c>
      <c r="N158" s="19" t="s">
        <v>284</v>
      </c>
      <c r="O158" s="19" t="s">
        <v>293</v>
      </c>
      <c r="P158" s="23" t="s">
        <v>285</v>
      </c>
      <c r="Q158" s="19" t="s">
        <v>299</v>
      </c>
      <c r="R158" s="19">
        <v>8000</v>
      </c>
      <c r="S158" s="19" t="s">
        <v>239</v>
      </c>
      <c r="T158" s="19" t="s">
        <v>287</v>
      </c>
      <c r="U158" s="20" t="s">
        <v>287</v>
      </c>
      <c r="V158" s="19" t="s">
        <v>112</v>
      </c>
      <c r="W158" s="19" t="s">
        <v>221</v>
      </c>
      <c r="X158" s="35">
        <v>25</v>
      </c>
      <c r="Y158" s="35">
        <v>20</v>
      </c>
      <c r="Z158" s="32"/>
      <c r="AA158" s="22">
        <v>10</v>
      </c>
      <c r="AB158" s="22">
        <v>7</v>
      </c>
      <c r="AC158" s="22">
        <v>7</v>
      </c>
      <c r="AD158" s="22">
        <v>6</v>
      </c>
      <c r="AE158" s="61">
        <f t="shared" si="61"/>
        <v>30</v>
      </c>
      <c r="AF158" s="22"/>
      <c r="AG158" s="40">
        <f t="shared" si="62"/>
        <v>30</v>
      </c>
      <c r="AH158" s="24"/>
      <c r="AI158" s="24"/>
      <c r="AJ158" s="24"/>
      <c r="AK158" s="24">
        <v>15</v>
      </c>
      <c r="AL158" s="23">
        <f t="shared" si="63"/>
        <v>45</v>
      </c>
      <c r="AM158" s="25">
        <v>10</v>
      </c>
      <c r="AN158" s="25">
        <v>7</v>
      </c>
      <c r="AO158" s="25">
        <v>15</v>
      </c>
      <c r="AP158" s="25">
        <v>13</v>
      </c>
      <c r="AQ158" s="25">
        <f t="shared" si="59"/>
        <v>45</v>
      </c>
      <c r="AR158" s="13"/>
      <c r="AS158" s="21"/>
      <c r="AT158" s="21">
        <v>5</v>
      </c>
      <c r="AU158" s="21">
        <v>5</v>
      </c>
      <c r="AV158" s="77"/>
      <c r="AW158" s="21"/>
      <c r="AX158" s="21"/>
      <c r="AY158" s="21"/>
      <c r="AZ158" s="21"/>
      <c r="BA158" s="21"/>
      <c r="BB158" s="21"/>
      <c r="BC158" s="77"/>
      <c r="BD158" s="21">
        <v>2</v>
      </c>
      <c r="BE158" s="21">
        <v>5</v>
      </c>
      <c r="BF158" s="21"/>
      <c r="BG158" s="21"/>
      <c r="BH158" s="21"/>
      <c r="BI158" s="21"/>
      <c r="BJ158" s="77"/>
      <c r="BK158" s="21">
        <v>5</v>
      </c>
      <c r="BL158" s="21">
        <v>8</v>
      </c>
      <c r="BM158" s="21"/>
      <c r="BN158" s="21"/>
      <c r="BO158" s="21"/>
      <c r="BP158" s="81"/>
      <c r="BQ158" s="77"/>
      <c r="BR158" s="81"/>
      <c r="BS158" s="81"/>
      <c r="BT158" s="81"/>
      <c r="BU158" s="81"/>
      <c r="BV158" s="81"/>
      <c r="BW158" s="79">
        <f t="shared" si="52"/>
        <v>30</v>
      </c>
      <c r="BX158" s="58">
        <f t="shared" si="53"/>
        <v>15</v>
      </c>
      <c r="BY158" s="26"/>
      <c r="BZ158" s="21"/>
      <c r="CA158" s="19" t="s">
        <v>300</v>
      </c>
      <c r="CB158" s="50" t="b">
        <f t="shared" si="65"/>
        <v>1</v>
      </c>
      <c r="CC158" s="50" t="s">
        <v>300</v>
      </c>
      <c r="CD158" s="19" t="s">
        <v>1242</v>
      </c>
      <c r="CE158" s="19" t="s">
        <v>1189</v>
      </c>
      <c r="CF158" s="19" t="s">
        <v>1190</v>
      </c>
      <c r="CG158" s="19" t="s">
        <v>1228</v>
      </c>
      <c r="CH158" s="19" t="s">
        <v>1229</v>
      </c>
      <c r="CI158" s="19" t="s">
        <v>1209</v>
      </c>
      <c r="CJ158" s="19" t="s">
        <v>1210</v>
      </c>
      <c r="CK158" s="19" t="s">
        <v>1230</v>
      </c>
      <c r="CL158" s="19" t="s">
        <v>1231</v>
      </c>
      <c r="CM158" s="19" t="s">
        <v>1232</v>
      </c>
      <c r="CN158" s="19" t="s">
        <v>1233</v>
      </c>
      <c r="CO158" s="19" t="s">
        <v>1234</v>
      </c>
      <c r="CP158" s="19" t="s">
        <v>1235</v>
      </c>
      <c r="CQ158" s="19" t="s">
        <v>1199</v>
      </c>
      <c r="CR158" s="19" t="s">
        <v>1200</v>
      </c>
      <c r="CS158" s="19" t="s">
        <v>1236</v>
      </c>
      <c r="CT158" s="19" t="s">
        <v>1237</v>
      </c>
      <c r="CU158" s="19" t="s">
        <v>1238</v>
      </c>
      <c r="CV158" s="19" t="s">
        <v>1239</v>
      </c>
      <c r="CW158" s="19" t="s">
        <v>1240</v>
      </c>
      <c r="CX158" s="19" t="s">
        <v>1241</v>
      </c>
      <c r="CY158" s="19"/>
      <c r="CZ158" s="19"/>
      <c r="DA158" s="19"/>
      <c r="DB158" s="19"/>
      <c r="DC158" s="19"/>
      <c r="DD158" s="19"/>
      <c r="DE158" s="19"/>
      <c r="DF158" s="19"/>
    </row>
    <row r="159" spans="1:110" x14ac:dyDescent="0.25">
      <c r="A159" s="19" t="s">
        <v>228</v>
      </c>
      <c r="B159" s="19" t="s">
        <v>80</v>
      </c>
      <c r="C159" s="19" t="str">
        <f t="shared" si="64"/>
        <v>91407538India</v>
      </c>
      <c r="D159" s="19">
        <v>91407538</v>
      </c>
      <c r="E159" s="19" t="s">
        <v>295</v>
      </c>
      <c r="F159" s="19" t="s">
        <v>261</v>
      </c>
      <c r="G159" s="20" t="s">
        <v>295</v>
      </c>
      <c r="H159" s="19"/>
      <c r="I159" s="19" t="s">
        <v>230</v>
      </c>
      <c r="J159" s="19" t="s">
        <v>296</v>
      </c>
      <c r="K159" s="19" t="s">
        <v>297</v>
      </c>
      <c r="L159" s="19" t="s">
        <v>282</v>
      </c>
      <c r="M159" s="19" t="s">
        <v>298</v>
      </c>
      <c r="N159" s="19" t="s">
        <v>284</v>
      </c>
      <c r="O159" s="19" t="s">
        <v>293</v>
      </c>
      <c r="P159" s="23" t="s">
        <v>285</v>
      </c>
      <c r="Q159" s="19" t="s">
        <v>299</v>
      </c>
      <c r="R159" s="19">
        <v>8000</v>
      </c>
      <c r="S159" s="19" t="s">
        <v>239</v>
      </c>
      <c r="T159" s="19" t="s">
        <v>287</v>
      </c>
      <c r="U159" s="20" t="s">
        <v>287</v>
      </c>
      <c r="V159" s="19" t="s">
        <v>111</v>
      </c>
      <c r="W159" s="19" t="s">
        <v>222</v>
      </c>
      <c r="X159" s="35">
        <v>12</v>
      </c>
      <c r="Y159" s="35">
        <v>10</v>
      </c>
      <c r="Z159" s="32"/>
      <c r="AA159" s="22">
        <v>5</v>
      </c>
      <c r="AB159" s="22">
        <v>3</v>
      </c>
      <c r="AC159" s="22">
        <v>3</v>
      </c>
      <c r="AD159" s="22">
        <v>4</v>
      </c>
      <c r="AE159" s="61">
        <f t="shared" si="61"/>
        <v>15</v>
      </c>
      <c r="AF159" s="22"/>
      <c r="AG159" s="40">
        <f t="shared" si="62"/>
        <v>15</v>
      </c>
      <c r="AH159" s="24"/>
      <c r="AI159" s="24"/>
      <c r="AJ159" s="24"/>
      <c r="AK159" s="24">
        <v>10</v>
      </c>
      <c r="AL159" s="23">
        <f t="shared" si="63"/>
        <v>25</v>
      </c>
      <c r="AM159" s="25">
        <v>5</v>
      </c>
      <c r="AN159" s="25">
        <v>3</v>
      </c>
      <c r="AO159" s="25">
        <v>9</v>
      </c>
      <c r="AP159" s="25">
        <v>8</v>
      </c>
      <c r="AQ159" s="25">
        <f t="shared" si="59"/>
        <v>25</v>
      </c>
      <c r="AR159" s="13"/>
      <c r="AS159" s="21"/>
      <c r="AT159" s="21"/>
      <c r="AU159" s="21"/>
      <c r="AV159" s="77"/>
      <c r="AW159" s="21">
        <v>5</v>
      </c>
      <c r="AX159" s="21"/>
      <c r="AY159" s="21"/>
      <c r="AZ159" s="21"/>
      <c r="BA159" s="21"/>
      <c r="BB159" s="21"/>
      <c r="BC159" s="77"/>
      <c r="BD159" s="21">
        <v>3</v>
      </c>
      <c r="BE159" s="21"/>
      <c r="BF159" s="21"/>
      <c r="BG159" s="21"/>
      <c r="BH159" s="21"/>
      <c r="BI159" s="21">
        <v>4</v>
      </c>
      <c r="BJ159" s="77"/>
      <c r="BK159" s="21">
        <v>3</v>
      </c>
      <c r="BL159" s="21"/>
      <c r="BM159" s="21"/>
      <c r="BN159" s="21"/>
      <c r="BO159" s="21"/>
      <c r="BP159" s="81"/>
      <c r="BQ159" s="77"/>
      <c r="BR159" s="81"/>
      <c r="BS159" s="81"/>
      <c r="BT159" s="81"/>
      <c r="BU159" s="81"/>
      <c r="BV159" s="81"/>
      <c r="BW159" s="79">
        <f t="shared" si="52"/>
        <v>15</v>
      </c>
      <c r="BX159" s="58">
        <f t="shared" si="53"/>
        <v>10</v>
      </c>
      <c r="BY159" s="26"/>
      <c r="BZ159" s="21"/>
      <c r="CA159" s="19" t="s">
        <v>295</v>
      </c>
      <c r="CB159" s="50" t="b">
        <f t="shared" si="65"/>
        <v>1</v>
      </c>
      <c r="CC159" s="53" t="s">
        <v>295</v>
      </c>
      <c r="CD159" s="19" t="s">
        <v>1227</v>
      </c>
      <c r="CE159" s="19" t="s">
        <v>1189</v>
      </c>
      <c r="CF159" s="19" t="s">
        <v>1190</v>
      </c>
      <c r="CG159" s="19" t="s">
        <v>1228</v>
      </c>
      <c r="CH159" s="19" t="s">
        <v>1229</v>
      </c>
      <c r="CI159" s="19" t="s">
        <v>1209</v>
      </c>
      <c r="CJ159" s="19" t="s">
        <v>1210</v>
      </c>
      <c r="CK159" s="19" t="s">
        <v>1230</v>
      </c>
      <c r="CL159" s="19" t="s">
        <v>1231</v>
      </c>
      <c r="CM159" s="19" t="s">
        <v>1232</v>
      </c>
      <c r="CN159" s="19" t="s">
        <v>1233</v>
      </c>
      <c r="CO159" s="19" t="s">
        <v>1234</v>
      </c>
      <c r="CP159" s="19" t="s">
        <v>1235</v>
      </c>
      <c r="CQ159" s="19" t="s">
        <v>1199</v>
      </c>
      <c r="CR159" s="19" t="s">
        <v>1200</v>
      </c>
      <c r="CS159" s="19" t="s">
        <v>1236</v>
      </c>
      <c r="CT159" s="19" t="s">
        <v>1237</v>
      </c>
      <c r="CU159" s="19" t="s">
        <v>1238</v>
      </c>
      <c r="CV159" s="19" t="s">
        <v>1239</v>
      </c>
      <c r="CW159" s="19" t="s">
        <v>1240</v>
      </c>
      <c r="CX159" s="19" t="s">
        <v>1241</v>
      </c>
      <c r="CY159" s="19"/>
      <c r="CZ159" s="19"/>
      <c r="DA159" s="19"/>
      <c r="DB159" s="19"/>
      <c r="DC159" s="19"/>
      <c r="DD159" s="19"/>
      <c r="DE159" s="19"/>
      <c r="DF159" s="19"/>
    </row>
    <row r="160" spans="1:110" x14ac:dyDescent="0.25">
      <c r="A160" s="19" t="s">
        <v>228</v>
      </c>
      <c r="B160" s="19" t="s">
        <v>80</v>
      </c>
      <c r="C160" s="19" t="str">
        <f t="shared" si="64"/>
        <v>91407546India</v>
      </c>
      <c r="D160" s="19">
        <v>91407546</v>
      </c>
      <c r="E160" s="19" t="s">
        <v>301</v>
      </c>
      <c r="F160" s="19" t="s">
        <v>261</v>
      </c>
      <c r="G160" s="20" t="s">
        <v>301</v>
      </c>
      <c r="H160" s="19"/>
      <c r="I160" s="19" t="s">
        <v>230</v>
      </c>
      <c r="J160" s="19" t="s">
        <v>296</v>
      </c>
      <c r="K160" s="19" t="s">
        <v>297</v>
      </c>
      <c r="L160" s="19" t="s">
        <v>282</v>
      </c>
      <c r="M160" s="19" t="s">
        <v>298</v>
      </c>
      <c r="N160" s="19" t="s">
        <v>284</v>
      </c>
      <c r="O160" s="19" t="s">
        <v>293</v>
      </c>
      <c r="P160" s="23" t="s">
        <v>285</v>
      </c>
      <c r="Q160" s="19" t="s">
        <v>299</v>
      </c>
      <c r="R160" s="19">
        <v>8000</v>
      </c>
      <c r="S160" s="19" t="s">
        <v>239</v>
      </c>
      <c r="T160" s="19" t="s">
        <v>287</v>
      </c>
      <c r="U160" s="20" t="s">
        <v>287</v>
      </c>
      <c r="V160" s="19" t="s">
        <v>125</v>
      </c>
      <c r="W160" s="19" t="s">
        <v>222</v>
      </c>
      <c r="X160" s="35">
        <v>10</v>
      </c>
      <c r="Y160" s="35">
        <v>10</v>
      </c>
      <c r="Z160" s="32"/>
      <c r="AA160" s="22">
        <v>3</v>
      </c>
      <c r="AB160" s="22">
        <v>3</v>
      </c>
      <c r="AC160" s="22">
        <v>2</v>
      </c>
      <c r="AD160" s="22">
        <v>2</v>
      </c>
      <c r="AE160" s="61">
        <f t="shared" si="61"/>
        <v>10</v>
      </c>
      <c r="AF160" s="22"/>
      <c r="AG160" s="40">
        <f t="shared" si="62"/>
        <v>10</v>
      </c>
      <c r="AH160" s="24"/>
      <c r="AI160" s="24"/>
      <c r="AJ160" s="24"/>
      <c r="AK160" s="24">
        <v>5</v>
      </c>
      <c r="AL160" s="23">
        <f t="shared" si="63"/>
        <v>15</v>
      </c>
      <c r="AM160" s="25">
        <v>3</v>
      </c>
      <c r="AN160" s="25">
        <v>3</v>
      </c>
      <c r="AO160" s="25">
        <v>4</v>
      </c>
      <c r="AP160" s="25">
        <v>5</v>
      </c>
      <c r="AQ160" s="25">
        <f t="shared" si="59"/>
        <v>15</v>
      </c>
      <c r="AR160" s="13"/>
      <c r="AS160" s="21"/>
      <c r="AT160" s="21"/>
      <c r="AU160" s="21"/>
      <c r="AV160" s="77"/>
      <c r="AW160" s="21"/>
      <c r="AX160" s="21">
        <v>3</v>
      </c>
      <c r="AY160" s="21"/>
      <c r="AZ160" s="21"/>
      <c r="BA160" s="21"/>
      <c r="BB160" s="21">
        <v>3</v>
      </c>
      <c r="BC160" s="77"/>
      <c r="BD160" s="21"/>
      <c r="BE160" s="21"/>
      <c r="BF160" s="21"/>
      <c r="BG160" s="21"/>
      <c r="BH160" s="21"/>
      <c r="BI160" s="21">
        <v>4</v>
      </c>
      <c r="BJ160" s="77"/>
      <c r="BK160" s="21"/>
      <c r="BL160" s="21"/>
      <c r="BM160" s="21"/>
      <c r="BN160" s="21"/>
      <c r="BO160" s="21"/>
      <c r="BP160" s="81"/>
      <c r="BQ160" s="77"/>
      <c r="BR160" s="81"/>
      <c r="BS160" s="81"/>
      <c r="BT160" s="81"/>
      <c r="BU160" s="81"/>
      <c r="BV160" s="81"/>
      <c r="BW160" s="79">
        <f t="shared" si="52"/>
        <v>10</v>
      </c>
      <c r="BX160" s="58">
        <f t="shared" si="53"/>
        <v>5</v>
      </c>
      <c r="BY160" s="26"/>
      <c r="BZ160" s="21"/>
      <c r="CA160" s="19" t="s">
        <v>301</v>
      </c>
      <c r="CB160" s="50" t="b">
        <f t="shared" si="65"/>
        <v>1</v>
      </c>
      <c r="CC160" s="53" t="s">
        <v>301</v>
      </c>
      <c r="CD160" s="19" t="s">
        <v>1243</v>
      </c>
      <c r="CE160" s="19" t="s">
        <v>1189</v>
      </c>
      <c r="CF160" s="19" t="s">
        <v>1190</v>
      </c>
      <c r="CG160" s="19" t="s">
        <v>1228</v>
      </c>
      <c r="CH160" s="19" t="s">
        <v>1229</v>
      </c>
      <c r="CI160" s="19" t="s">
        <v>1209</v>
      </c>
      <c r="CJ160" s="19" t="s">
        <v>1210</v>
      </c>
      <c r="CK160" s="19" t="s">
        <v>1230</v>
      </c>
      <c r="CL160" s="19" t="s">
        <v>1231</v>
      </c>
      <c r="CM160" s="19" t="s">
        <v>1232</v>
      </c>
      <c r="CN160" s="19" t="s">
        <v>1233</v>
      </c>
      <c r="CO160" s="19" t="s">
        <v>1234</v>
      </c>
      <c r="CP160" s="19" t="s">
        <v>1235</v>
      </c>
      <c r="CQ160" s="19" t="s">
        <v>1199</v>
      </c>
      <c r="CR160" s="19" t="s">
        <v>1200</v>
      </c>
      <c r="CS160" s="19" t="s">
        <v>1236</v>
      </c>
      <c r="CT160" s="19" t="s">
        <v>1237</v>
      </c>
      <c r="CU160" s="19" t="s">
        <v>1238</v>
      </c>
      <c r="CV160" s="19" t="s">
        <v>1239</v>
      </c>
      <c r="CW160" s="19" t="s">
        <v>1240</v>
      </c>
      <c r="CX160" s="19" t="s">
        <v>1241</v>
      </c>
      <c r="CY160" s="19"/>
      <c r="CZ160" s="19"/>
      <c r="DA160" s="19"/>
      <c r="DB160" s="19"/>
      <c r="DC160" s="19"/>
      <c r="DD160" s="19"/>
      <c r="DE160" s="19"/>
      <c r="DF160" s="19"/>
    </row>
    <row r="161" spans="1:110" x14ac:dyDescent="0.25">
      <c r="A161" s="19" t="s">
        <v>228</v>
      </c>
      <c r="B161" s="19" t="s">
        <v>80</v>
      </c>
      <c r="C161" s="19" t="str">
        <f t="shared" si="64"/>
        <v>91408024India</v>
      </c>
      <c r="D161" s="19">
        <v>91408024</v>
      </c>
      <c r="E161" s="19" t="s">
        <v>103</v>
      </c>
      <c r="F161" s="19" t="s">
        <v>261</v>
      </c>
      <c r="G161" s="20" t="s">
        <v>103</v>
      </c>
      <c r="H161" s="19"/>
      <c r="I161" s="19" t="s">
        <v>230</v>
      </c>
      <c r="J161" s="19" t="s">
        <v>296</v>
      </c>
      <c r="K161" s="19" t="s">
        <v>315</v>
      </c>
      <c r="L161" s="19" t="s">
        <v>282</v>
      </c>
      <c r="M161" s="19" t="s">
        <v>234</v>
      </c>
      <c r="N161" s="19" t="s">
        <v>284</v>
      </c>
      <c r="O161" s="19" t="s">
        <v>293</v>
      </c>
      <c r="P161" s="23" t="s">
        <v>285</v>
      </c>
      <c r="Q161" s="19" t="s">
        <v>316</v>
      </c>
      <c r="R161" s="19">
        <v>8000</v>
      </c>
      <c r="S161" s="19" t="s">
        <v>239</v>
      </c>
      <c r="T161" s="19" t="s">
        <v>287</v>
      </c>
      <c r="U161" s="20" t="s">
        <v>287</v>
      </c>
      <c r="V161" s="19" t="s">
        <v>1543</v>
      </c>
      <c r="W161" s="19" t="s">
        <v>221</v>
      </c>
      <c r="X161" s="35">
        <v>5</v>
      </c>
      <c r="Y161" s="35">
        <v>5</v>
      </c>
      <c r="Z161" s="32"/>
      <c r="AA161" s="22">
        <v>2</v>
      </c>
      <c r="AB161" s="22">
        <v>2</v>
      </c>
      <c r="AC161" s="22">
        <v>1</v>
      </c>
      <c r="AD161" s="22"/>
      <c r="AE161" s="61">
        <f t="shared" si="61"/>
        <v>5</v>
      </c>
      <c r="AF161" s="22"/>
      <c r="AG161" s="40">
        <f t="shared" si="62"/>
        <v>5</v>
      </c>
      <c r="AH161" s="24"/>
      <c r="AI161" s="24"/>
      <c r="AJ161" s="24"/>
      <c r="AK161" s="24"/>
      <c r="AL161" s="23">
        <f t="shared" si="63"/>
        <v>5</v>
      </c>
      <c r="AM161" s="25">
        <v>2</v>
      </c>
      <c r="AN161" s="25">
        <v>2</v>
      </c>
      <c r="AO161" s="25">
        <v>1</v>
      </c>
      <c r="AP161" s="25"/>
      <c r="AQ161" s="25">
        <f t="shared" si="59"/>
        <v>5</v>
      </c>
      <c r="AR161" s="13"/>
      <c r="AS161" s="21"/>
      <c r="AT161" s="21"/>
      <c r="AU161" s="21">
        <v>2</v>
      </c>
      <c r="AV161" s="77"/>
      <c r="AW161" s="21"/>
      <c r="AX161" s="21"/>
      <c r="AY161" s="21"/>
      <c r="AZ161" s="21"/>
      <c r="BA161" s="21"/>
      <c r="BB161" s="21">
        <v>2</v>
      </c>
      <c r="BC161" s="77"/>
      <c r="BD161" s="21"/>
      <c r="BE161" s="21"/>
      <c r="BF161" s="21"/>
      <c r="BG161" s="21"/>
      <c r="BH161" s="21"/>
      <c r="BI161" s="21">
        <v>1</v>
      </c>
      <c r="BJ161" s="77"/>
      <c r="BK161" s="21"/>
      <c r="BL161" s="21"/>
      <c r="BM161" s="21"/>
      <c r="BN161" s="21"/>
      <c r="BO161" s="21"/>
      <c r="BP161" s="21"/>
      <c r="BQ161" s="77"/>
      <c r="BR161" s="21"/>
      <c r="BS161" s="21"/>
      <c r="BT161" s="21"/>
      <c r="BU161" s="21"/>
      <c r="BV161" s="21"/>
      <c r="BW161" s="79">
        <f t="shared" si="52"/>
        <v>5</v>
      </c>
      <c r="BX161" s="58">
        <f t="shared" si="53"/>
        <v>0</v>
      </c>
      <c r="BY161" s="26"/>
      <c r="BZ161" s="21"/>
      <c r="CA161" s="19" t="s">
        <v>103</v>
      </c>
      <c r="CB161" s="50" t="b">
        <f t="shared" si="65"/>
        <v>1</v>
      </c>
      <c r="CC161" s="50" t="s">
        <v>103</v>
      </c>
      <c r="CD161" s="19" t="s">
        <v>124</v>
      </c>
      <c r="CE161" s="19" t="s">
        <v>1172</v>
      </c>
      <c r="CF161" s="19" t="s">
        <v>1173</v>
      </c>
      <c r="CG161" s="19" t="s">
        <v>1228</v>
      </c>
      <c r="CH161" s="19" t="s">
        <v>1229</v>
      </c>
      <c r="CI161" s="19" t="s">
        <v>1209</v>
      </c>
      <c r="CJ161" s="19" t="s">
        <v>1210</v>
      </c>
      <c r="CK161" s="19" t="s">
        <v>1244</v>
      </c>
      <c r="CL161" s="19" t="s">
        <v>1245</v>
      </c>
      <c r="CM161" s="19" t="s">
        <v>1246</v>
      </c>
      <c r="CN161" s="19" t="s">
        <v>1247</v>
      </c>
      <c r="CO161" s="19" t="s">
        <v>1248</v>
      </c>
      <c r="CP161" s="19" t="s">
        <v>1249</v>
      </c>
      <c r="CQ161" s="19" t="s">
        <v>1174</v>
      </c>
      <c r="CR161" s="19" t="s">
        <v>1175</v>
      </c>
      <c r="CS161" s="19" t="s">
        <v>1236</v>
      </c>
      <c r="CT161" s="19" t="s">
        <v>1237</v>
      </c>
      <c r="CU161" s="19" t="s">
        <v>1238</v>
      </c>
      <c r="CV161" s="19" t="s">
        <v>1239</v>
      </c>
      <c r="CW161" s="19" t="s">
        <v>1250</v>
      </c>
      <c r="CX161" s="19" t="s">
        <v>1251</v>
      </c>
      <c r="CY161" s="19"/>
      <c r="CZ161" s="19"/>
      <c r="DA161" s="19"/>
      <c r="DB161" s="19"/>
      <c r="DC161" s="19"/>
      <c r="DD161" s="19"/>
      <c r="DE161" s="19"/>
      <c r="DF161" s="19"/>
    </row>
    <row r="162" spans="1:110" x14ac:dyDescent="0.25">
      <c r="A162" s="19" t="s">
        <v>228</v>
      </c>
      <c r="B162" s="19" t="s">
        <v>80</v>
      </c>
      <c r="C162" s="19" t="str">
        <f t="shared" si="64"/>
        <v>91402005India</v>
      </c>
      <c r="D162" s="19">
        <v>91402005</v>
      </c>
      <c r="E162" s="19" t="s">
        <v>100</v>
      </c>
      <c r="F162" s="19" t="s">
        <v>261</v>
      </c>
      <c r="G162" s="20" t="s">
        <v>100</v>
      </c>
      <c r="H162" s="19"/>
      <c r="I162" s="19" t="s">
        <v>230</v>
      </c>
      <c r="J162" s="19" t="s">
        <v>296</v>
      </c>
      <c r="K162" s="19" t="s">
        <v>315</v>
      </c>
      <c r="L162" s="19" t="s">
        <v>282</v>
      </c>
      <c r="M162" s="19" t="s">
        <v>234</v>
      </c>
      <c r="N162" s="19" t="s">
        <v>284</v>
      </c>
      <c r="O162" s="19" t="s">
        <v>293</v>
      </c>
      <c r="P162" s="23" t="s">
        <v>285</v>
      </c>
      <c r="Q162" s="19" t="s">
        <v>316</v>
      </c>
      <c r="R162" s="19">
        <v>8000</v>
      </c>
      <c r="S162" s="19" t="s">
        <v>239</v>
      </c>
      <c r="T162" s="19" t="s">
        <v>287</v>
      </c>
      <c r="U162" s="20" t="s">
        <v>287</v>
      </c>
      <c r="V162" s="19" t="s">
        <v>1544</v>
      </c>
      <c r="W162" s="19" t="s">
        <v>222</v>
      </c>
      <c r="X162" s="35">
        <v>5</v>
      </c>
      <c r="Y162" s="35">
        <v>5</v>
      </c>
      <c r="Z162" s="32"/>
      <c r="AA162" s="22">
        <v>2</v>
      </c>
      <c r="AB162" s="22">
        <v>2</v>
      </c>
      <c r="AC162" s="22">
        <v>1</v>
      </c>
      <c r="AD162" s="22"/>
      <c r="AE162" s="61">
        <f t="shared" si="61"/>
        <v>5</v>
      </c>
      <c r="AF162" s="22"/>
      <c r="AG162" s="40">
        <f t="shared" si="62"/>
        <v>5</v>
      </c>
      <c r="AH162" s="24"/>
      <c r="AI162" s="24"/>
      <c r="AJ162" s="24"/>
      <c r="AK162" s="24"/>
      <c r="AL162" s="23">
        <f t="shared" si="63"/>
        <v>5</v>
      </c>
      <c r="AM162" s="25">
        <v>2</v>
      </c>
      <c r="AN162" s="25">
        <v>2</v>
      </c>
      <c r="AO162" s="25">
        <v>1</v>
      </c>
      <c r="AP162" s="25"/>
      <c r="AQ162" s="25">
        <f t="shared" si="59"/>
        <v>5</v>
      </c>
      <c r="AR162" s="13"/>
      <c r="AS162" s="21"/>
      <c r="AT162" s="21"/>
      <c r="AU162" s="21">
        <v>2</v>
      </c>
      <c r="AV162" s="77"/>
      <c r="AW162" s="21"/>
      <c r="AX162" s="21"/>
      <c r="AY162" s="21"/>
      <c r="AZ162" s="21"/>
      <c r="BA162" s="21"/>
      <c r="BB162" s="21">
        <v>2</v>
      </c>
      <c r="BC162" s="77"/>
      <c r="BD162" s="21"/>
      <c r="BE162" s="21"/>
      <c r="BF162" s="21"/>
      <c r="BG162" s="21"/>
      <c r="BH162" s="21"/>
      <c r="BI162" s="21">
        <v>1</v>
      </c>
      <c r="BJ162" s="77"/>
      <c r="BK162" s="21"/>
      <c r="BL162" s="21"/>
      <c r="BM162" s="21"/>
      <c r="BN162" s="21"/>
      <c r="BO162" s="21"/>
      <c r="BP162" s="21"/>
      <c r="BQ162" s="77"/>
      <c r="BR162" s="21"/>
      <c r="BS162" s="21"/>
      <c r="BT162" s="21"/>
      <c r="BU162" s="21"/>
      <c r="BV162" s="21"/>
      <c r="BW162" s="79">
        <f t="shared" si="52"/>
        <v>5</v>
      </c>
      <c r="BX162" s="58">
        <f t="shared" si="53"/>
        <v>0</v>
      </c>
      <c r="BY162" s="26"/>
      <c r="BZ162" s="21"/>
      <c r="CA162" s="19" t="s">
        <v>100</v>
      </c>
      <c r="CB162" s="50" t="b">
        <f t="shared" si="65"/>
        <v>1</v>
      </c>
      <c r="CC162" s="50" t="s">
        <v>100</v>
      </c>
      <c r="CD162" s="19" t="s">
        <v>121</v>
      </c>
      <c r="CE162" s="19" t="s">
        <v>1172</v>
      </c>
      <c r="CF162" s="19" t="s">
        <v>1173</v>
      </c>
      <c r="CG162" s="19" t="s">
        <v>1228</v>
      </c>
      <c r="CH162" s="19" t="s">
        <v>1229</v>
      </c>
      <c r="CI162" s="19" t="s">
        <v>1209</v>
      </c>
      <c r="CJ162" s="19" t="s">
        <v>1210</v>
      </c>
      <c r="CK162" s="19" t="s">
        <v>1244</v>
      </c>
      <c r="CL162" s="19" t="s">
        <v>1245</v>
      </c>
      <c r="CM162" s="19" t="s">
        <v>1246</v>
      </c>
      <c r="CN162" s="19" t="s">
        <v>1247</v>
      </c>
      <c r="CO162" s="19" t="s">
        <v>1248</v>
      </c>
      <c r="CP162" s="19" t="s">
        <v>1249</v>
      </c>
      <c r="CQ162" s="19" t="s">
        <v>1174</v>
      </c>
      <c r="CR162" s="19" t="s">
        <v>1175</v>
      </c>
      <c r="CS162" s="19" t="s">
        <v>1236</v>
      </c>
      <c r="CT162" s="19" t="s">
        <v>1237</v>
      </c>
      <c r="CU162" s="19" t="s">
        <v>1238</v>
      </c>
      <c r="CV162" s="19" t="s">
        <v>1239</v>
      </c>
      <c r="CW162" s="19" t="s">
        <v>1250</v>
      </c>
      <c r="CX162" s="19" t="s">
        <v>1251</v>
      </c>
      <c r="CY162" s="19"/>
      <c r="CZ162" s="19"/>
      <c r="DA162" s="19"/>
      <c r="DB162" s="19"/>
      <c r="DC162" s="19"/>
      <c r="DD162" s="19"/>
      <c r="DE162" s="19"/>
      <c r="DF162" s="19"/>
    </row>
    <row r="163" spans="1:110" x14ac:dyDescent="0.25">
      <c r="A163" s="19" t="s">
        <v>224</v>
      </c>
      <c r="B163" s="19" t="s">
        <v>224</v>
      </c>
      <c r="C163" s="19" t="str">
        <f t="shared" si="64"/>
        <v>91402109NPI Proj</v>
      </c>
      <c r="D163" s="19">
        <v>91402109</v>
      </c>
      <c r="E163" s="19" t="s">
        <v>498</v>
      </c>
      <c r="F163" s="19" t="s">
        <v>261</v>
      </c>
      <c r="G163" s="20" t="s">
        <v>498</v>
      </c>
      <c r="H163" s="19"/>
      <c r="I163" s="19" t="s">
        <v>230</v>
      </c>
      <c r="J163" s="19" t="s">
        <v>296</v>
      </c>
      <c r="K163" s="19" t="s">
        <v>315</v>
      </c>
      <c r="L163" s="19" t="s">
        <v>282</v>
      </c>
      <c r="M163" s="19" t="s">
        <v>499</v>
      </c>
      <c r="N163" s="19" t="s">
        <v>284</v>
      </c>
      <c r="O163" s="19" t="s">
        <v>335</v>
      </c>
      <c r="P163" s="23" t="s">
        <v>285</v>
      </c>
      <c r="Q163" s="19" t="s">
        <v>316</v>
      </c>
      <c r="R163" s="19">
        <v>8000</v>
      </c>
      <c r="S163" s="19" t="s">
        <v>239</v>
      </c>
      <c r="T163" s="19" t="s">
        <v>287</v>
      </c>
      <c r="U163" s="20" t="s">
        <v>287</v>
      </c>
      <c r="V163" s="19" t="s">
        <v>227</v>
      </c>
      <c r="W163" s="19"/>
      <c r="X163" s="35"/>
      <c r="Y163" s="35"/>
      <c r="Z163" s="32"/>
      <c r="AA163" s="22">
        <v>2</v>
      </c>
      <c r="AB163" s="22"/>
      <c r="AC163" s="22"/>
      <c r="AD163" s="22"/>
      <c r="AE163" s="61">
        <f t="shared" si="61"/>
        <v>2</v>
      </c>
      <c r="AF163" s="22"/>
      <c r="AG163" s="40">
        <f t="shared" si="62"/>
        <v>2</v>
      </c>
      <c r="AH163" s="24"/>
      <c r="AI163" s="24"/>
      <c r="AJ163" s="24"/>
      <c r="AK163" s="24"/>
      <c r="AL163" s="23">
        <f t="shared" si="63"/>
        <v>2</v>
      </c>
      <c r="AM163" s="25"/>
      <c r="AN163" s="25"/>
      <c r="AO163" s="25"/>
      <c r="AP163" s="25">
        <v>2</v>
      </c>
      <c r="AQ163" s="25">
        <f t="shared" si="59"/>
        <v>2</v>
      </c>
      <c r="AR163" s="13"/>
      <c r="AS163" s="21"/>
      <c r="AT163" s="21"/>
      <c r="AU163" s="21"/>
      <c r="AV163" s="77"/>
      <c r="AW163" s="21"/>
      <c r="AX163" s="21"/>
      <c r="AY163" s="21"/>
      <c r="AZ163" s="21"/>
      <c r="BA163" s="21"/>
      <c r="BB163" s="21"/>
      <c r="BC163" s="77"/>
      <c r="BD163" s="21"/>
      <c r="BE163" s="21"/>
      <c r="BF163" s="21"/>
      <c r="BG163" s="21"/>
      <c r="BH163" s="21"/>
      <c r="BI163" s="21"/>
      <c r="BJ163" s="77"/>
      <c r="BK163" s="21"/>
      <c r="BL163" s="21"/>
      <c r="BM163" s="21"/>
      <c r="BN163" s="21"/>
      <c r="BO163" s="21"/>
      <c r="BP163" s="21"/>
      <c r="BQ163" s="77"/>
      <c r="BR163" s="21"/>
      <c r="BS163" s="21"/>
      <c r="BT163" s="21"/>
      <c r="BU163" s="21"/>
      <c r="BV163" s="21"/>
      <c r="BW163" s="79">
        <f t="shared" si="52"/>
        <v>0</v>
      </c>
      <c r="BX163" s="58">
        <f t="shared" si="53"/>
        <v>2</v>
      </c>
      <c r="BY163" s="26"/>
      <c r="BZ163" s="21"/>
      <c r="CA163" s="19" t="s">
        <v>498</v>
      </c>
      <c r="CB163" s="50" t="b">
        <f t="shared" si="65"/>
        <v>1</v>
      </c>
      <c r="CC163" s="50" t="s">
        <v>498</v>
      </c>
      <c r="CD163" s="19" t="s">
        <v>1252</v>
      </c>
      <c r="CE163" s="19" t="s">
        <v>1172</v>
      </c>
      <c r="CF163" s="19" t="s">
        <v>1173</v>
      </c>
      <c r="CG163" s="19" t="s">
        <v>1228</v>
      </c>
      <c r="CH163" s="19" t="s">
        <v>1229</v>
      </c>
      <c r="CI163" s="19" t="s">
        <v>1253</v>
      </c>
      <c r="CJ163" s="19" t="s">
        <v>1254</v>
      </c>
      <c r="CK163" s="19" t="s">
        <v>1244</v>
      </c>
      <c r="CL163" s="19" t="s">
        <v>1245</v>
      </c>
      <c r="CM163" s="19" t="s">
        <v>1255</v>
      </c>
      <c r="CN163" s="19" t="s">
        <v>1256</v>
      </c>
      <c r="CO163" s="19" t="s">
        <v>1257</v>
      </c>
      <c r="CP163" s="19" t="s">
        <v>1682</v>
      </c>
      <c r="CQ163" s="19" t="s">
        <v>1174</v>
      </c>
      <c r="CR163" s="19" t="s">
        <v>1175</v>
      </c>
      <c r="CS163" s="19" t="s">
        <v>1236</v>
      </c>
      <c r="CT163" s="19" t="s">
        <v>1237</v>
      </c>
      <c r="CU163" s="19" t="s">
        <v>1258</v>
      </c>
      <c r="CV163" s="19" t="s">
        <v>1259</v>
      </c>
      <c r="CW163" s="19" t="s">
        <v>1250</v>
      </c>
      <c r="CX163" s="19" t="s">
        <v>1251</v>
      </c>
      <c r="CY163" s="19"/>
      <c r="CZ163" s="19"/>
      <c r="DA163" s="19"/>
      <c r="DB163" s="19"/>
      <c r="DC163" s="19"/>
      <c r="DD163" s="19"/>
      <c r="DE163" s="19"/>
      <c r="DF163" s="19"/>
    </row>
    <row r="164" spans="1:110" x14ac:dyDescent="0.25">
      <c r="A164" s="19" t="s">
        <v>228</v>
      </c>
      <c r="B164" s="19" t="s">
        <v>80</v>
      </c>
      <c r="C164" s="19" t="str">
        <f t="shared" si="64"/>
        <v>97107807India</v>
      </c>
      <c r="D164" s="19">
        <v>97107807</v>
      </c>
      <c r="E164" s="19" t="s">
        <v>302</v>
      </c>
      <c r="F164" s="19" t="s">
        <v>261</v>
      </c>
      <c r="G164" s="20" t="s">
        <v>302</v>
      </c>
      <c r="H164" s="19"/>
      <c r="I164" s="19" t="s">
        <v>230</v>
      </c>
      <c r="J164" s="19" t="s">
        <v>288</v>
      </c>
      <c r="K164" s="19" t="s">
        <v>303</v>
      </c>
      <c r="L164" s="19" t="s">
        <v>282</v>
      </c>
      <c r="M164" s="19" t="s">
        <v>234</v>
      </c>
      <c r="N164" s="19" t="s">
        <v>284</v>
      </c>
      <c r="O164" s="19" t="s">
        <v>304</v>
      </c>
      <c r="P164" s="23" t="s">
        <v>285</v>
      </c>
      <c r="Q164" s="19" t="s">
        <v>294</v>
      </c>
      <c r="R164" s="19">
        <v>8400</v>
      </c>
      <c r="S164" s="19" t="s">
        <v>239</v>
      </c>
      <c r="T164" s="19" t="s">
        <v>287</v>
      </c>
      <c r="U164" s="20" t="s">
        <v>287</v>
      </c>
      <c r="V164" s="19" t="s">
        <v>113</v>
      </c>
      <c r="W164" s="19" t="s">
        <v>222</v>
      </c>
      <c r="X164" s="35">
        <v>18</v>
      </c>
      <c r="Y164" s="35">
        <v>15</v>
      </c>
      <c r="Z164" s="32"/>
      <c r="AA164" s="22">
        <v>10</v>
      </c>
      <c r="AB164" s="22">
        <v>5</v>
      </c>
      <c r="AC164" s="22">
        <v>5</v>
      </c>
      <c r="AD164" s="22"/>
      <c r="AE164" s="61">
        <f t="shared" si="61"/>
        <v>20</v>
      </c>
      <c r="AF164" s="22"/>
      <c r="AG164" s="40">
        <f t="shared" si="62"/>
        <v>20</v>
      </c>
      <c r="AH164" s="24"/>
      <c r="AI164" s="24"/>
      <c r="AJ164" s="24"/>
      <c r="AK164" s="24">
        <v>10</v>
      </c>
      <c r="AL164" s="23">
        <f t="shared" si="63"/>
        <v>30</v>
      </c>
      <c r="AM164" s="25">
        <v>10</v>
      </c>
      <c r="AN164" s="25">
        <v>5</v>
      </c>
      <c r="AO164" s="25">
        <v>5</v>
      </c>
      <c r="AP164" s="25">
        <v>10</v>
      </c>
      <c r="AQ164" s="25">
        <f t="shared" ref="AQ164:AQ176" si="66">SUM(AM164:AP164)</f>
        <v>30</v>
      </c>
      <c r="AR164" s="13"/>
      <c r="AS164" s="21"/>
      <c r="AT164" s="21"/>
      <c r="AU164" s="21"/>
      <c r="AV164" s="77"/>
      <c r="AW164" s="21">
        <v>5</v>
      </c>
      <c r="AX164" s="21">
        <v>5</v>
      </c>
      <c r="AY164" s="21"/>
      <c r="AZ164" s="21"/>
      <c r="BA164" s="21"/>
      <c r="BB164" s="21">
        <v>5</v>
      </c>
      <c r="BC164" s="77"/>
      <c r="BD164" s="21"/>
      <c r="BE164" s="21"/>
      <c r="BF164" s="21"/>
      <c r="BG164" s="21"/>
      <c r="BH164" s="21"/>
      <c r="BI164" s="21">
        <v>5</v>
      </c>
      <c r="BJ164" s="77"/>
      <c r="BK164" s="21"/>
      <c r="BL164" s="21"/>
      <c r="BM164" s="21"/>
      <c r="BN164" s="21"/>
      <c r="BO164" s="21"/>
      <c r="BP164" s="21"/>
      <c r="BQ164" s="77"/>
      <c r="BR164" s="21"/>
      <c r="BS164" s="21"/>
      <c r="BT164" s="21"/>
      <c r="BU164" s="21"/>
      <c r="BV164" s="21"/>
      <c r="BW164" s="79">
        <f t="shared" si="52"/>
        <v>20</v>
      </c>
      <c r="BX164" s="58">
        <f t="shared" si="53"/>
        <v>10</v>
      </c>
      <c r="BY164" s="26"/>
      <c r="BZ164" s="21"/>
      <c r="CA164" s="19" t="s">
        <v>302</v>
      </c>
      <c r="CB164" s="50" t="b">
        <f t="shared" si="65"/>
        <v>1</v>
      </c>
      <c r="CC164" s="50" t="s">
        <v>302</v>
      </c>
      <c r="CD164" s="19" t="s">
        <v>1265</v>
      </c>
      <c r="CE164" s="19" t="s">
        <v>1189</v>
      </c>
      <c r="CF164" s="19" t="s">
        <v>1260</v>
      </c>
      <c r="CG164" s="19" t="s">
        <v>1266</v>
      </c>
      <c r="CH164" s="19" t="s">
        <v>1267</v>
      </c>
      <c r="CI164" s="19" t="s">
        <v>1176</v>
      </c>
      <c r="CJ164" s="19" t="s">
        <v>1177</v>
      </c>
      <c r="CK164" s="19" t="s">
        <v>1268</v>
      </c>
      <c r="CL164" s="19" t="s">
        <v>1269</v>
      </c>
      <c r="CM164" s="19" t="s">
        <v>1270</v>
      </c>
      <c r="CN164" s="19" t="s">
        <v>1271</v>
      </c>
      <c r="CO164" s="19" t="s">
        <v>1272</v>
      </c>
      <c r="CP164" s="19" t="s">
        <v>1273</v>
      </c>
      <c r="CQ164" s="19" t="s">
        <v>1261</v>
      </c>
      <c r="CR164" s="19" t="s">
        <v>1200</v>
      </c>
      <c r="CS164" s="19" t="s">
        <v>1262</v>
      </c>
      <c r="CT164" s="19" t="s">
        <v>1263</v>
      </c>
      <c r="CU164" s="19" t="s">
        <v>1274</v>
      </c>
      <c r="CV164" s="19" t="s">
        <v>1275</v>
      </c>
      <c r="CW164" s="19" t="s">
        <v>1276</v>
      </c>
      <c r="CX164" s="19" t="s">
        <v>1277</v>
      </c>
      <c r="CY164" s="19"/>
      <c r="CZ164" s="19"/>
      <c r="DA164" s="19"/>
      <c r="DB164" s="19"/>
      <c r="DC164" s="19"/>
      <c r="DD164" s="19"/>
      <c r="DE164" s="19"/>
      <c r="DF164" s="19"/>
    </row>
    <row r="165" spans="1:110" x14ac:dyDescent="0.25">
      <c r="A165" s="19" t="s">
        <v>228</v>
      </c>
      <c r="B165" s="19" t="s">
        <v>80</v>
      </c>
      <c r="C165" s="19" t="str">
        <f t="shared" si="64"/>
        <v>97151983India</v>
      </c>
      <c r="D165" s="19">
        <v>97151983</v>
      </c>
      <c r="E165" s="19" t="s">
        <v>319</v>
      </c>
      <c r="F165" s="19" t="s">
        <v>261</v>
      </c>
      <c r="G165" s="20" t="s">
        <v>319</v>
      </c>
      <c r="H165" s="19"/>
      <c r="I165" s="19" t="s">
        <v>230</v>
      </c>
      <c r="J165" s="19" t="s">
        <v>296</v>
      </c>
      <c r="K165" s="19" t="s">
        <v>303</v>
      </c>
      <c r="L165" s="19" t="s">
        <v>262</v>
      </c>
      <c r="M165" s="19" t="s">
        <v>234</v>
      </c>
      <c r="N165" s="19" t="s">
        <v>284</v>
      </c>
      <c r="O165" s="19" t="s">
        <v>320</v>
      </c>
      <c r="P165" s="23" t="s">
        <v>285</v>
      </c>
      <c r="Q165" s="19" t="s">
        <v>294</v>
      </c>
      <c r="R165" s="19">
        <v>8400</v>
      </c>
      <c r="S165" s="19" t="s">
        <v>239</v>
      </c>
      <c r="T165" s="19" t="s">
        <v>287</v>
      </c>
      <c r="U165" s="20" t="s">
        <v>287</v>
      </c>
      <c r="V165" s="19" t="s">
        <v>119</v>
      </c>
      <c r="W165" s="19" t="s">
        <v>222</v>
      </c>
      <c r="X165" s="35">
        <v>8</v>
      </c>
      <c r="Y165" s="35">
        <v>5</v>
      </c>
      <c r="Z165" s="32"/>
      <c r="AA165" s="22">
        <v>3</v>
      </c>
      <c r="AB165" s="22">
        <v>3</v>
      </c>
      <c r="AC165" s="22">
        <v>2</v>
      </c>
      <c r="AD165" s="22">
        <v>2</v>
      </c>
      <c r="AE165" s="61">
        <f t="shared" si="61"/>
        <v>10</v>
      </c>
      <c r="AF165" s="22"/>
      <c r="AG165" s="40">
        <f t="shared" si="62"/>
        <v>10</v>
      </c>
      <c r="AH165" s="24"/>
      <c r="AI165" s="24"/>
      <c r="AJ165" s="24"/>
      <c r="AK165" s="24"/>
      <c r="AL165" s="23">
        <f t="shared" si="63"/>
        <v>10</v>
      </c>
      <c r="AM165" s="25">
        <v>3</v>
      </c>
      <c r="AN165" s="25">
        <v>3</v>
      </c>
      <c r="AO165" s="25">
        <v>2</v>
      </c>
      <c r="AP165" s="25">
        <v>2</v>
      </c>
      <c r="AQ165" s="25">
        <f t="shared" si="66"/>
        <v>10</v>
      </c>
      <c r="AR165" s="13"/>
      <c r="AS165" s="21"/>
      <c r="AT165" s="21"/>
      <c r="AU165" s="21">
        <v>3</v>
      </c>
      <c r="AV165" s="77"/>
      <c r="AW165" s="21"/>
      <c r="AX165" s="21"/>
      <c r="AY165" s="21"/>
      <c r="AZ165" s="21"/>
      <c r="BA165" s="21"/>
      <c r="BB165" s="21"/>
      <c r="BC165" s="77"/>
      <c r="BD165" s="21">
        <v>3</v>
      </c>
      <c r="BE165" s="21"/>
      <c r="BF165" s="21"/>
      <c r="BG165" s="21"/>
      <c r="BH165" s="21"/>
      <c r="BI165" s="21"/>
      <c r="BJ165" s="77"/>
      <c r="BK165" s="21">
        <v>2</v>
      </c>
      <c r="BL165" s="21"/>
      <c r="BM165" s="21"/>
      <c r="BN165" s="21"/>
      <c r="BO165" s="21">
        <v>2</v>
      </c>
      <c r="BP165" s="21"/>
      <c r="BQ165" s="77"/>
      <c r="BR165" s="21"/>
      <c r="BS165" s="21"/>
      <c r="BT165" s="21"/>
      <c r="BU165" s="21"/>
      <c r="BV165" s="21"/>
      <c r="BW165" s="79">
        <f t="shared" si="52"/>
        <v>10</v>
      </c>
      <c r="BX165" s="58">
        <f t="shared" si="53"/>
        <v>0</v>
      </c>
      <c r="BY165" s="26"/>
      <c r="BZ165" s="21"/>
      <c r="CA165" s="19" t="s">
        <v>319</v>
      </c>
      <c r="CB165" s="50" t="b">
        <f t="shared" si="65"/>
        <v>1</v>
      </c>
      <c r="CC165" s="50" t="s">
        <v>319</v>
      </c>
      <c r="CD165" s="19" t="s">
        <v>1278</v>
      </c>
      <c r="CE165" s="19" t="s">
        <v>1189</v>
      </c>
      <c r="CF165" s="19" t="s">
        <v>1260</v>
      </c>
      <c r="CG165" s="19" t="s">
        <v>1279</v>
      </c>
      <c r="CH165" s="19" t="s">
        <v>1280</v>
      </c>
      <c r="CI165" s="19" t="s">
        <v>1218</v>
      </c>
      <c r="CJ165" s="19" t="s">
        <v>1219</v>
      </c>
      <c r="CK165" s="19" t="s">
        <v>1281</v>
      </c>
      <c r="CL165" s="19" t="s">
        <v>1282</v>
      </c>
      <c r="CM165" s="19" t="s">
        <v>1283</v>
      </c>
      <c r="CN165" s="19" t="s">
        <v>1284</v>
      </c>
      <c r="CO165" s="19" t="s">
        <v>1285</v>
      </c>
      <c r="CP165" s="19" t="s">
        <v>1286</v>
      </c>
      <c r="CQ165" s="19" t="s">
        <v>1261</v>
      </c>
      <c r="CR165" s="19" t="s">
        <v>1200</v>
      </c>
      <c r="CS165" s="19" t="s">
        <v>1236</v>
      </c>
      <c r="CT165" s="19" t="s">
        <v>1237</v>
      </c>
      <c r="CU165" s="19" t="s">
        <v>1287</v>
      </c>
      <c r="CV165" s="19" t="s">
        <v>1288</v>
      </c>
      <c r="CW165" s="19" t="s">
        <v>1289</v>
      </c>
      <c r="CX165" s="19" t="s">
        <v>1290</v>
      </c>
      <c r="CY165" s="19"/>
      <c r="CZ165" s="19"/>
      <c r="DA165" s="19"/>
      <c r="DB165" s="19"/>
      <c r="DC165" s="19"/>
      <c r="DD165" s="19"/>
      <c r="DE165" s="19"/>
      <c r="DF165" s="19"/>
    </row>
    <row r="166" spans="1:110" x14ac:dyDescent="0.25">
      <c r="A166" s="19" t="s">
        <v>228</v>
      </c>
      <c r="B166" s="19" t="s">
        <v>80</v>
      </c>
      <c r="C166" s="19" t="str">
        <f t="shared" si="64"/>
        <v>97150961India</v>
      </c>
      <c r="D166" s="19">
        <v>97150961</v>
      </c>
      <c r="E166" s="19" t="s">
        <v>321</v>
      </c>
      <c r="F166" s="19" t="s">
        <v>261</v>
      </c>
      <c r="G166" s="20" t="s">
        <v>321</v>
      </c>
      <c r="H166" s="19"/>
      <c r="I166" s="19" t="s">
        <v>230</v>
      </c>
      <c r="J166" s="19" t="s">
        <v>296</v>
      </c>
      <c r="K166" s="19" t="s">
        <v>303</v>
      </c>
      <c r="L166" s="19" t="s">
        <v>262</v>
      </c>
      <c r="M166" s="19" t="s">
        <v>234</v>
      </c>
      <c r="N166" s="19" t="s">
        <v>284</v>
      </c>
      <c r="O166" s="19" t="s">
        <v>320</v>
      </c>
      <c r="P166" s="23" t="s">
        <v>285</v>
      </c>
      <c r="Q166" s="19" t="s">
        <v>294</v>
      </c>
      <c r="R166" s="19">
        <v>8400</v>
      </c>
      <c r="S166" s="19" t="s">
        <v>239</v>
      </c>
      <c r="T166" s="19" t="s">
        <v>287</v>
      </c>
      <c r="U166" s="20" t="s">
        <v>287</v>
      </c>
      <c r="V166" s="19" t="s">
        <v>120</v>
      </c>
      <c r="W166" s="19" t="s">
        <v>219</v>
      </c>
      <c r="X166" s="35">
        <v>8</v>
      </c>
      <c r="Y166" s="35">
        <v>8</v>
      </c>
      <c r="Z166" s="32"/>
      <c r="AA166" s="22">
        <v>3</v>
      </c>
      <c r="AB166" s="22">
        <v>3</v>
      </c>
      <c r="AC166" s="22">
        <v>2</v>
      </c>
      <c r="AD166" s="22">
        <v>2</v>
      </c>
      <c r="AE166" s="61">
        <f t="shared" si="61"/>
        <v>10</v>
      </c>
      <c r="AF166" s="22"/>
      <c r="AG166" s="40">
        <f t="shared" si="62"/>
        <v>10</v>
      </c>
      <c r="AH166" s="24"/>
      <c r="AI166" s="24"/>
      <c r="AJ166" s="24"/>
      <c r="AK166" s="24"/>
      <c r="AL166" s="23">
        <f t="shared" si="63"/>
        <v>10</v>
      </c>
      <c r="AM166" s="25">
        <v>3</v>
      </c>
      <c r="AN166" s="25">
        <v>3</v>
      </c>
      <c r="AO166" s="25">
        <v>2</v>
      </c>
      <c r="AP166" s="25">
        <v>2</v>
      </c>
      <c r="AQ166" s="25">
        <f t="shared" si="66"/>
        <v>10</v>
      </c>
      <c r="AR166" s="13"/>
      <c r="AS166" s="21"/>
      <c r="AT166" s="21"/>
      <c r="AU166" s="21">
        <v>3</v>
      </c>
      <c r="AV166" s="77"/>
      <c r="AW166" s="21"/>
      <c r="AX166" s="21"/>
      <c r="AY166" s="21"/>
      <c r="AZ166" s="21"/>
      <c r="BA166" s="21"/>
      <c r="BB166" s="21"/>
      <c r="BC166" s="77"/>
      <c r="BD166" s="21">
        <v>3</v>
      </c>
      <c r="BE166" s="21"/>
      <c r="BF166" s="21"/>
      <c r="BG166" s="21"/>
      <c r="BH166" s="21"/>
      <c r="BI166" s="21"/>
      <c r="BJ166" s="77"/>
      <c r="BK166" s="21">
        <v>2</v>
      </c>
      <c r="BL166" s="21"/>
      <c r="BM166" s="21"/>
      <c r="BN166" s="21"/>
      <c r="BO166" s="21">
        <v>2</v>
      </c>
      <c r="BP166" s="21"/>
      <c r="BQ166" s="77"/>
      <c r="BR166" s="21"/>
      <c r="BS166" s="21"/>
      <c r="BT166" s="21"/>
      <c r="BU166" s="21"/>
      <c r="BV166" s="21"/>
      <c r="BW166" s="79">
        <f t="shared" si="52"/>
        <v>10</v>
      </c>
      <c r="BX166" s="58">
        <f t="shared" si="53"/>
        <v>0</v>
      </c>
      <c r="BY166" s="26"/>
      <c r="BZ166" s="21"/>
      <c r="CA166" s="19" t="s">
        <v>321</v>
      </c>
      <c r="CB166" s="50" t="b">
        <f t="shared" si="65"/>
        <v>1</v>
      </c>
      <c r="CC166" s="50" t="s">
        <v>321</v>
      </c>
      <c r="CD166" s="19" t="s">
        <v>1291</v>
      </c>
      <c r="CE166" s="19" t="s">
        <v>1189</v>
      </c>
      <c r="CF166" s="19" t="s">
        <v>1260</v>
      </c>
      <c r="CG166" s="19" t="s">
        <v>1279</v>
      </c>
      <c r="CH166" s="19" t="s">
        <v>1280</v>
      </c>
      <c r="CI166" s="19" t="s">
        <v>1218</v>
      </c>
      <c r="CJ166" s="19" t="s">
        <v>1219</v>
      </c>
      <c r="CK166" s="19" t="s">
        <v>1281</v>
      </c>
      <c r="CL166" s="19" t="s">
        <v>1282</v>
      </c>
      <c r="CM166" s="19" t="s">
        <v>1292</v>
      </c>
      <c r="CN166" s="19" t="s">
        <v>1293</v>
      </c>
      <c r="CO166" s="19" t="s">
        <v>1285</v>
      </c>
      <c r="CP166" s="19" t="s">
        <v>1286</v>
      </c>
      <c r="CQ166" s="19" t="s">
        <v>1261</v>
      </c>
      <c r="CR166" s="19" t="s">
        <v>1200</v>
      </c>
      <c r="CS166" s="19" t="s">
        <v>1236</v>
      </c>
      <c r="CT166" s="19" t="s">
        <v>1237</v>
      </c>
      <c r="CU166" s="19" t="s">
        <v>1287</v>
      </c>
      <c r="CV166" s="19" t="s">
        <v>1288</v>
      </c>
      <c r="CW166" s="19" t="s">
        <v>1289</v>
      </c>
      <c r="CX166" s="19" t="s">
        <v>1290</v>
      </c>
      <c r="CY166" s="19"/>
      <c r="CZ166" s="19"/>
      <c r="DA166" s="19"/>
      <c r="DB166" s="19"/>
      <c r="DC166" s="19"/>
      <c r="DD166" s="19"/>
      <c r="DE166" s="19"/>
      <c r="DF166" s="19"/>
    </row>
    <row r="167" spans="1:110" x14ac:dyDescent="0.25">
      <c r="A167" s="19" t="s">
        <v>228</v>
      </c>
      <c r="B167" s="19" t="s">
        <v>80</v>
      </c>
      <c r="C167" s="19" t="str">
        <f t="shared" si="64"/>
        <v>97158564India</v>
      </c>
      <c r="D167" s="19">
        <v>97158564</v>
      </c>
      <c r="E167" s="19" t="s">
        <v>1585</v>
      </c>
      <c r="F167" s="19" t="s">
        <v>261</v>
      </c>
      <c r="G167" s="20" t="s">
        <v>1585</v>
      </c>
      <c r="H167" s="19"/>
      <c r="I167" s="19" t="s">
        <v>230</v>
      </c>
      <c r="J167" s="19" t="s">
        <v>296</v>
      </c>
      <c r="K167" s="19" t="s">
        <v>303</v>
      </c>
      <c r="L167" s="19" t="s">
        <v>262</v>
      </c>
      <c r="M167" s="19" t="s">
        <v>234</v>
      </c>
      <c r="N167" s="19" t="s">
        <v>284</v>
      </c>
      <c r="O167" s="19" t="s">
        <v>304</v>
      </c>
      <c r="P167" s="23" t="s">
        <v>285</v>
      </c>
      <c r="Q167" s="19" t="s">
        <v>294</v>
      </c>
      <c r="R167" s="19">
        <v>8400</v>
      </c>
      <c r="S167" s="19" t="s">
        <v>239</v>
      </c>
      <c r="T167" s="19" t="s">
        <v>287</v>
      </c>
      <c r="U167" s="20" t="s">
        <v>287</v>
      </c>
      <c r="V167" s="19" t="s">
        <v>1545</v>
      </c>
      <c r="W167" s="19" t="s">
        <v>221</v>
      </c>
      <c r="X167" s="35">
        <v>25</v>
      </c>
      <c r="Y167" s="35">
        <v>20</v>
      </c>
      <c r="Z167" s="32"/>
      <c r="AA167" s="22"/>
      <c r="AB167" s="22"/>
      <c r="AC167" s="22"/>
      <c r="AD167" s="22"/>
      <c r="AE167" s="61">
        <f t="shared" si="61"/>
        <v>0</v>
      </c>
      <c r="AF167" s="22"/>
      <c r="AG167" s="40">
        <f t="shared" si="62"/>
        <v>0</v>
      </c>
      <c r="AH167" s="24"/>
      <c r="AI167" s="24"/>
      <c r="AJ167" s="24"/>
      <c r="AK167" s="24">
        <v>15</v>
      </c>
      <c r="AL167" s="23">
        <f t="shared" si="63"/>
        <v>15</v>
      </c>
      <c r="AM167" s="25"/>
      <c r="AN167" s="25"/>
      <c r="AO167" s="25"/>
      <c r="AP167" s="25">
        <v>15</v>
      </c>
      <c r="AQ167" s="25">
        <f t="shared" si="66"/>
        <v>15</v>
      </c>
      <c r="AR167" s="13"/>
      <c r="AS167" s="21"/>
      <c r="AT167" s="21"/>
      <c r="AU167" s="21"/>
      <c r="AV167" s="77"/>
      <c r="AW167" s="21"/>
      <c r="AX167" s="21"/>
      <c r="AY167" s="21"/>
      <c r="AZ167" s="21"/>
      <c r="BA167" s="21"/>
      <c r="BB167" s="21"/>
      <c r="BC167" s="77"/>
      <c r="BD167" s="21"/>
      <c r="BE167" s="21"/>
      <c r="BF167" s="21"/>
      <c r="BG167" s="21"/>
      <c r="BH167" s="21"/>
      <c r="BI167" s="21"/>
      <c r="BJ167" s="77"/>
      <c r="BK167" s="21"/>
      <c r="BL167" s="21"/>
      <c r="BM167" s="21"/>
      <c r="BN167" s="21"/>
      <c r="BO167" s="21"/>
      <c r="BP167" s="21"/>
      <c r="BQ167" s="77"/>
      <c r="BR167" s="21"/>
      <c r="BS167" s="21"/>
      <c r="BT167" s="21"/>
      <c r="BU167" s="21"/>
      <c r="BV167" s="21"/>
      <c r="BW167" s="79">
        <f t="shared" si="52"/>
        <v>0</v>
      </c>
      <c r="BX167" s="58">
        <f t="shared" si="53"/>
        <v>15</v>
      </c>
      <c r="BY167" s="26"/>
      <c r="BZ167" s="21"/>
      <c r="CA167" s="19" t="s">
        <v>1585</v>
      </c>
      <c r="CB167" s="50" t="b">
        <f t="shared" si="65"/>
        <v>1</v>
      </c>
      <c r="CC167" s="74" t="s">
        <v>1585</v>
      </c>
      <c r="CD167" s="7" t="s">
        <v>1683</v>
      </c>
      <c r="CE167" s="7" t="s">
        <v>1189</v>
      </c>
      <c r="CF167" s="7" t="s">
        <v>1260</v>
      </c>
      <c r="CG167" s="7" t="s">
        <v>1279</v>
      </c>
      <c r="CH167" s="7" t="s">
        <v>1280</v>
      </c>
      <c r="CI167" s="7" t="s">
        <v>1218</v>
      </c>
      <c r="CJ167" s="7" t="s">
        <v>1219</v>
      </c>
      <c r="CK167" s="7" t="s">
        <v>1281</v>
      </c>
      <c r="CL167" s="7" t="s">
        <v>1282</v>
      </c>
      <c r="CM167" s="7" t="s">
        <v>1292</v>
      </c>
      <c r="CN167" s="7" t="s">
        <v>1293</v>
      </c>
      <c r="CO167" s="7" t="s">
        <v>1285</v>
      </c>
      <c r="CP167" s="7" t="s">
        <v>1286</v>
      </c>
      <c r="CQ167" s="7" t="s">
        <v>1261</v>
      </c>
      <c r="CR167" s="7" t="s">
        <v>1200</v>
      </c>
      <c r="CS167" s="7" t="s">
        <v>1236</v>
      </c>
      <c r="CT167" s="7" t="s">
        <v>1237</v>
      </c>
      <c r="CU167" s="7" t="s">
        <v>1287</v>
      </c>
      <c r="CV167" s="7" t="s">
        <v>1288</v>
      </c>
      <c r="CW167" s="7" t="s">
        <v>1289</v>
      </c>
      <c r="CX167" s="7" t="s">
        <v>1290</v>
      </c>
      <c r="CY167" s="7"/>
      <c r="CZ167" s="7"/>
      <c r="DA167" s="7"/>
      <c r="DB167" s="7"/>
      <c r="DC167" s="7"/>
      <c r="DD167" s="7"/>
      <c r="DE167" s="7"/>
      <c r="DF167" s="7"/>
    </row>
    <row r="168" spans="1:110" x14ac:dyDescent="0.25">
      <c r="A168" s="19" t="s">
        <v>228</v>
      </c>
      <c r="B168" s="19" t="s">
        <v>80</v>
      </c>
      <c r="C168" s="19" t="str">
        <f t="shared" si="64"/>
        <v>91659279India</v>
      </c>
      <c r="D168" s="19">
        <v>91659279</v>
      </c>
      <c r="E168" s="19" t="s">
        <v>305</v>
      </c>
      <c r="F168" s="19" t="s">
        <v>261</v>
      </c>
      <c r="G168" s="20" t="s">
        <v>305</v>
      </c>
      <c r="H168" s="19"/>
      <c r="I168" s="19" t="s">
        <v>230</v>
      </c>
      <c r="J168" s="19" t="s">
        <v>296</v>
      </c>
      <c r="K168" s="19" t="s">
        <v>306</v>
      </c>
      <c r="L168" s="19" t="s">
        <v>279</v>
      </c>
      <c r="M168" s="19" t="s">
        <v>234</v>
      </c>
      <c r="N168" s="19" t="s">
        <v>284</v>
      </c>
      <c r="O168" s="19" t="s">
        <v>293</v>
      </c>
      <c r="P168" s="23" t="s">
        <v>285</v>
      </c>
      <c r="Q168" s="19" t="s">
        <v>307</v>
      </c>
      <c r="R168" s="19">
        <v>8900</v>
      </c>
      <c r="S168" s="19" t="s">
        <v>239</v>
      </c>
      <c r="T168" s="19" t="s">
        <v>287</v>
      </c>
      <c r="U168" s="20" t="s">
        <v>287</v>
      </c>
      <c r="V168" s="19" t="s">
        <v>114</v>
      </c>
      <c r="W168" s="19" t="s">
        <v>221</v>
      </c>
      <c r="X168" s="35">
        <v>13</v>
      </c>
      <c r="Y168" s="35">
        <v>10</v>
      </c>
      <c r="Z168" s="32"/>
      <c r="AA168" s="22">
        <v>5</v>
      </c>
      <c r="AB168" s="22">
        <v>3</v>
      </c>
      <c r="AC168" s="22">
        <v>3</v>
      </c>
      <c r="AD168" s="22">
        <v>4</v>
      </c>
      <c r="AE168" s="61">
        <f t="shared" si="61"/>
        <v>15</v>
      </c>
      <c r="AF168" s="22"/>
      <c r="AG168" s="40">
        <f t="shared" si="62"/>
        <v>15</v>
      </c>
      <c r="AH168" s="24"/>
      <c r="AI168" s="24"/>
      <c r="AJ168" s="24"/>
      <c r="AK168" s="24">
        <v>5</v>
      </c>
      <c r="AL168" s="23">
        <f t="shared" si="63"/>
        <v>20</v>
      </c>
      <c r="AM168" s="25">
        <v>5</v>
      </c>
      <c r="AN168" s="25">
        <v>3</v>
      </c>
      <c r="AO168" s="25">
        <v>8</v>
      </c>
      <c r="AP168" s="25">
        <v>4</v>
      </c>
      <c r="AQ168" s="25">
        <f t="shared" si="66"/>
        <v>20</v>
      </c>
      <c r="AR168" s="13"/>
      <c r="AS168" s="21"/>
      <c r="AT168" s="21"/>
      <c r="AU168" s="21">
        <v>5</v>
      </c>
      <c r="AV168" s="77"/>
      <c r="AW168" s="21"/>
      <c r="AX168" s="21"/>
      <c r="AY168" s="21"/>
      <c r="AZ168" s="21"/>
      <c r="BA168" s="21">
        <v>3</v>
      </c>
      <c r="BB168" s="21"/>
      <c r="BC168" s="77"/>
      <c r="BD168" s="21"/>
      <c r="BE168" s="21"/>
      <c r="BF168" s="21"/>
      <c r="BG168" s="21"/>
      <c r="BH168" s="21"/>
      <c r="BI168" s="21">
        <v>7</v>
      </c>
      <c r="BJ168" s="77"/>
      <c r="BK168" s="21"/>
      <c r="BL168" s="21"/>
      <c r="BM168" s="21"/>
      <c r="BN168" s="21"/>
      <c r="BO168" s="21"/>
      <c r="BP168" s="21"/>
      <c r="BQ168" s="77"/>
      <c r="BR168" s="21"/>
      <c r="BS168" s="21"/>
      <c r="BT168" s="21"/>
      <c r="BU168" s="21"/>
      <c r="BV168" s="21"/>
      <c r="BW168" s="79">
        <f t="shared" si="52"/>
        <v>15</v>
      </c>
      <c r="BX168" s="58">
        <f t="shared" si="53"/>
        <v>5</v>
      </c>
      <c r="BY168" s="26"/>
      <c r="BZ168" s="21"/>
      <c r="CA168" s="19" t="s">
        <v>305</v>
      </c>
      <c r="CB168" s="50" t="b">
        <f t="shared" si="65"/>
        <v>1</v>
      </c>
      <c r="CC168" s="50" t="s">
        <v>305</v>
      </c>
      <c r="CD168" s="19" t="s">
        <v>1306</v>
      </c>
      <c r="CE168" s="19" t="s">
        <v>1172</v>
      </c>
      <c r="CF168" s="19" t="s">
        <v>1173</v>
      </c>
      <c r="CG168" s="19" t="s">
        <v>1228</v>
      </c>
      <c r="CH168" s="19" t="s">
        <v>1229</v>
      </c>
      <c r="CI168" s="19" t="s">
        <v>1209</v>
      </c>
      <c r="CJ168" s="19" t="s">
        <v>1210</v>
      </c>
      <c r="CK168" s="19" t="s">
        <v>1307</v>
      </c>
      <c r="CL168" s="19" t="s">
        <v>1308</v>
      </c>
      <c r="CM168" s="19" t="s">
        <v>1309</v>
      </c>
      <c r="CN168" s="19" t="s">
        <v>1310</v>
      </c>
      <c r="CO168" s="19" t="s">
        <v>1311</v>
      </c>
      <c r="CP168" s="19" t="s">
        <v>1312</v>
      </c>
      <c r="CQ168" s="19" t="s">
        <v>1174</v>
      </c>
      <c r="CR168" s="19" t="s">
        <v>1175</v>
      </c>
      <c r="CS168" s="19" t="s">
        <v>1300</v>
      </c>
      <c r="CT168" s="19" t="s">
        <v>1301</v>
      </c>
      <c r="CU168" s="19" t="s">
        <v>1238</v>
      </c>
      <c r="CV168" s="19" t="s">
        <v>1239</v>
      </c>
      <c r="CW168" s="19" t="s">
        <v>1313</v>
      </c>
      <c r="CX168" s="19" t="s">
        <v>1314</v>
      </c>
      <c r="CY168" s="19"/>
      <c r="CZ168" s="19"/>
      <c r="DA168" s="19" t="s">
        <v>1304</v>
      </c>
      <c r="DB168" s="19" t="s">
        <v>1305</v>
      </c>
      <c r="DC168" s="19"/>
      <c r="DD168" s="19"/>
      <c r="DE168" s="19"/>
      <c r="DF168" s="19"/>
    </row>
    <row r="169" spans="1:110" x14ac:dyDescent="0.25">
      <c r="A169" s="19" t="s">
        <v>228</v>
      </c>
      <c r="B169" s="19" t="s">
        <v>80</v>
      </c>
      <c r="C169" s="19" t="str">
        <f t="shared" si="64"/>
        <v>91658507India</v>
      </c>
      <c r="D169" s="19">
        <v>91658507</v>
      </c>
      <c r="E169" s="19" t="s">
        <v>318</v>
      </c>
      <c r="F169" s="19" t="s">
        <v>261</v>
      </c>
      <c r="G169" s="20" t="s">
        <v>318</v>
      </c>
      <c r="H169" s="19"/>
      <c r="I169" s="19" t="s">
        <v>230</v>
      </c>
      <c r="J169" s="19" t="s">
        <v>296</v>
      </c>
      <c r="K169" s="19" t="s">
        <v>317</v>
      </c>
      <c r="L169" s="19" t="s">
        <v>279</v>
      </c>
      <c r="M169" s="19" t="s">
        <v>298</v>
      </c>
      <c r="N169" s="19" t="s">
        <v>284</v>
      </c>
      <c r="O169" s="19" t="s">
        <v>293</v>
      </c>
      <c r="P169" s="23" t="s">
        <v>285</v>
      </c>
      <c r="Q169" s="19" t="s">
        <v>307</v>
      </c>
      <c r="R169" s="19">
        <v>8900</v>
      </c>
      <c r="S169" s="19" t="s">
        <v>239</v>
      </c>
      <c r="T169" s="19" t="s">
        <v>287</v>
      </c>
      <c r="U169" s="20" t="s">
        <v>287</v>
      </c>
      <c r="V169" s="19" t="s">
        <v>118</v>
      </c>
      <c r="W169" s="19" t="s">
        <v>221</v>
      </c>
      <c r="X169" s="35">
        <v>12</v>
      </c>
      <c r="Y169" s="35">
        <v>10</v>
      </c>
      <c r="Z169" s="32"/>
      <c r="AA169" s="22">
        <v>5</v>
      </c>
      <c r="AB169" s="22">
        <v>3</v>
      </c>
      <c r="AC169" s="22">
        <v>3</v>
      </c>
      <c r="AD169" s="22">
        <v>4</v>
      </c>
      <c r="AE169" s="61">
        <f t="shared" si="61"/>
        <v>15</v>
      </c>
      <c r="AF169" s="22"/>
      <c r="AG169" s="40">
        <f t="shared" si="62"/>
        <v>15</v>
      </c>
      <c r="AH169" s="24"/>
      <c r="AI169" s="24"/>
      <c r="AJ169" s="24"/>
      <c r="AK169" s="24">
        <v>5</v>
      </c>
      <c r="AL169" s="23">
        <f t="shared" si="63"/>
        <v>20</v>
      </c>
      <c r="AM169" s="25">
        <v>5</v>
      </c>
      <c r="AN169" s="25">
        <v>3</v>
      </c>
      <c r="AO169" s="25">
        <v>8</v>
      </c>
      <c r="AP169" s="25">
        <v>4</v>
      </c>
      <c r="AQ169" s="25">
        <f t="shared" si="66"/>
        <v>20</v>
      </c>
      <c r="AR169" s="13"/>
      <c r="AS169" s="21"/>
      <c r="AT169" s="21">
        <v>5</v>
      </c>
      <c r="AU169" s="21"/>
      <c r="AV169" s="77"/>
      <c r="AW169" s="21"/>
      <c r="AX169" s="21"/>
      <c r="AY169" s="21"/>
      <c r="AZ169" s="21"/>
      <c r="BA169" s="21"/>
      <c r="BB169" s="21">
        <v>3</v>
      </c>
      <c r="BC169" s="77"/>
      <c r="BD169" s="21"/>
      <c r="BE169" s="21"/>
      <c r="BF169" s="21"/>
      <c r="BG169" s="21"/>
      <c r="BH169" s="21"/>
      <c r="BI169" s="21"/>
      <c r="BJ169" s="77"/>
      <c r="BK169" s="21"/>
      <c r="BL169" s="21">
        <v>7</v>
      </c>
      <c r="BM169" s="21"/>
      <c r="BN169" s="21"/>
      <c r="BO169" s="21"/>
      <c r="BP169" s="21"/>
      <c r="BQ169" s="77"/>
      <c r="BR169" s="21"/>
      <c r="BS169" s="21"/>
      <c r="BT169" s="21"/>
      <c r="BU169" s="21"/>
      <c r="BV169" s="21"/>
      <c r="BW169" s="79">
        <f t="shared" si="52"/>
        <v>15</v>
      </c>
      <c r="BX169" s="58">
        <f t="shared" si="53"/>
        <v>5</v>
      </c>
      <c r="BY169" s="26"/>
      <c r="BZ169" s="21"/>
      <c r="CA169" s="19" t="s">
        <v>318</v>
      </c>
      <c r="CB169" s="50" t="b">
        <f t="shared" si="65"/>
        <v>1</v>
      </c>
      <c r="CC169" s="50" t="s">
        <v>318</v>
      </c>
      <c r="CD169" s="19" t="s">
        <v>1315</v>
      </c>
      <c r="CE169" s="19" t="s">
        <v>1189</v>
      </c>
      <c r="CF169" s="19" t="s">
        <v>1190</v>
      </c>
      <c r="CG169" s="19" t="s">
        <v>1228</v>
      </c>
      <c r="CH169" s="19" t="s">
        <v>1229</v>
      </c>
      <c r="CI169" s="19" t="s">
        <v>1209</v>
      </c>
      <c r="CJ169" s="19" t="s">
        <v>1210</v>
      </c>
      <c r="CK169" s="19" t="s">
        <v>1294</v>
      </c>
      <c r="CL169" s="19" t="s">
        <v>1295</v>
      </c>
      <c r="CM169" s="19" t="s">
        <v>1296</v>
      </c>
      <c r="CN169" s="19" t="s">
        <v>1297</v>
      </c>
      <c r="CO169" s="19" t="s">
        <v>1298</v>
      </c>
      <c r="CP169" s="19" t="s">
        <v>1299</v>
      </c>
      <c r="CQ169" s="19" t="s">
        <v>1199</v>
      </c>
      <c r="CR169" s="19" t="s">
        <v>1200</v>
      </c>
      <c r="CS169" s="19" t="s">
        <v>1300</v>
      </c>
      <c r="CT169" s="19" t="s">
        <v>1301</v>
      </c>
      <c r="CU169" s="19" t="s">
        <v>1238</v>
      </c>
      <c r="CV169" s="19" t="s">
        <v>1239</v>
      </c>
      <c r="CW169" s="19" t="s">
        <v>1302</v>
      </c>
      <c r="CX169" s="19" t="s">
        <v>1303</v>
      </c>
      <c r="CY169" s="19"/>
      <c r="CZ169" s="19"/>
      <c r="DA169" s="19" t="s">
        <v>1304</v>
      </c>
      <c r="DB169" s="19" t="s">
        <v>1305</v>
      </c>
      <c r="DC169" s="19"/>
      <c r="DD169" s="19"/>
      <c r="DE169" s="19"/>
      <c r="DF169" s="19"/>
    </row>
    <row r="170" spans="1:110" x14ac:dyDescent="0.25">
      <c r="A170" s="19" t="s">
        <v>228</v>
      </c>
      <c r="B170" s="19" t="s">
        <v>80</v>
      </c>
      <c r="C170" s="19" t="str">
        <f t="shared" si="64"/>
        <v>91658768India</v>
      </c>
      <c r="D170" s="19">
        <v>91658768</v>
      </c>
      <c r="E170" s="19" t="s">
        <v>1584</v>
      </c>
      <c r="F170" s="19" t="s">
        <v>261</v>
      </c>
      <c r="G170" s="20" t="s">
        <v>1584</v>
      </c>
      <c r="H170" s="19"/>
      <c r="I170" s="19" t="s">
        <v>230</v>
      </c>
      <c r="J170" s="19" t="s">
        <v>296</v>
      </c>
      <c r="K170" s="19" t="s">
        <v>306</v>
      </c>
      <c r="L170" s="19" t="s">
        <v>279</v>
      </c>
      <c r="M170" s="19" t="s">
        <v>234</v>
      </c>
      <c r="N170" s="19" t="s">
        <v>284</v>
      </c>
      <c r="O170" s="19" t="s">
        <v>368</v>
      </c>
      <c r="P170" s="23" t="s">
        <v>285</v>
      </c>
      <c r="Q170" s="19" t="s">
        <v>307</v>
      </c>
      <c r="R170" s="19">
        <v>8900</v>
      </c>
      <c r="S170" s="19" t="s">
        <v>239</v>
      </c>
      <c r="T170" s="19" t="s">
        <v>287</v>
      </c>
      <c r="U170" s="20" t="s">
        <v>287</v>
      </c>
      <c r="V170" s="19" t="s">
        <v>1541</v>
      </c>
      <c r="W170" s="19" t="s">
        <v>222</v>
      </c>
      <c r="X170" s="35">
        <v>12</v>
      </c>
      <c r="Y170" s="35">
        <v>10</v>
      </c>
      <c r="Z170" s="32"/>
      <c r="AA170" s="22">
        <v>5</v>
      </c>
      <c r="AB170" s="22">
        <v>3</v>
      </c>
      <c r="AC170" s="22">
        <v>3</v>
      </c>
      <c r="AD170" s="22">
        <v>4</v>
      </c>
      <c r="AE170" s="61">
        <f t="shared" si="61"/>
        <v>15</v>
      </c>
      <c r="AF170" s="22"/>
      <c r="AG170" s="40">
        <f t="shared" si="62"/>
        <v>15</v>
      </c>
      <c r="AH170" s="24"/>
      <c r="AI170" s="24"/>
      <c r="AJ170" s="24"/>
      <c r="AK170" s="24">
        <v>5</v>
      </c>
      <c r="AL170" s="23">
        <f t="shared" si="63"/>
        <v>20</v>
      </c>
      <c r="AM170" s="25">
        <v>5</v>
      </c>
      <c r="AN170" s="25">
        <v>3</v>
      </c>
      <c r="AO170" s="25">
        <v>8</v>
      </c>
      <c r="AP170" s="25">
        <v>4</v>
      </c>
      <c r="AQ170" s="25">
        <f t="shared" si="66"/>
        <v>20</v>
      </c>
      <c r="AR170" s="13"/>
      <c r="AS170" s="21"/>
      <c r="AT170" s="21"/>
      <c r="AU170" s="21"/>
      <c r="AV170" s="77"/>
      <c r="AW170" s="21">
        <v>5</v>
      </c>
      <c r="AX170" s="21"/>
      <c r="AY170" s="21"/>
      <c r="AZ170" s="21"/>
      <c r="BA170" s="21"/>
      <c r="BB170" s="21"/>
      <c r="BC170" s="77"/>
      <c r="BD170" s="21">
        <v>3</v>
      </c>
      <c r="BE170" s="21"/>
      <c r="BF170" s="21"/>
      <c r="BG170" s="21"/>
      <c r="BH170" s="21"/>
      <c r="BI170" s="21"/>
      <c r="BJ170" s="77"/>
      <c r="BK170" s="21">
        <v>7</v>
      </c>
      <c r="BL170" s="21"/>
      <c r="BM170" s="21"/>
      <c r="BN170" s="21"/>
      <c r="BO170" s="21"/>
      <c r="BP170" s="21"/>
      <c r="BQ170" s="77"/>
      <c r="BR170" s="21"/>
      <c r="BS170" s="21"/>
      <c r="BT170" s="21"/>
      <c r="BU170" s="21"/>
      <c r="BV170" s="21"/>
      <c r="BW170" s="79">
        <f t="shared" si="52"/>
        <v>15</v>
      </c>
      <c r="BX170" s="58">
        <f t="shared" si="53"/>
        <v>5</v>
      </c>
      <c r="BY170" s="26"/>
      <c r="BZ170" s="21"/>
      <c r="CA170" s="19" t="s">
        <v>1584</v>
      </c>
      <c r="CB170" s="50" t="b">
        <f t="shared" si="65"/>
        <v>1</v>
      </c>
      <c r="CC170" s="50" t="s">
        <v>1584</v>
      </c>
      <c r="CD170" s="19" t="s">
        <v>1684</v>
      </c>
      <c r="CE170" s="19" t="s">
        <v>1172</v>
      </c>
      <c r="CF170" s="19" t="s">
        <v>1173</v>
      </c>
      <c r="CG170" s="19" t="s">
        <v>1228</v>
      </c>
      <c r="CH170" s="19" t="s">
        <v>1229</v>
      </c>
      <c r="CI170" s="19" t="s">
        <v>1209</v>
      </c>
      <c r="CJ170" s="19" t="s">
        <v>1210</v>
      </c>
      <c r="CK170" s="19" t="s">
        <v>1307</v>
      </c>
      <c r="CL170" s="19" t="s">
        <v>1308</v>
      </c>
      <c r="CM170" s="19" t="s">
        <v>1309</v>
      </c>
      <c r="CN170" s="19" t="s">
        <v>1310</v>
      </c>
      <c r="CO170" s="19" t="s">
        <v>1311</v>
      </c>
      <c r="CP170" s="19" t="s">
        <v>1312</v>
      </c>
      <c r="CQ170" s="19" t="s">
        <v>1174</v>
      </c>
      <c r="CR170" s="19" t="s">
        <v>1175</v>
      </c>
      <c r="CS170" s="19" t="s">
        <v>1300</v>
      </c>
      <c r="CT170" s="19" t="s">
        <v>1301</v>
      </c>
      <c r="CU170" s="19" t="s">
        <v>1238</v>
      </c>
      <c r="CV170" s="19" t="s">
        <v>1239</v>
      </c>
      <c r="CW170" s="19" t="s">
        <v>1313</v>
      </c>
      <c r="CX170" s="19" t="s">
        <v>1314</v>
      </c>
      <c r="CY170" s="19"/>
      <c r="CZ170" s="19"/>
      <c r="DA170" s="19" t="s">
        <v>1304</v>
      </c>
      <c r="DB170" s="19" t="s">
        <v>1305</v>
      </c>
      <c r="DC170" s="19"/>
      <c r="DD170" s="19"/>
      <c r="DE170" s="19"/>
      <c r="DF170" s="19"/>
    </row>
    <row r="171" spans="1:110" x14ac:dyDescent="0.25">
      <c r="A171" s="19" t="s">
        <v>228</v>
      </c>
      <c r="B171" s="19" t="s">
        <v>80</v>
      </c>
      <c r="C171" s="19" t="str">
        <f t="shared" si="64"/>
        <v>95406049India</v>
      </c>
      <c r="D171" s="19">
        <v>95406049</v>
      </c>
      <c r="E171" s="19" t="s">
        <v>309</v>
      </c>
      <c r="F171" s="19" t="s">
        <v>261</v>
      </c>
      <c r="G171" s="20" t="s">
        <v>309</v>
      </c>
      <c r="H171" s="19"/>
      <c r="I171" s="19" t="s">
        <v>230</v>
      </c>
      <c r="J171" s="19" t="s">
        <v>296</v>
      </c>
      <c r="K171" s="19" t="s">
        <v>310</v>
      </c>
      <c r="L171" s="19" t="s">
        <v>262</v>
      </c>
      <c r="M171" s="19" t="s">
        <v>308</v>
      </c>
      <c r="N171" s="19" t="s">
        <v>284</v>
      </c>
      <c r="O171" s="19" t="s">
        <v>311</v>
      </c>
      <c r="P171" s="23" t="s">
        <v>285</v>
      </c>
      <c r="Q171" s="19" t="s">
        <v>312</v>
      </c>
      <c r="R171" s="19">
        <v>10000</v>
      </c>
      <c r="S171" s="19" t="s">
        <v>239</v>
      </c>
      <c r="T171" s="19" t="s">
        <v>287</v>
      </c>
      <c r="U171" s="20" t="s">
        <v>287</v>
      </c>
      <c r="V171" s="19" t="s">
        <v>115</v>
      </c>
      <c r="W171" s="19" t="s">
        <v>221</v>
      </c>
      <c r="X171" s="35">
        <v>13</v>
      </c>
      <c r="Y171" s="35">
        <v>12</v>
      </c>
      <c r="Z171" s="32"/>
      <c r="AA171" s="22">
        <v>5</v>
      </c>
      <c r="AB171" s="22">
        <v>3</v>
      </c>
      <c r="AC171" s="22">
        <v>3</v>
      </c>
      <c r="AD171" s="22">
        <v>4</v>
      </c>
      <c r="AE171" s="61">
        <f t="shared" ref="AE171:AE176" si="67">SUM(AA171:AD171)</f>
        <v>15</v>
      </c>
      <c r="AF171" s="22"/>
      <c r="AG171" s="40">
        <f t="shared" ref="AG171:AG176" si="68">AF171+AE171</f>
        <v>15</v>
      </c>
      <c r="AH171" s="24"/>
      <c r="AI171" s="24"/>
      <c r="AJ171" s="24"/>
      <c r="AK171" s="24">
        <v>5</v>
      </c>
      <c r="AL171" s="23">
        <f t="shared" si="63"/>
        <v>20</v>
      </c>
      <c r="AM171" s="25">
        <v>5</v>
      </c>
      <c r="AN171" s="25">
        <v>3</v>
      </c>
      <c r="AO171" s="25">
        <v>8</v>
      </c>
      <c r="AP171" s="25">
        <v>4</v>
      </c>
      <c r="AQ171" s="25">
        <f t="shared" si="66"/>
        <v>20</v>
      </c>
      <c r="AR171" s="13"/>
      <c r="AS171" s="21"/>
      <c r="AT171" s="21"/>
      <c r="AU171" s="21"/>
      <c r="AV171" s="77"/>
      <c r="AW171" s="21">
        <v>5</v>
      </c>
      <c r="AX171" s="21"/>
      <c r="AY171" s="21"/>
      <c r="AZ171" s="21"/>
      <c r="BA171" s="21"/>
      <c r="BB171" s="21">
        <v>3</v>
      </c>
      <c r="BC171" s="77"/>
      <c r="BD171" s="21"/>
      <c r="BE171" s="21"/>
      <c r="BF171" s="21"/>
      <c r="BG171" s="21"/>
      <c r="BH171" s="21"/>
      <c r="BI171" s="21">
        <v>3</v>
      </c>
      <c r="BJ171" s="77"/>
      <c r="BK171" s="21">
        <v>4</v>
      </c>
      <c r="BL171" s="21"/>
      <c r="BM171" s="21"/>
      <c r="BN171" s="21"/>
      <c r="BO171" s="21"/>
      <c r="BP171" s="21"/>
      <c r="BQ171" s="77"/>
      <c r="BR171" s="21"/>
      <c r="BS171" s="21"/>
      <c r="BT171" s="21"/>
      <c r="BU171" s="21"/>
      <c r="BV171" s="21"/>
      <c r="BW171" s="79">
        <f t="shared" si="52"/>
        <v>15</v>
      </c>
      <c r="BX171" s="58">
        <f t="shared" si="53"/>
        <v>5</v>
      </c>
      <c r="BY171" s="26"/>
      <c r="BZ171" s="21"/>
      <c r="CA171" s="19" t="s">
        <v>309</v>
      </c>
      <c r="CB171" s="50" t="b">
        <f t="shared" si="65"/>
        <v>1</v>
      </c>
      <c r="CC171" s="52" t="s">
        <v>309</v>
      </c>
      <c r="CD171" s="19" t="s">
        <v>1316</v>
      </c>
      <c r="CE171" s="19" t="s">
        <v>1317</v>
      </c>
      <c r="CF171" s="19" t="s">
        <v>1318</v>
      </c>
      <c r="CG171" s="19" t="s">
        <v>1228</v>
      </c>
      <c r="CH171" s="19" t="s">
        <v>1229</v>
      </c>
      <c r="CI171" s="19" t="s">
        <v>1319</v>
      </c>
      <c r="CJ171" s="19" t="s">
        <v>1320</v>
      </c>
      <c r="CK171" s="19" t="s">
        <v>1321</v>
      </c>
      <c r="CL171" s="19" t="s">
        <v>1322</v>
      </c>
      <c r="CM171" s="19" t="s">
        <v>1323</v>
      </c>
      <c r="CN171" s="19" t="s">
        <v>1324</v>
      </c>
      <c r="CO171" s="19" t="s">
        <v>1325</v>
      </c>
      <c r="CP171" s="19" t="s">
        <v>1326</v>
      </c>
      <c r="CQ171" s="19" t="s">
        <v>1327</v>
      </c>
      <c r="CR171" s="19" t="s">
        <v>1328</v>
      </c>
      <c r="CS171" s="19" t="s">
        <v>1329</v>
      </c>
      <c r="CT171" s="19" t="s">
        <v>1330</v>
      </c>
      <c r="CU171" s="19" t="s">
        <v>1331</v>
      </c>
      <c r="CV171" s="19" t="s">
        <v>1332</v>
      </c>
      <c r="CW171" s="19" t="s">
        <v>1333</v>
      </c>
      <c r="CX171" s="19" t="s">
        <v>1334</v>
      </c>
      <c r="CY171" s="19"/>
      <c r="CZ171" s="19"/>
      <c r="DA171" s="19"/>
      <c r="DB171" s="19"/>
      <c r="DC171" s="19"/>
      <c r="DD171" s="19"/>
      <c r="DE171" s="19"/>
      <c r="DF171" s="19"/>
    </row>
    <row r="172" spans="1:110" x14ac:dyDescent="0.25">
      <c r="A172" s="19" t="s">
        <v>228</v>
      </c>
      <c r="B172" s="19" t="s">
        <v>80</v>
      </c>
      <c r="C172" s="19" t="str">
        <f t="shared" si="64"/>
        <v>95307320India</v>
      </c>
      <c r="D172" s="19">
        <v>95307320</v>
      </c>
      <c r="E172" s="19" t="s">
        <v>101</v>
      </c>
      <c r="F172" s="19" t="s">
        <v>261</v>
      </c>
      <c r="G172" s="20" t="s">
        <v>101</v>
      </c>
      <c r="H172" s="19"/>
      <c r="I172" s="19" t="s">
        <v>230</v>
      </c>
      <c r="J172" s="19" t="s">
        <v>296</v>
      </c>
      <c r="K172" s="19" t="s">
        <v>313</v>
      </c>
      <c r="L172" s="19" t="s">
        <v>279</v>
      </c>
      <c r="M172" s="19" t="s">
        <v>308</v>
      </c>
      <c r="N172" s="19" t="s">
        <v>284</v>
      </c>
      <c r="O172" s="19" t="s">
        <v>311</v>
      </c>
      <c r="P172" s="23" t="s">
        <v>285</v>
      </c>
      <c r="Q172" s="19" t="s">
        <v>314</v>
      </c>
      <c r="R172" s="19">
        <v>12000</v>
      </c>
      <c r="S172" s="19" t="s">
        <v>239</v>
      </c>
      <c r="T172" s="19" t="s">
        <v>287</v>
      </c>
      <c r="U172" s="20" t="s">
        <v>287</v>
      </c>
      <c r="V172" s="19" t="s">
        <v>116</v>
      </c>
      <c r="W172" s="19" t="s">
        <v>221</v>
      </c>
      <c r="X172" s="35">
        <v>25</v>
      </c>
      <c r="Y172" s="35">
        <v>23</v>
      </c>
      <c r="Z172" s="32"/>
      <c r="AA172" s="22">
        <v>10</v>
      </c>
      <c r="AB172" s="22">
        <v>5</v>
      </c>
      <c r="AC172" s="22">
        <v>10</v>
      </c>
      <c r="AD172" s="22">
        <v>5</v>
      </c>
      <c r="AE172" s="61">
        <f t="shared" si="67"/>
        <v>30</v>
      </c>
      <c r="AF172" s="22"/>
      <c r="AG172" s="40">
        <f t="shared" si="68"/>
        <v>30</v>
      </c>
      <c r="AH172" s="24"/>
      <c r="AI172" s="24"/>
      <c r="AJ172" s="24"/>
      <c r="AK172" s="24">
        <v>10</v>
      </c>
      <c r="AL172" s="23">
        <f t="shared" si="63"/>
        <v>40</v>
      </c>
      <c r="AM172" s="25">
        <v>10</v>
      </c>
      <c r="AN172" s="25">
        <v>5</v>
      </c>
      <c r="AO172" s="25">
        <v>10</v>
      </c>
      <c r="AP172" s="25">
        <v>15</v>
      </c>
      <c r="AQ172" s="25">
        <f t="shared" si="66"/>
        <v>40</v>
      </c>
      <c r="AR172" s="13"/>
      <c r="AS172" s="21"/>
      <c r="AT172" s="21">
        <v>5</v>
      </c>
      <c r="AU172" s="21">
        <v>5</v>
      </c>
      <c r="AV172" s="77"/>
      <c r="AW172" s="21"/>
      <c r="AX172" s="21"/>
      <c r="AY172" s="21"/>
      <c r="AZ172" s="21"/>
      <c r="BA172" s="21">
        <v>5</v>
      </c>
      <c r="BB172" s="21"/>
      <c r="BC172" s="77"/>
      <c r="BD172" s="21"/>
      <c r="BE172" s="21"/>
      <c r="BF172" s="21"/>
      <c r="BG172" s="21"/>
      <c r="BH172" s="21"/>
      <c r="BI172" s="21">
        <v>5</v>
      </c>
      <c r="BJ172" s="77"/>
      <c r="BK172" s="21">
        <v>5</v>
      </c>
      <c r="BL172" s="21"/>
      <c r="BM172" s="21"/>
      <c r="BN172" s="21"/>
      <c r="BO172" s="21">
        <v>5</v>
      </c>
      <c r="BP172" s="21"/>
      <c r="BQ172" s="77"/>
      <c r="BR172" s="21"/>
      <c r="BS172" s="21"/>
      <c r="BT172" s="21"/>
      <c r="BU172" s="21"/>
      <c r="BV172" s="21"/>
      <c r="BW172" s="79">
        <f t="shared" si="52"/>
        <v>30</v>
      </c>
      <c r="BX172" s="58">
        <f t="shared" si="53"/>
        <v>10</v>
      </c>
      <c r="BY172" s="26"/>
      <c r="BZ172" s="21"/>
      <c r="CA172" s="19" t="s">
        <v>101</v>
      </c>
      <c r="CB172" s="50" t="b">
        <f t="shared" si="65"/>
        <v>1</v>
      </c>
      <c r="CC172" s="52" t="s">
        <v>101</v>
      </c>
      <c r="CD172" s="19" t="s">
        <v>122</v>
      </c>
      <c r="CE172" s="19" t="s">
        <v>1335</v>
      </c>
      <c r="CF172" s="19" t="s">
        <v>1336</v>
      </c>
      <c r="CG172" s="19" t="s">
        <v>1228</v>
      </c>
      <c r="CH172" s="19" t="s">
        <v>1229</v>
      </c>
      <c r="CI172" s="19" t="s">
        <v>1253</v>
      </c>
      <c r="CJ172" s="19" t="s">
        <v>1254</v>
      </c>
      <c r="CK172" s="19" t="s">
        <v>1337</v>
      </c>
      <c r="CL172" s="19" t="s">
        <v>1338</v>
      </c>
      <c r="CM172" s="19" t="s">
        <v>1339</v>
      </c>
      <c r="CN172" s="19" t="s">
        <v>1340</v>
      </c>
      <c r="CO172" s="19" t="s">
        <v>1341</v>
      </c>
      <c r="CP172" s="19" t="s">
        <v>1342</v>
      </c>
      <c r="CQ172" s="19" t="s">
        <v>1343</v>
      </c>
      <c r="CR172" s="19" t="s">
        <v>1344</v>
      </c>
      <c r="CS172" s="19" t="s">
        <v>1345</v>
      </c>
      <c r="CT172" s="19" t="s">
        <v>1346</v>
      </c>
      <c r="CU172" s="19" t="s">
        <v>1347</v>
      </c>
      <c r="CV172" s="19" t="s">
        <v>1348</v>
      </c>
      <c r="CW172" s="19" t="s">
        <v>1349</v>
      </c>
      <c r="CX172" s="19" t="s">
        <v>1350</v>
      </c>
      <c r="CY172" s="19"/>
      <c r="CZ172" s="19"/>
      <c r="DA172" s="19" t="s">
        <v>1351</v>
      </c>
      <c r="DB172" s="19" t="s">
        <v>1352</v>
      </c>
      <c r="DC172" s="19"/>
      <c r="DD172" s="19"/>
      <c r="DE172" s="19"/>
      <c r="DF172" s="19"/>
    </row>
    <row r="173" spans="1:110" x14ac:dyDescent="0.25">
      <c r="A173" s="19" t="s">
        <v>228</v>
      </c>
      <c r="B173" s="19" t="s">
        <v>80</v>
      </c>
      <c r="C173" s="19" t="str">
        <f t="shared" si="64"/>
        <v>95305833India</v>
      </c>
      <c r="D173" s="19">
        <v>95305833</v>
      </c>
      <c r="E173" s="19" t="s">
        <v>102</v>
      </c>
      <c r="F173" s="19" t="s">
        <v>261</v>
      </c>
      <c r="G173" s="20" t="s">
        <v>102</v>
      </c>
      <c r="H173" s="19"/>
      <c r="I173" s="19" t="s">
        <v>230</v>
      </c>
      <c r="J173" s="19" t="s">
        <v>296</v>
      </c>
      <c r="K173" s="19" t="s">
        <v>313</v>
      </c>
      <c r="L173" s="19" t="s">
        <v>279</v>
      </c>
      <c r="M173" s="19" t="s">
        <v>308</v>
      </c>
      <c r="N173" s="19" t="s">
        <v>284</v>
      </c>
      <c r="O173" s="19" t="s">
        <v>311</v>
      </c>
      <c r="P173" s="23" t="s">
        <v>285</v>
      </c>
      <c r="Q173" s="19" t="s">
        <v>314</v>
      </c>
      <c r="R173" s="19">
        <v>12000</v>
      </c>
      <c r="S173" s="19" t="s">
        <v>239</v>
      </c>
      <c r="T173" s="19" t="s">
        <v>287</v>
      </c>
      <c r="U173" s="20" t="s">
        <v>287</v>
      </c>
      <c r="V173" s="19" t="s">
        <v>117</v>
      </c>
      <c r="W173" s="19" t="s">
        <v>221</v>
      </c>
      <c r="X173" s="35">
        <v>18</v>
      </c>
      <c r="Y173" s="35">
        <v>15</v>
      </c>
      <c r="Z173" s="32"/>
      <c r="AA173" s="22">
        <v>5</v>
      </c>
      <c r="AB173" s="22">
        <v>5</v>
      </c>
      <c r="AC173" s="22">
        <v>5</v>
      </c>
      <c r="AD173" s="22">
        <v>5</v>
      </c>
      <c r="AE173" s="61">
        <f t="shared" si="67"/>
        <v>20</v>
      </c>
      <c r="AF173" s="22"/>
      <c r="AG173" s="40">
        <f t="shared" si="68"/>
        <v>20</v>
      </c>
      <c r="AH173" s="24"/>
      <c r="AI173" s="24"/>
      <c r="AJ173" s="24"/>
      <c r="AK173" s="24">
        <v>5</v>
      </c>
      <c r="AL173" s="23">
        <f t="shared" si="63"/>
        <v>25</v>
      </c>
      <c r="AM173" s="25">
        <v>5</v>
      </c>
      <c r="AN173" s="25">
        <v>5</v>
      </c>
      <c r="AO173" s="25">
        <v>5</v>
      </c>
      <c r="AP173" s="25">
        <v>10</v>
      </c>
      <c r="AQ173" s="25">
        <f t="shared" si="66"/>
        <v>25</v>
      </c>
      <c r="AR173" s="13"/>
      <c r="AS173" s="21"/>
      <c r="AT173" s="21"/>
      <c r="AU173" s="21"/>
      <c r="AV173" s="77"/>
      <c r="AW173" s="21"/>
      <c r="AX173" s="21">
        <v>5</v>
      </c>
      <c r="AY173" s="21"/>
      <c r="AZ173" s="21"/>
      <c r="BA173" s="21">
        <v>5</v>
      </c>
      <c r="BB173" s="21"/>
      <c r="BC173" s="77"/>
      <c r="BD173" s="21"/>
      <c r="BE173" s="21"/>
      <c r="BF173" s="21"/>
      <c r="BG173" s="21"/>
      <c r="BH173" s="21"/>
      <c r="BI173" s="21">
        <v>5</v>
      </c>
      <c r="BJ173" s="77"/>
      <c r="BK173" s="21"/>
      <c r="BL173" s="21"/>
      <c r="BM173" s="21"/>
      <c r="BN173" s="21"/>
      <c r="BO173" s="21">
        <v>5</v>
      </c>
      <c r="BP173" s="21"/>
      <c r="BQ173" s="77"/>
      <c r="BR173" s="21"/>
      <c r="BS173" s="21"/>
      <c r="BT173" s="21"/>
      <c r="BU173" s="21"/>
      <c r="BV173" s="21"/>
      <c r="BW173" s="79">
        <f t="shared" si="52"/>
        <v>20</v>
      </c>
      <c r="BX173" s="58">
        <f t="shared" si="53"/>
        <v>5</v>
      </c>
      <c r="BY173" s="26"/>
      <c r="BZ173" s="21"/>
      <c r="CA173" s="19" t="s">
        <v>102</v>
      </c>
      <c r="CB173" s="50" t="b">
        <f t="shared" si="65"/>
        <v>1</v>
      </c>
      <c r="CC173" s="52" t="s">
        <v>102</v>
      </c>
      <c r="CD173" s="19" t="s">
        <v>123</v>
      </c>
      <c r="CE173" s="19" t="s">
        <v>1335</v>
      </c>
      <c r="CF173" s="19" t="s">
        <v>1336</v>
      </c>
      <c r="CG173" s="19" t="s">
        <v>1228</v>
      </c>
      <c r="CH173" s="19" t="s">
        <v>1229</v>
      </c>
      <c r="CI173" s="19" t="s">
        <v>1319</v>
      </c>
      <c r="CJ173" s="19" t="s">
        <v>1320</v>
      </c>
      <c r="CK173" s="19" t="s">
        <v>1337</v>
      </c>
      <c r="CL173" s="19" t="s">
        <v>1338</v>
      </c>
      <c r="CM173" s="19" t="s">
        <v>1353</v>
      </c>
      <c r="CN173" s="19" t="s">
        <v>1354</v>
      </c>
      <c r="CO173" s="19" t="s">
        <v>1355</v>
      </c>
      <c r="CP173" s="19" t="s">
        <v>1356</v>
      </c>
      <c r="CQ173" s="19" t="s">
        <v>1343</v>
      </c>
      <c r="CR173" s="19" t="s">
        <v>1344</v>
      </c>
      <c r="CS173" s="19" t="s">
        <v>1345</v>
      </c>
      <c r="CT173" s="19" t="s">
        <v>1346</v>
      </c>
      <c r="CU173" s="19" t="s">
        <v>1357</v>
      </c>
      <c r="CV173" s="19" t="s">
        <v>1332</v>
      </c>
      <c r="CW173" s="19" t="s">
        <v>1349</v>
      </c>
      <c r="CX173" s="19" t="s">
        <v>1350</v>
      </c>
      <c r="CY173" s="19"/>
      <c r="CZ173" s="19"/>
      <c r="DA173" s="19" t="s">
        <v>1351</v>
      </c>
      <c r="DB173" s="19" t="s">
        <v>1352</v>
      </c>
      <c r="DC173" s="19"/>
      <c r="DD173" s="19"/>
      <c r="DE173" s="19"/>
      <c r="DF173" s="19"/>
    </row>
    <row r="174" spans="1:110" x14ac:dyDescent="0.25">
      <c r="A174" s="19" t="s">
        <v>228</v>
      </c>
      <c r="B174" s="19" t="s">
        <v>80</v>
      </c>
      <c r="C174" s="19" t="str">
        <f t="shared" si="64"/>
        <v>95359117India</v>
      </c>
      <c r="D174" s="19">
        <v>95359117</v>
      </c>
      <c r="E174" s="19" t="s">
        <v>101</v>
      </c>
      <c r="F174" s="19" t="s">
        <v>261</v>
      </c>
      <c r="G174" s="20" t="s">
        <v>101</v>
      </c>
      <c r="H174" s="19"/>
      <c r="I174" s="19" t="s">
        <v>230</v>
      </c>
      <c r="J174" s="19" t="s">
        <v>296</v>
      </c>
      <c r="K174" s="19" t="s">
        <v>313</v>
      </c>
      <c r="L174" s="19" t="s">
        <v>279</v>
      </c>
      <c r="M174" s="19" t="s">
        <v>308</v>
      </c>
      <c r="N174" s="19" t="s">
        <v>284</v>
      </c>
      <c r="O174" s="19" t="s">
        <v>293</v>
      </c>
      <c r="P174" s="23" t="s">
        <v>285</v>
      </c>
      <c r="Q174" s="19" t="s">
        <v>314</v>
      </c>
      <c r="R174" s="19">
        <v>12000</v>
      </c>
      <c r="S174" s="19" t="s">
        <v>239</v>
      </c>
      <c r="T174" s="19" t="s">
        <v>287</v>
      </c>
      <c r="U174" s="20" t="s">
        <v>287</v>
      </c>
      <c r="V174" s="19" t="s">
        <v>1542</v>
      </c>
      <c r="W174" s="19" t="s">
        <v>221</v>
      </c>
      <c r="X174" s="35">
        <v>13</v>
      </c>
      <c r="Y174" s="35">
        <v>12</v>
      </c>
      <c r="Z174" s="32"/>
      <c r="AA174" s="22">
        <v>5</v>
      </c>
      <c r="AB174" s="22">
        <v>3</v>
      </c>
      <c r="AC174" s="22">
        <v>3</v>
      </c>
      <c r="AD174" s="22">
        <v>4</v>
      </c>
      <c r="AE174" s="61">
        <f t="shared" si="67"/>
        <v>15</v>
      </c>
      <c r="AF174" s="22"/>
      <c r="AG174" s="40">
        <f t="shared" si="68"/>
        <v>15</v>
      </c>
      <c r="AH174" s="24"/>
      <c r="AI174" s="24"/>
      <c r="AJ174" s="24"/>
      <c r="AK174" s="24">
        <v>5</v>
      </c>
      <c r="AL174" s="23">
        <f t="shared" si="63"/>
        <v>20</v>
      </c>
      <c r="AM174" s="25">
        <v>5</v>
      </c>
      <c r="AN174" s="25">
        <v>3</v>
      </c>
      <c r="AO174" s="25">
        <v>3</v>
      </c>
      <c r="AP174" s="25">
        <v>9</v>
      </c>
      <c r="AQ174" s="25">
        <f t="shared" si="66"/>
        <v>20</v>
      </c>
      <c r="AR174" s="13"/>
      <c r="AS174" s="21"/>
      <c r="AT174" s="21"/>
      <c r="AU174" s="21"/>
      <c r="AV174" s="77"/>
      <c r="AW174" s="21"/>
      <c r="AX174" s="21"/>
      <c r="AY174" s="21">
        <v>5</v>
      </c>
      <c r="AZ174" s="21"/>
      <c r="BA174" s="21"/>
      <c r="BB174" s="21">
        <v>3</v>
      </c>
      <c r="BC174" s="77"/>
      <c r="BD174" s="21"/>
      <c r="BE174" s="21"/>
      <c r="BF174" s="21"/>
      <c r="BG174" s="21"/>
      <c r="BH174" s="21"/>
      <c r="BI174" s="21"/>
      <c r="BJ174" s="77"/>
      <c r="BK174" s="21">
        <v>3</v>
      </c>
      <c r="BL174" s="21"/>
      <c r="BM174" s="21"/>
      <c r="BN174" s="21"/>
      <c r="BO174" s="21"/>
      <c r="BP174" s="21"/>
      <c r="BQ174" s="77"/>
      <c r="BR174" s="21"/>
      <c r="BS174" s="21"/>
      <c r="BT174" s="21"/>
      <c r="BU174" s="21"/>
      <c r="BV174" s="21"/>
      <c r="BW174" s="79">
        <f t="shared" si="52"/>
        <v>11</v>
      </c>
      <c r="BX174" s="58">
        <f t="shared" si="53"/>
        <v>9</v>
      </c>
      <c r="BY174" s="26"/>
      <c r="BZ174" s="21"/>
      <c r="CA174" s="19" t="s">
        <v>101</v>
      </c>
      <c r="CB174" s="50" t="b">
        <f t="shared" si="65"/>
        <v>1</v>
      </c>
      <c r="CC174" s="52" t="s">
        <v>101</v>
      </c>
      <c r="CD174" s="19" t="s">
        <v>122</v>
      </c>
      <c r="CE174" s="19" t="s">
        <v>1335</v>
      </c>
      <c r="CF174" s="19" t="s">
        <v>1336</v>
      </c>
      <c r="CG174" s="19" t="s">
        <v>1228</v>
      </c>
      <c r="CH174" s="19" t="s">
        <v>1229</v>
      </c>
      <c r="CI174" s="19" t="s">
        <v>1253</v>
      </c>
      <c r="CJ174" s="19" t="s">
        <v>1254</v>
      </c>
      <c r="CK174" s="19" t="s">
        <v>1337</v>
      </c>
      <c r="CL174" s="19" t="s">
        <v>1338</v>
      </c>
      <c r="CM174" s="19" t="s">
        <v>1339</v>
      </c>
      <c r="CN174" s="19" t="s">
        <v>1340</v>
      </c>
      <c r="CO174" s="19" t="s">
        <v>1341</v>
      </c>
      <c r="CP174" s="19" t="s">
        <v>1342</v>
      </c>
      <c r="CQ174" s="19" t="s">
        <v>1343</v>
      </c>
      <c r="CR174" s="19" t="s">
        <v>1344</v>
      </c>
      <c r="CS174" s="19" t="s">
        <v>1345</v>
      </c>
      <c r="CT174" s="19" t="s">
        <v>1346</v>
      </c>
      <c r="CU174" s="19" t="s">
        <v>1347</v>
      </c>
      <c r="CV174" s="19" t="s">
        <v>1348</v>
      </c>
      <c r="CW174" s="19" t="s">
        <v>1349</v>
      </c>
      <c r="CX174" s="19" t="s">
        <v>1350</v>
      </c>
      <c r="CY174" s="19"/>
      <c r="CZ174" s="19"/>
      <c r="DA174" s="19" t="s">
        <v>1351</v>
      </c>
      <c r="DB174" s="19" t="s">
        <v>1352</v>
      </c>
      <c r="DC174" s="19"/>
      <c r="DD174" s="19"/>
      <c r="DE174" s="19"/>
      <c r="DF174" s="19"/>
    </row>
    <row r="175" spans="1:110" x14ac:dyDescent="0.25">
      <c r="A175" s="19" t="s">
        <v>224</v>
      </c>
      <c r="B175" s="19" t="s">
        <v>224</v>
      </c>
      <c r="C175" s="19" t="str">
        <f t="shared" si="64"/>
        <v>95450739NPI Proj</v>
      </c>
      <c r="D175" s="19">
        <v>95450739</v>
      </c>
      <c r="E175" s="19" t="s">
        <v>496</v>
      </c>
      <c r="F175" s="19" t="s">
        <v>261</v>
      </c>
      <c r="G175" s="20" t="s">
        <v>496</v>
      </c>
      <c r="H175" s="19"/>
      <c r="I175" s="19" t="s">
        <v>230</v>
      </c>
      <c r="J175" s="19" t="s">
        <v>296</v>
      </c>
      <c r="K175" s="19" t="s">
        <v>313</v>
      </c>
      <c r="L175" s="19" t="s">
        <v>279</v>
      </c>
      <c r="M175" s="19" t="s">
        <v>308</v>
      </c>
      <c r="N175" s="19" t="s">
        <v>284</v>
      </c>
      <c r="O175" s="19" t="s">
        <v>311</v>
      </c>
      <c r="P175" s="23" t="s">
        <v>285</v>
      </c>
      <c r="Q175" s="19" t="s">
        <v>314</v>
      </c>
      <c r="R175" s="19">
        <v>12000</v>
      </c>
      <c r="S175" s="19" t="s">
        <v>239</v>
      </c>
      <c r="T175" s="19" t="s">
        <v>287</v>
      </c>
      <c r="U175" s="20" t="s">
        <v>287</v>
      </c>
      <c r="V175" s="19" t="s">
        <v>1618</v>
      </c>
      <c r="W175" s="19"/>
      <c r="X175" s="35"/>
      <c r="Y175" s="35"/>
      <c r="Z175" s="32"/>
      <c r="AA175" s="22"/>
      <c r="AB175" s="22"/>
      <c r="AC175" s="22"/>
      <c r="AD175" s="22">
        <v>3</v>
      </c>
      <c r="AE175" s="61">
        <f t="shared" si="67"/>
        <v>3</v>
      </c>
      <c r="AF175" s="22"/>
      <c r="AG175" s="40">
        <f t="shared" si="68"/>
        <v>3</v>
      </c>
      <c r="AH175" s="24"/>
      <c r="AI175" s="24"/>
      <c r="AJ175" s="24"/>
      <c r="AK175" s="24"/>
      <c r="AL175" s="23">
        <f t="shared" si="63"/>
        <v>3</v>
      </c>
      <c r="AM175" s="25"/>
      <c r="AN175" s="25"/>
      <c r="AO175" s="25"/>
      <c r="AP175" s="25">
        <v>3</v>
      </c>
      <c r="AQ175" s="25">
        <f t="shared" si="66"/>
        <v>3</v>
      </c>
      <c r="AR175" s="13"/>
      <c r="AS175" s="21"/>
      <c r="AT175" s="21"/>
      <c r="AU175" s="21"/>
      <c r="AV175" s="77"/>
      <c r="AW175" s="21"/>
      <c r="AX175" s="21"/>
      <c r="AY175" s="21"/>
      <c r="AZ175" s="21"/>
      <c r="BA175" s="21"/>
      <c r="BB175" s="21"/>
      <c r="BC175" s="77"/>
      <c r="BD175" s="21"/>
      <c r="BE175" s="21"/>
      <c r="BF175" s="21"/>
      <c r="BG175" s="21"/>
      <c r="BH175" s="21"/>
      <c r="BI175" s="21"/>
      <c r="BJ175" s="77"/>
      <c r="BK175" s="21"/>
      <c r="BL175" s="21"/>
      <c r="BM175" s="21"/>
      <c r="BN175" s="21"/>
      <c r="BO175" s="21"/>
      <c r="BP175" s="21"/>
      <c r="BQ175" s="77"/>
      <c r="BR175" s="21"/>
      <c r="BS175" s="21"/>
      <c r="BT175" s="21"/>
      <c r="BU175" s="21"/>
      <c r="BV175" s="21"/>
      <c r="BW175" s="79">
        <f t="shared" si="52"/>
        <v>0</v>
      </c>
      <c r="BX175" s="58">
        <f t="shared" si="53"/>
        <v>3</v>
      </c>
      <c r="BY175" s="26"/>
      <c r="BZ175" s="21"/>
      <c r="CA175" s="19" t="s">
        <v>496</v>
      </c>
      <c r="CB175" s="50" t="b">
        <f t="shared" si="65"/>
        <v>1</v>
      </c>
      <c r="CC175" s="52" t="s">
        <v>496</v>
      </c>
      <c r="CD175" s="19" t="s">
        <v>1359</v>
      </c>
      <c r="CE175" s="19" t="s">
        <v>1360</v>
      </c>
      <c r="CF175" s="19" t="s">
        <v>1361</v>
      </c>
      <c r="CG175" s="19" t="s">
        <v>1362</v>
      </c>
      <c r="CH175" s="19" t="s">
        <v>1229</v>
      </c>
      <c r="CI175" s="19" t="s">
        <v>1363</v>
      </c>
      <c r="CJ175" s="19" t="s">
        <v>1364</v>
      </c>
      <c r="CK175" s="19" t="s">
        <v>1365</v>
      </c>
      <c r="CL175" s="19" t="s">
        <v>1358</v>
      </c>
      <c r="CM175" s="19" t="s">
        <v>1366</v>
      </c>
      <c r="CN175" s="19" t="s">
        <v>1367</v>
      </c>
      <c r="CO175" s="19" t="s">
        <v>1368</v>
      </c>
      <c r="CP175" s="19" t="s">
        <v>1369</v>
      </c>
      <c r="CQ175" s="19" t="s">
        <v>1370</v>
      </c>
      <c r="CR175" s="19" t="s">
        <v>1371</v>
      </c>
      <c r="CS175" s="19" t="s">
        <v>1372</v>
      </c>
      <c r="CT175" s="19" t="s">
        <v>1373</v>
      </c>
      <c r="CU175" s="19" t="s">
        <v>1374</v>
      </c>
      <c r="CV175" s="19" t="s">
        <v>1375</v>
      </c>
      <c r="CW175" s="19" t="s">
        <v>1376</v>
      </c>
      <c r="CX175" s="19" t="s">
        <v>1264</v>
      </c>
      <c r="CY175" s="19"/>
      <c r="CZ175" s="19"/>
      <c r="DA175" s="19" t="s">
        <v>1377</v>
      </c>
      <c r="DB175" s="19" t="s">
        <v>1378</v>
      </c>
      <c r="DC175" s="19"/>
      <c r="DD175" s="19"/>
      <c r="DE175" s="19"/>
      <c r="DF175" s="19"/>
    </row>
    <row r="176" spans="1:110" x14ac:dyDescent="0.25">
      <c r="A176" s="19" t="s">
        <v>224</v>
      </c>
      <c r="B176" s="19" t="s">
        <v>224</v>
      </c>
      <c r="C176" s="19" t="str">
        <f t="shared" si="64"/>
        <v>95450741NPI Proj</v>
      </c>
      <c r="D176" s="19">
        <v>95450741</v>
      </c>
      <c r="E176" s="19" t="s">
        <v>497</v>
      </c>
      <c r="F176" s="19" t="s">
        <v>261</v>
      </c>
      <c r="G176" s="20" t="s">
        <v>497</v>
      </c>
      <c r="H176" s="19"/>
      <c r="I176" s="19" t="s">
        <v>230</v>
      </c>
      <c r="J176" s="19" t="s">
        <v>296</v>
      </c>
      <c r="K176" s="19" t="s">
        <v>313</v>
      </c>
      <c r="L176" s="19" t="s">
        <v>279</v>
      </c>
      <c r="M176" s="19" t="s">
        <v>308</v>
      </c>
      <c r="N176" s="19" t="s">
        <v>284</v>
      </c>
      <c r="O176" s="19" t="s">
        <v>293</v>
      </c>
      <c r="P176" s="23" t="s">
        <v>285</v>
      </c>
      <c r="Q176" s="19" t="s">
        <v>314</v>
      </c>
      <c r="R176" s="19">
        <v>12000</v>
      </c>
      <c r="S176" s="19" t="s">
        <v>239</v>
      </c>
      <c r="T176" s="19" t="s">
        <v>287</v>
      </c>
      <c r="U176" s="20" t="s">
        <v>287</v>
      </c>
      <c r="V176" s="19" t="s">
        <v>1619</v>
      </c>
      <c r="W176" s="19"/>
      <c r="X176" s="35"/>
      <c r="Y176" s="35"/>
      <c r="Z176" s="32"/>
      <c r="AA176" s="22"/>
      <c r="AB176" s="22"/>
      <c r="AC176" s="22"/>
      <c r="AD176" s="22">
        <v>2</v>
      </c>
      <c r="AE176" s="61">
        <f t="shared" si="67"/>
        <v>2</v>
      </c>
      <c r="AF176" s="22"/>
      <c r="AG176" s="40">
        <f t="shared" si="68"/>
        <v>2</v>
      </c>
      <c r="AH176" s="24"/>
      <c r="AI176" s="24"/>
      <c r="AJ176" s="24"/>
      <c r="AK176" s="24"/>
      <c r="AL176" s="23">
        <f t="shared" si="63"/>
        <v>2</v>
      </c>
      <c r="AM176" s="25"/>
      <c r="AN176" s="25"/>
      <c r="AO176" s="25"/>
      <c r="AP176" s="25">
        <v>2</v>
      </c>
      <c r="AQ176" s="25">
        <f t="shared" si="66"/>
        <v>2</v>
      </c>
      <c r="AR176" s="13"/>
      <c r="AS176" s="21"/>
      <c r="AT176" s="21"/>
      <c r="AU176" s="21"/>
      <c r="AV176" s="77"/>
      <c r="AW176" s="21"/>
      <c r="AX176" s="21"/>
      <c r="AY176" s="21"/>
      <c r="AZ176" s="21"/>
      <c r="BA176" s="21"/>
      <c r="BB176" s="21"/>
      <c r="BC176" s="77"/>
      <c r="BD176" s="21"/>
      <c r="BE176" s="21"/>
      <c r="BF176" s="21"/>
      <c r="BG176" s="21"/>
      <c r="BH176" s="21"/>
      <c r="BI176" s="21"/>
      <c r="BJ176" s="77"/>
      <c r="BK176" s="21"/>
      <c r="BL176" s="21"/>
      <c r="BM176" s="21"/>
      <c r="BN176" s="21"/>
      <c r="BO176" s="21"/>
      <c r="BP176" s="21"/>
      <c r="BQ176" s="77"/>
      <c r="BR176" s="21"/>
      <c r="BS176" s="21"/>
      <c r="BT176" s="21"/>
      <c r="BU176" s="21"/>
      <c r="BV176" s="21"/>
      <c r="BW176" s="79">
        <f t="shared" si="52"/>
        <v>0</v>
      </c>
      <c r="BX176" s="58">
        <f t="shared" si="53"/>
        <v>2</v>
      </c>
      <c r="BY176" s="26"/>
      <c r="BZ176" s="21"/>
      <c r="CA176" s="19" t="s">
        <v>497</v>
      </c>
      <c r="CB176" s="50" t="b">
        <f t="shared" si="65"/>
        <v>1</v>
      </c>
      <c r="CC176" s="52" t="s">
        <v>497</v>
      </c>
      <c r="CD176" s="19" t="s">
        <v>1379</v>
      </c>
      <c r="CE176" s="19" t="s">
        <v>1360</v>
      </c>
      <c r="CF176" s="19" t="s">
        <v>1361</v>
      </c>
      <c r="CG176" s="19" t="s">
        <v>1362</v>
      </c>
      <c r="CH176" s="19" t="s">
        <v>1229</v>
      </c>
      <c r="CI176" s="19" t="s">
        <v>1363</v>
      </c>
      <c r="CJ176" s="19" t="s">
        <v>1364</v>
      </c>
      <c r="CK176" s="19" t="s">
        <v>1365</v>
      </c>
      <c r="CL176" s="19" t="s">
        <v>1358</v>
      </c>
      <c r="CM176" s="19" t="s">
        <v>1380</v>
      </c>
      <c r="CN176" s="19" t="s">
        <v>1381</v>
      </c>
      <c r="CO176" s="19" t="s">
        <v>1368</v>
      </c>
      <c r="CP176" s="19" t="s">
        <v>1369</v>
      </c>
      <c r="CQ176" s="19" t="s">
        <v>1370</v>
      </c>
      <c r="CR176" s="19" t="s">
        <v>1371</v>
      </c>
      <c r="CS176" s="19" t="s">
        <v>1372</v>
      </c>
      <c r="CT176" s="19" t="s">
        <v>1373</v>
      </c>
      <c r="CU176" s="19" t="s">
        <v>1374</v>
      </c>
      <c r="CV176" s="19" t="s">
        <v>1375</v>
      </c>
      <c r="CW176" s="19" t="s">
        <v>1376</v>
      </c>
      <c r="CX176" s="19" t="s">
        <v>1264</v>
      </c>
      <c r="CY176" s="19"/>
      <c r="CZ176" s="19"/>
      <c r="DA176" s="19" t="s">
        <v>1377</v>
      </c>
      <c r="DB176" s="19" t="s">
        <v>1378</v>
      </c>
      <c r="DC176" s="19"/>
      <c r="DD176" s="19"/>
      <c r="DE176" s="19"/>
      <c r="DF176" s="19"/>
    </row>
  </sheetData>
  <mergeCells count="1">
    <mergeCell ref="X1:Y1"/>
  </mergeCells>
  <conditionalFormatting sqref="D1:D1048576">
    <cfRule type="duplicateValues" dxfId="0" priority="1"/>
  </conditionalFormatting>
  <pageMargins left="0.7" right="0.7" top="0.75" bottom="0.75" header="0.3" footer="0.3"/>
  <pageSetup scale="23" orientation="portrait" horizontalDpi="300" verticalDpi="0" r:id="rId1"/>
  <colBreaks count="2" manualBreakCount="2">
    <brk id="21" max="591" man="1"/>
    <brk id="8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E9018-9555-40F6-A213-ADBCEC0213B8}">
  <dimension ref="A1:DC211"/>
  <sheetViews>
    <sheetView showGridLines="0" zoomScale="90" zoomScaleNormal="90" workbookViewId="0">
      <pane xSplit="9" ySplit="4" topLeftCell="AM190" activePane="bottomRight" state="frozen"/>
      <selection pane="topRight" activeCell="K1" sqref="K1"/>
      <selection pane="bottomLeft" activeCell="A4" sqref="A4"/>
      <selection pane="bottomRight" activeCell="BT5" sqref="BT5:BT211"/>
    </sheetView>
  </sheetViews>
  <sheetFormatPr defaultColWidth="9.140625" defaultRowHeight="12.75" x14ac:dyDescent="0.25"/>
  <cols>
    <col min="1" max="1" width="7" style="6" customWidth="1"/>
    <col min="2" max="2" width="11.85546875" style="6" customWidth="1"/>
    <col min="3" max="3" width="11.85546875" style="6" hidden="1" customWidth="1"/>
    <col min="4" max="4" width="10" style="6" bestFit="1" customWidth="1"/>
    <col min="5" max="5" width="14.140625" style="7" hidden="1" customWidth="1"/>
    <col min="6" max="6" width="14.140625" style="6" hidden="1" customWidth="1"/>
    <col min="7" max="7" width="11.42578125" style="6" customWidth="1"/>
    <col min="8" max="8" width="9.28515625" style="6" hidden="1" customWidth="1"/>
    <col min="9" max="9" width="13.28515625" style="6" customWidth="1"/>
    <col min="10" max="10" width="12.85546875" style="6" customWidth="1"/>
    <col min="11" max="11" width="19.85546875" style="6" customWidth="1"/>
    <col min="12" max="12" width="4.7109375" style="6" customWidth="1"/>
    <col min="13" max="13" width="19.7109375" style="6" customWidth="1"/>
    <col min="14" max="14" width="4.7109375" style="6" customWidth="1"/>
    <col min="15" max="15" width="8.140625" style="6" customWidth="1"/>
    <col min="16" max="16" width="8.85546875" style="6" customWidth="1"/>
    <col min="17" max="17" width="14.85546875" style="6" customWidth="1"/>
    <col min="18" max="18" width="6" style="6" customWidth="1"/>
    <col min="19" max="19" width="13.85546875" style="6" customWidth="1"/>
    <col min="20" max="21" width="10.28515625" style="6" customWidth="1"/>
    <col min="22" max="22" width="40.42578125" style="6" customWidth="1"/>
    <col min="23" max="23" width="10" style="6" customWidth="1"/>
    <col min="24" max="24" width="6.28515625" style="8" customWidth="1"/>
    <col min="25" max="26" width="7" style="8" customWidth="1"/>
    <col min="27" max="27" width="6.140625" style="8" customWidth="1"/>
    <col min="28" max="31" width="4.85546875" style="8" customWidth="1"/>
    <col min="32" max="32" width="5.42578125" style="8" bestFit="1" customWidth="1"/>
    <col min="33" max="33" width="7.7109375" style="8" bestFit="1" customWidth="1"/>
    <col min="34" max="34" width="8.28515625" style="8" customWidth="1"/>
    <col min="35" max="35" width="5.85546875" style="8" bestFit="1" customWidth="1"/>
    <col min="36" max="36" width="11" style="8" customWidth="1"/>
    <col min="37" max="37" width="6.28515625" style="8" customWidth="1"/>
    <col min="38" max="40" width="4.85546875" style="8" customWidth="1"/>
    <col min="41" max="41" width="5.42578125" style="8" customWidth="1"/>
    <col min="42" max="42" width="5.28515625" style="28" bestFit="1" customWidth="1"/>
    <col min="43" max="44" width="4.42578125" style="8" customWidth="1"/>
    <col min="45" max="45" width="4.7109375" style="8" customWidth="1"/>
    <col min="46" max="50" width="4" style="8" bestFit="1" customWidth="1"/>
    <col min="51" max="51" width="2" style="8" bestFit="1" customWidth="1"/>
    <col min="52" max="57" width="4" style="8" bestFit="1" customWidth="1"/>
    <col min="58" max="58" width="3" style="8" bestFit="1" customWidth="1"/>
    <col min="59" max="59" width="4" style="8" bestFit="1" customWidth="1"/>
    <col min="60" max="65" width="3" style="8" bestFit="1" customWidth="1"/>
    <col min="66" max="66" width="3.85546875" style="8" bestFit="1" customWidth="1"/>
    <col min="67" max="68" width="3" style="8" bestFit="1" customWidth="1"/>
    <col min="69" max="70" width="4" style="8" bestFit="1" customWidth="1"/>
    <col min="71" max="71" width="4" style="8" customWidth="1"/>
    <col min="72" max="72" width="5" style="8" customWidth="1"/>
    <col min="73" max="73" width="5.28515625" style="8" hidden="1" customWidth="1"/>
    <col min="74" max="74" width="23" style="6" customWidth="1"/>
    <col min="75" max="75" width="5.7109375" style="8" customWidth="1"/>
    <col min="76" max="77" width="11.42578125" style="6" customWidth="1"/>
    <col min="78" max="78" width="10" style="6" bestFit="1" customWidth="1"/>
    <col min="79" max="79" width="40.28515625" style="6" bestFit="1" customWidth="1"/>
    <col min="80" max="80" width="43" style="6" bestFit="1" customWidth="1"/>
    <col min="81" max="81" width="12.85546875" style="6" bestFit="1" customWidth="1"/>
    <col min="82" max="82" width="10.5703125" style="6" bestFit="1" customWidth="1"/>
    <col min="83" max="83" width="37.85546875" style="6" bestFit="1" customWidth="1"/>
    <col min="84" max="84" width="15.85546875" style="6" bestFit="1" customWidth="1"/>
    <col min="85" max="85" width="40" style="6" bestFit="1" customWidth="1"/>
    <col min="86" max="86" width="13" style="6" bestFit="1" customWidth="1"/>
    <col min="87" max="87" width="39" style="6" bestFit="1" customWidth="1"/>
    <col min="88" max="88" width="10.140625" style="6" bestFit="1" customWidth="1"/>
    <col min="89" max="89" width="40.42578125" style="6" bestFit="1" customWidth="1"/>
    <col min="90" max="90" width="12.7109375" style="6" bestFit="1" customWidth="1"/>
    <col min="91" max="91" width="42.7109375" style="6" bestFit="1" customWidth="1"/>
    <col min="92" max="92" width="13.85546875" style="6" bestFit="1" customWidth="1"/>
    <col min="93" max="93" width="40.42578125" style="6" bestFit="1" customWidth="1"/>
    <col min="94" max="94" width="13.7109375" style="6" bestFit="1" customWidth="1"/>
    <col min="95" max="95" width="37.28515625" style="6" bestFit="1" customWidth="1"/>
    <col min="96" max="96" width="9.28515625" style="6" bestFit="1" customWidth="1"/>
    <col min="97" max="97" width="41.5703125" style="6" bestFit="1" customWidth="1"/>
    <col min="98" max="98" width="14" style="6" bestFit="1" customWidth="1"/>
    <col min="99" max="99" width="14.5703125" style="6" bestFit="1" customWidth="1"/>
    <col min="100" max="100" width="7.85546875" style="6" bestFit="1" customWidth="1"/>
    <col min="101" max="101" width="12.140625" style="6" bestFit="1" customWidth="1"/>
    <col min="102" max="102" width="15.140625" style="6" bestFit="1" customWidth="1"/>
    <col min="103" max="103" width="15.5703125" style="6" bestFit="1" customWidth="1"/>
    <col min="104" max="104" width="15.140625" style="6" bestFit="1" customWidth="1"/>
    <col min="105" max="105" width="15.5703125" style="6" bestFit="1" customWidth="1"/>
    <col min="106" max="106" width="12.140625" style="6" bestFit="1" customWidth="1"/>
    <col min="107" max="107" width="12.7109375" style="6" bestFit="1" customWidth="1"/>
    <col min="108" max="108" width="9.7109375" style="6" bestFit="1" customWidth="1"/>
    <col min="109" max="109" width="10.140625" style="6" bestFit="1" customWidth="1"/>
    <col min="110" max="16384" width="9.140625" style="6"/>
  </cols>
  <sheetData>
    <row r="1" spans="1:107" x14ac:dyDescent="0.25">
      <c r="AQ1" s="97"/>
      <c r="AR1" s="97"/>
      <c r="AS1" s="97">
        <v>1</v>
      </c>
      <c r="AT1" s="97">
        <v>2</v>
      </c>
      <c r="AU1" s="97">
        <v>3</v>
      </c>
      <c r="AV1" s="97">
        <v>4</v>
      </c>
      <c r="AW1" s="97">
        <v>5</v>
      </c>
      <c r="AX1" s="97">
        <v>6</v>
      </c>
      <c r="AY1" s="97">
        <v>7</v>
      </c>
      <c r="AZ1" s="97">
        <v>8</v>
      </c>
      <c r="BA1" s="97">
        <v>9</v>
      </c>
      <c r="BB1" s="97">
        <v>10</v>
      </c>
      <c r="BC1" s="97">
        <v>11</v>
      </c>
      <c r="BD1" s="97">
        <v>12</v>
      </c>
      <c r="BE1" s="97">
        <v>13</v>
      </c>
      <c r="BF1" s="97">
        <v>14</v>
      </c>
      <c r="BG1" s="97">
        <v>15</v>
      </c>
      <c r="BH1" s="97">
        <v>16</v>
      </c>
      <c r="BI1" s="97">
        <v>17</v>
      </c>
      <c r="BJ1" s="97">
        <v>18</v>
      </c>
      <c r="BK1" s="97">
        <v>19</v>
      </c>
      <c r="BL1" s="97">
        <v>20</v>
      </c>
      <c r="BM1" s="97">
        <v>21</v>
      </c>
      <c r="BN1" s="97">
        <v>22</v>
      </c>
      <c r="BO1" s="97">
        <v>23</v>
      </c>
      <c r="BP1" s="97">
        <v>24</v>
      </c>
      <c r="BQ1" s="97">
        <v>25</v>
      </c>
      <c r="BR1" s="97">
        <v>26</v>
      </c>
      <c r="BS1" s="97">
        <v>27</v>
      </c>
    </row>
    <row r="2" spans="1:107" s="1" customFormat="1" ht="15.75" x14ac:dyDescent="0.25">
      <c r="E2" s="2"/>
      <c r="V2" s="46"/>
      <c r="X2" s="148" t="s">
        <v>0</v>
      </c>
      <c r="Y2" s="148"/>
      <c r="Z2" s="29"/>
      <c r="AA2" s="36" t="s">
        <v>1731</v>
      </c>
      <c r="AB2" s="37"/>
      <c r="AC2" s="37"/>
      <c r="AD2" s="37"/>
      <c r="AE2" s="37"/>
      <c r="AF2" s="38"/>
      <c r="AG2" s="38"/>
      <c r="AH2" s="3">
        <f>AE3-AH3-AO3</f>
        <v>-977</v>
      </c>
      <c r="AI2" s="3"/>
      <c r="AJ2" s="56">
        <f>AO3/23</f>
        <v>124.56521739130434</v>
      </c>
      <c r="AK2" s="49" t="s">
        <v>72</v>
      </c>
      <c r="AL2" s="4"/>
      <c r="AM2" s="4"/>
      <c r="AN2" s="4"/>
      <c r="AO2" s="4"/>
      <c r="AP2" s="5"/>
      <c r="AQ2" s="44">
        <f t="shared" ref="AQ2:AR2" si="0">SUBTOTAL(9,AQ5:AQ3178)</f>
        <v>245</v>
      </c>
      <c r="AR2" s="44">
        <f t="shared" si="0"/>
        <v>248</v>
      </c>
      <c r="AS2" s="44">
        <f t="shared" ref="AS2:BT2" si="1">SUBTOTAL(9,AS5:AS3178)</f>
        <v>276</v>
      </c>
      <c r="AT2" s="44">
        <f t="shared" si="1"/>
        <v>132</v>
      </c>
      <c r="AU2" s="44">
        <f t="shared" si="1"/>
        <v>120</v>
      </c>
      <c r="AV2" s="44">
        <f t="shared" si="1"/>
        <v>107</v>
      </c>
      <c r="AW2" s="44">
        <f t="shared" si="1"/>
        <v>98</v>
      </c>
      <c r="AX2" s="44">
        <f t="shared" si="1"/>
        <v>97</v>
      </c>
      <c r="AY2" s="87">
        <f t="shared" si="1"/>
        <v>0</v>
      </c>
      <c r="AZ2" s="44">
        <f t="shared" si="1"/>
        <v>138</v>
      </c>
      <c r="BA2" s="44">
        <f t="shared" si="1"/>
        <v>149</v>
      </c>
      <c r="BB2" s="44">
        <f t="shared" si="1"/>
        <v>100</v>
      </c>
      <c r="BC2" s="44">
        <f t="shared" si="1"/>
        <v>83</v>
      </c>
      <c r="BD2" s="44">
        <f t="shared" si="1"/>
        <v>130</v>
      </c>
      <c r="BE2" s="44">
        <f t="shared" si="1"/>
        <v>126</v>
      </c>
      <c r="BF2" s="87">
        <f t="shared" si="1"/>
        <v>0</v>
      </c>
      <c r="BG2" s="44">
        <f t="shared" si="1"/>
        <v>134</v>
      </c>
      <c r="BH2" s="44">
        <f t="shared" si="1"/>
        <v>103</v>
      </c>
      <c r="BI2" s="44">
        <f t="shared" si="1"/>
        <v>77</v>
      </c>
      <c r="BJ2" s="44">
        <f t="shared" si="1"/>
        <v>42</v>
      </c>
      <c r="BK2" s="44">
        <f t="shared" si="1"/>
        <v>22</v>
      </c>
      <c r="BL2" s="44">
        <f t="shared" si="1"/>
        <v>28</v>
      </c>
      <c r="BM2" s="87">
        <f t="shared" si="1"/>
        <v>0</v>
      </c>
      <c r="BN2" s="44">
        <f t="shared" si="1"/>
        <v>5</v>
      </c>
      <c r="BO2" s="44">
        <f t="shared" si="1"/>
        <v>0</v>
      </c>
      <c r="BP2" s="44">
        <f t="shared" si="1"/>
        <v>0</v>
      </c>
      <c r="BQ2" s="44">
        <f t="shared" si="1"/>
        <v>14</v>
      </c>
      <c r="BR2" s="44">
        <f t="shared" si="1"/>
        <v>30</v>
      </c>
      <c r="BS2" s="44">
        <f t="shared" si="1"/>
        <v>17</v>
      </c>
      <c r="BT2" s="44">
        <f t="shared" si="1"/>
        <v>2521</v>
      </c>
      <c r="BU2" s="3"/>
      <c r="BW2" s="3"/>
    </row>
    <row r="3" spans="1:107" ht="21" x14ac:dyDescent="0.25">
      <c r="A3" s="88" t="s">
        <v>1729</v>
      </c>
      <c r="V3" s="47"/>
      <c r="X3" s="33">
        <f>SUBTOTAL(9,X5:X37478)</f>
        <v>1702</v>
      </c>
      <c r="Y3" s="33">
        <f>SUBTOTAL(9,Y5:Y37478)</f>
        <v>1328</v>
      </c>
      <c r="Z3" s="30">
        <f>SUBTOTAL(9,Z5:Z1607)</f>
        <v>358</v>
      </c>
      <c r="AA3" s="39">
        <f>SUBTOTAL(9,AA5:AA37478)</f>
        <v>1227</v>
      </c>
      <c r="AB3" s="39">
        <f>SUBTOTAL(9,AB5:AB37478)</f>
        <v>478</v>
      </c>
      <c r="AC3" s="39">
        <f>SUBTOTAL(9,AC5:AC37478)</f>
        <v>454</v>
      </c>
      <c r="AD3" s="39">
        <f>SUBTOTAL(9,AD5:AD37478)</f>
        <v>427</v>
      </c>
      <c r="AE3" s="59">
        <f>SUBTOTAL(9,AE5:AE37478)</f>
        <v>2586</v>
      </c>
      <c r="AF3" s="39">
        <f>SUBTOTAL(9,AF5:AF3178)</f>
        <v>430</v>
      </c>
      <c r="AG3" s="39">
        <f>SUBTOTAL(9,AG5:AG3178)</f>
        <v>3016</v>
      </c>
      <c r="AH3" s="30">
        <f>SUBTOTAL(9,AH5:AH2548)</f>
        <v>698</v>
      </c>
      <c r="AI3" s="30">
        <f>SUBTOTAL(9,AI5:AI2548)</f>
        <v>648</v>
      </c>
      <c r="AJ3" s="42">
        <f>SUBTOTAL(9,AJ5:AJ3178)</f>
        <v>2999</v>
      </c>
      <c r="AK3" s="30">
        <f>SUBTOTAL(9,AK5:AK35408)</f>
        <v>806</v>
      </c>
      <c r="AL3" s="30">
        <f>SUBTOTAL(9,AL5:AL35408)</f>
        <v>1007</v>
      </c>
      <c r="AM3" s="30">
        <f>SUBTOTAL(9,AM5:AM35408)</f>
        <v>747</v>
      </c>
      <c r="AN3" s="30">
        <f>SUBTOTAL(9,AN5:AN35408)</f>
        <v>305</v>
      </c>
      <c r="AO3" s="30">
        <f>SUBTOTAL(9,AO5:AO35408)</f>
        <v>2865</v>
      </c>
      <c r="AP3" s="30">
        <f>SUBTOTAL(9,AP5:AP515)</f>
        <v>698</v>
      </c>
      <c r="AQ3" s="99">
        <v>1</v>
      </c>
      <c r="AR3" s="99">
        <v>2</v>
      </c>
      <c r="AS3" s="99">
        <v>3</v>
      </c>
      <c r="AT3" s="99">
        <f>AS3+1</f>
        <v>4</v>
      </c>
      <c r="AU3" s="99">
        <f t="shared" ref="AU3:BS3" si="2">AT3+1</f>
        <v>5</v>
      </c>
      <c r="AV3" s="99">
        <f t="shared" si="2"/>
        <v>6</v>
      </c>
      <c r="AW3" s="99">
        <v>8</v>
      </c>
      <c r="AX3" s="99">
        <f t="shared" si="2"/>
        <v>9</v>
      </c>
      <c r="AY3" s="86"/>
      <c r="AZ3" s="99">
        <v>10</v>
      </c>
      <c r="BA3" s="99">
        <f t="shared" si="2"/>
        <v>11</v>
      </c>
      <c r="BB3" s="99">
        <f t="shared" si="2"/>
        <v>12</v>
      </c>
      <c r="BC3" s="99">
        <f t="shared" si="2"/>
        <v>13</v>
      </c>
      <c r="BD3" s="99">
        <v>15</v>
      </c>
      <c r="BE3" s="99">
        <f t="shared" si="2"/>
        <v>16</v>
      </c>
      <c r="BF3" s="86"/>
      <c r="BG3" s="99">
        <v>17</v>
      </c>
      <c r="BH3" s="99">
        <f t="shared" si="2"/>
        <v>18</v>
      </c>
      <c r="BI3" s="99">
        <f t="shared" si="2"/>
        <v>19</v>
      </c>
      <c r="BJ3" s="99">
        <f t="shared" si="2"/>
        <v>20</v>
      </c>
      <c r="BK3" s="99">
        <v>22</v>
      </c>
      <c r="BL3" s="99">
        <f t="shared" si="2"/>
        <v>23</v>
      </c>
      <c r="BM3" s="86"/>
      <c r="BN3" s="99">
        <v>24</v>
      </c>
      <c r="BO3" s="99">
        <f t="shared" si="2"/>
        <v>25</v>
      </c>
      <c r="BP3" s="99">
        <f t="shared" si="2"/>
        <v>26</v>
      </c>
      <c r="BQ3" s="99">
        <f t="shared" si="2"/>
        <v>27</v>
      </c>
      <c r="BR3" s="99">
        <v>29</v>
      </c>
      <c r="BS3" s="99">
        <f t="shared" si="2"/>
        <v>30</v>
      </c>
      <c r="BT3" s="86"/>
      <c r="BU3" s="86"/>
      <c r="BV3" s="1"/>
    </row>
    <row r="4" spans="1:107" s="1" customFormat="1" ht="30" customHeight="1" x14ac:dyDescent="0.25">
      <c r="A4" s="9" t="s">
        <v>4</v>
      </c>
      <c r="B4" s="10" t="s">
        <v>5</v>
      </c>
      <c r="C4" s="10"/>
      <c r="D4" s="10" t="s">
        <v>6</v>
      </c>
      <c r="E4" s="9" t="s">
        <v>7</v>
      </c>
      <c r="F4" s="10" t="s">
        <v>8</v>
      </c>
      <c r="G4" s="11" t="s">
        <v>9</v>
      </c>
      <c r="H4" s="9" t="s">
        <v>10</v>
      </c>
      <c r="I4" s="10" t="s">
        <v>11</v>
      </c>
      <c r="J4" s="10" t="s">
        <v>12</v>
      </c>
      <c r="K4" s="10" t="s">
        <v>13</v>
      </c>
      <c r="L4" s="10" t="s">
        <v>14</v>
      </c>
      <c r="M4" s="10" t="s">
        <v>15</v>
      </c>
      <c r="N4" s="10" t="s">
        <v>16</v>
      </c>
      <c r="O4" s="10" t="s">
        <v>17</v>
      </c>
      <c r="P4" s="23" t="s">
        <v>18</v>
      </c>
      <c r="Q4" s="10" t="s">
        <v>19</v>
      </c>
      <c r="R4" s="10" t="s">
        <v>20</v>
      </c>
      <c r="S4" s="10" t="s">
        <v>21</v>
      </c>
      <c r="T4" s="9" t="s">
        <v>22</v>
      </c>
      <c r="U4" s="41" t="s">
        <v>23</v>
      </c>
      <c r="V4" s="48" t="s">
        <v>24</v>
      </c>
      <c r="W4" s="9" t="s">
        <v>25</v>
      </c>
      <c r="X4" s="34" t="s">
        <v>1528</v>
      </c>
      <c r="Y4" s="34" t="s">
        <v>1730</v>
      </c>
      <c r="Z4" s="31" t="s">
        <v>26</v>
      </c>
      <c r="AA4" s="40" t="s">
        <v>27</v>
      </c>
      <c r="AB4" s="40" t="s">
        <v>28</v>
      </c>
      <c r="AC4" s="40" t="s">
        <v>29</v>
      </c>
      <c r="AD4" s="40" t="s">
        <v>30</v>
      </c>
      <c r="AE4" s="60" t="s">
        <v>32</v>
      </c>
      <c r="AF4" s="12" t="s">
        <v>31</v>
      </c>
      <c r="AG4" s="12" t="s">
        <v>1565</v>
      </c>
      <c r="AH4" s="15" t="s">
        <v>1869</v>
      </c>
      <c r="AI4" s="15" t="s">
        <v>71</v>
      </c>
      <c r="AJ4" s="14" t="s">
        <v>35</v>
      </c>
      <c r="AK4" s="16" t="s">
        <v>27</v>
      </c>
      <c r="AL4" s="16" t="s">
        <v>36</v>
      </c>
      <c r="AM4" s="16" t="s">
        <v>37</v>
      </c>
      <c r="AN4" s="16" t="s">
        <v>38</v>
      </c>
      <c r="AO4" s="16" t="s">
        <v>32</v>
      </c>
      <c r="AP4" s="17" t="s">
        <v>33</v>
      </c>
      <c r="AQ4" s="98" t="s">
        <v>1728</v>
      </c>
      <c r="AR4" s="98" t="s">
        <v>1728</v>
      </c>
      <c r="AS4" s="98">
        <v>1</v>
      </c>
      <c r="AT4" s="98">
        <v>2</v>
      </c>
      <c r="AU4" s="98">
        <v>3</v>
      </c>
      <c r="AV4" s="98">
        <v>4</v>
      </c>
      <c r="AW4" s="98">
        <v>5</v>
      </c>
      <c r="AX4" s="98">
        <v>6</v>
      </c>
      <c r="AY4" s="13">
        <v>7</v>
      </c>
      <c r="AZ4" s="98">
        <v>8</v>
      </c>
      <c r="BA4" s="98">
        <v>9</v>
      </c>
      <c r="BB4" s="98">
        <v>10</v>
      </c>
      <c r="BC4" s="98">
        <v>11</v>
      </c>
      <c r="BD4" s="98">
        <v>12</v>
      </c>
      <c r="BE4" s="98">
        <v>13</v>
      </c>
      <c r="BF4" s="13">
        <v>14</v>
      </c>
      <c r="BG4" s="98">
        <v>15</v>
      </c>
      <c r="BH4" s="98">
        <v>16</v>
      </c>
      <c r="BI4" s="98">
        <v>17</v>
      </c>
      <c r="BJ4" s="98">
        <v>18</v>
      </c>
      <c r="BK4" s="98">
        <v>19</v>
      </c>
      <c r="BL4" s="98">
        <v>20</v>
      </c>
      <c r="BM4" s="13">
        <v>21</v>
      </c>
      <c r="BN4" s="98">
        <v>22</v>
      </c>
      <c r="BO4" s="98">
        <v>23</v>
      </c>
      <c r="BP4" s="98">
        <v>24</v>
      </c>
      <c r="BQ4" s="98">
        <v>25</v>
      </c>
      <c r="BR4" s="98">
        <v>26</v>
      </c>
      <c r="BS4" s="98">
        <v>27</v>
      </c>
      <c r="BT4" s="96" t="s">
        <v>32</v>
      </c>
      <c r="BU4" s="93" t="s">
        <v>1722</v>
      </c>
      <c r="BV4" s="10" t="s">
        <v>39</v>
      </c>
      <c r="BW4" s="3"/>
      <c r="BX4" s="26" t="s">
        <v>9</v>
      </c>
      <c r="BY4" s="26"/>
      <c r="BZ4" s="26" t="s">
        <v>40</v>
      </c>
      <c r="CA4" s="26" t="s">
        <v>41</v>
      </c>
      <c r="CB4" s="18" t="s">
        <v>42</v>
      </c>
      <c r="CC4" s="18" t="s">
        <v>43</v>
      </c>
      <c r="CD4" s="18" t="s">
        <v>44</v>
      </c>
      <c r="CE4" s="18" t="s">
        <v>45</v>
      </c>
      <c r="CF4" s="18" t="s">
        <v>46</v>
      </c>
      <c r="CG4" s="18" t="s">
        <v>47</v>
      </c>
      <c r="CH4" s="18" t="s">
        <v>48</v>
      </c>
      <c r="CI4" s="18" t="s">
        <v>49</v>
      </c>
      <c r="CJ4" s="18" t="s">
        <v>50</v>
      </c>
      <c r="CK4" s="18" t="s">
        <v>51</v>
      </c>
      <c r="CL4" s="18" t="s">
        <v>52</v>
      </c>
      <c r="CM4" s="18" t="s">
        <v>53</v>
      </c>
      <c r="CN4" s="18" t="s">
        <v>54</v>
      </c>
      <c r="CO4" s="18" t="s">
        <v>55</v>
      </c>
      <c r="CP4" s="18" t="s">
        <v>56</v>
      </c>
      <c r="CQ4" s="18" t="s">
        <v>57</v>
      </c>
      <c r="CR4" s="18" t="s">
        <v>58</v>
      </c>
      <c r="CS4" s="18" t="s">
        <v>59</v>
      </c>
      <c r="CT4" s="18" t="s">
        <v>60</v>
      </c>
      <c r="CU4" s="18" t="s">
        <v>61</v>
      </c>
      <c r="CV4" s="18" t="s">
        <v>62</v>
      </c>
      <c r="CW4" s="18" t="s">
        <v>63</v>
      </c>
      <c r="CX4" s="18" t="s">
        <v>64</v>
      </c>
      <c r="CY4" s="18" t="s">
        <v>65</v>
      </c>
      <c r="CZ4" s="18" t="s">
        <v>66</v>
      </c>
      <c r="DA4" s="18" t="s">
        <v>67</v>
      </c>
      <c r="DB4" s="18" t="s">
        <v>69</v>
      </c>
      <c r="DC4" s="18" t="s">
        <v>70</v>
      </c>
    </row>
    <row r="5" spans="1:107" s="7" customFormat="1" x14ac:dyDescent="0.25">
      <c r="A5" s="19" t="s">
        <v>81</v>
      </c>
      <c r="B5" s="19" t="s">
        <v>86</v>
      </c>
      <c r="C5" s="19" t="str">
        <f t="shared" ref="C5:C33" si="3">D5&amp;B5</f>
        <v>85909495MOZAMBIQUE</v>
      </c>
      <c r="D5" s="19">
        <v>85909495</v>
      </c>
      <c r="E5" s="19" t="s">
        <v>336</v>
      </c>
      <c r="F5" s="19" t="s">
        <v>261</v>
      </c>
      <c r="G5" s="20" t="s">
        <v>336</v>
      </c>
      <c r="H5" s="19"/>
      <c r="I5" s="19" t="s">
        <v>230</v>
      </c>
      <c r="J5" s="19" t="s">
        <v>337</v>
      </c>
      <c r="K5" s="19" t="s">
        <v>338</v>
      </c>
      <c r="L5" s="19" t="s">
        <v>245</v>
      </c>
      <c r="M5" s="19" t="s">
        <v>234</v>
      </c>
      <c r="N5" s="19" t="s">
        <v>247</v>
      </c>
      <c r="O5" s="19" t="s">
        <v>374</v>
      </c>
      <c r="P5" s="51" t="s">
        <v>237</v>
      </c>
      <c r="Q5" s="19" t="s">
        <v>339</v>
      </c>
      <c r="R5" s="19">
        <v>70</v>
      </c>
      <c r="S5" s="19" t="s">
        <v>239</v>
      </c>
      <c r="T5" s="19" t="s">
        <v>263</v>
      </c>
      <c r="U5" s="20" t="s">
        <v>263</v>
      </c>
      <c r="V5" s="19" t="s">
        <v>131</v>
      </c>
      <c r="W5" s="19" t="s">
        <v>219</v>
      </c>
      <c r="X5" s="35"/>
      <c r="Y5" s="35">
        <v>2</v>
      </c>
      <c r="Z5" s="32"/>
      <c r="AA5" s="22"/>
      <c r="AB5" s="22"/>
      <c r="AC5" s="22"/>
      <c r="AD5" s="22"/>
      <c r="AE5" s="61">
        <f t="shared" ref="AE5:AE32" si="4">SUM(AA5:AD5)</f>
        <v>0</v>
      </c>
      <c r="AF5" s="22"/>
      <c r="AG5" s="40">
        <f t="shared" ref="AG5:AG32" si="5">AE5+AF5</f>
        <v>0</v>
      </c>
      <c r="AH5" s="24"/>
      <c r="AI5" s="24"/>
      <c r="AJ5" s="23">
        <f t="shared" ref="AJ5:AJ27" si="6">AG5-AH5+AI5</f>
        <v>0</v>
      </c>
      <c r="AK5" s="25"/>
      <c r="AL5" s="25"/>
      <c r="AM5" s="25"/>
      <c r="AN5" s="25"/>
      <c r="AO5" s="25">
        <f t="shared" ref="AO5:AO34" si="7">SUM(AK5:AN5)</f>
        <v>0</v>
      </c>
      <c r="AP5" s="13"/>
      <c r="AQ5" s="21"/>
      <c r="AR5" s="21"/>
      <c r="AS5" s="21"/>
      <c r="AT5" s="21"/>
      <c r="AU5" s="21"/>
      <c r="AV5" s="21"/>
      <c r="AW5" s="21"/>
      <c r="AX5" s="21"/>
      <c r="AY5" s="77"/>
      <c r="AZ5" s="21"/>
      <c r="BA5" s="21"/>
      <c r="BB5" s="21"/>
      <c r="BC5" s="21"/>
      <c r="BD5" s="21"/>
      <c r="BE5" s="21"/>
      <c r="BF5" s="77"/>
      <c r="BG5" s="21"/>
      <c r="BH5" s="21"/>
      <c r="BI5" s="21"/>
      <c r="BJ5" s="21"/>
      <c r="BK5" s="21"/>
      <c r="BL5" s="21"/>
      <c r="BM5" s="77"/>
      <c r="BN5" s="21"/>
      <c r="BO5" s="21"/>
      <c r="BP5" s="21"/>
      <c r="BQ5" s="21"/>
      <c r="BR5" s="21"/>
      <c r="BS5" s="21"/>
      <c r="BT5" s="96">
        <f>SUM(AQ5:BS5)</f>
        <v>0</v>
      </c>
      <c r="BU5" s="94">
        <f>AO5-BT5</f>
        <v>0</v>
      </c>
      <c r="BV5" s="26"/>
      <c r="BW5" s="27"/>
      <c r="BX5" s="19" t="s">
        <v>336</v>
      </c>
      <c r="BY5" s="19" t="b">
        <f t="shared" ref="BY5:BY33" si="8">BZ5=BX5</f>
        <v>1</v>
      </c>
      <c r="BZ5" s="53" t="s">
        <v>336</v>
      </c>
      <c r="CA5" s="19" t="s">
        <v>506</v>
      </c>
      <c r="CB5" s="19" t="s">
        <v>507</v>
      </c>
      <c r="CC5" s="19" t="s">
        <v>508</v>
      </c>
      <c r="CD5" s="19" t="s">
        <v>509</v>
      </c>
      <c r="CE5" s="19" t="s">
        <v>510</v>
      </c>
      <c r="CF5" s="19" t="s">
        <v>511</v>
      </c>
      <c r="CG5" s="19" t="s">
        <v>512</v>
      </c>
      <c r="CH5" s="19" t="s">
        <v>513</v>
      </c>
      <c r="CI5" s="19" t="s">
        <v>514</v>
      </c>
      <c r="CJ5" s="19" t="s">
        <v>515</v>
      </c>
      <c r="CK5" s="19" t="s">
        <v>516</v>
      </c>
      <c r="CL5" s="19" t="s">
        <v>517</v>
      </c>
      <c r="CM5" s="19" t="s">
        <v>518</v>
      </c>
      <c r="CN5" s="19" t="s">
        <v>519</v>
      </c>
      <c r="CO5" s="19" t="s">
        <v>520</v>
      </c>
      <c r="CP5" s="19" t="s">
        <v>521</v>
      </c>
      <c r="CQ5" s="19" t="s">
        <v>522</v>
      </c>
      <c r="CR5" s="19" t="s">
        <v>523</v>
      </c>
      <c r="CS5" s="19" t="s">
        <v>524</v>
      </c>
      <c r="CT5" s="19"/>
      <c r="CU5" s="19"/>
      <c r="CV5" s="19"/>
      <c r="CW5" s="19"/>
      <c r="CX5" s="19"/>
      <c r="CY5" s="19"/>
      <c r="CZ5" s="19"/>
      <c r="DA5" s="19"/>
      <c r="DB5" s="19"/>
      <c r="DC5" s="19"/>
    </row>
    <row r="6" spans="1:107" s="7" customFormat="1" x14ac:dyDescent="0.25">
      <c r="A6" s="19" t="s">
        <v>81</v>
      </c>
      <c r="B6" s="19" t="s">
        <v>88</v>
      </c>
      <c r="C6" s="19" t="str">
        <f t="shared" si="3"/>
        <v>85850240SRI LANKA</v>
      </c>
      <c r="D6" s="19">
        <v>85850240</v>
      </c>
      <c r="E6" s="19" t="s">
        <v>346</v>
      </c>
      <c r="F6" s="19" t="s">
        <v>261</v>
      </c>
      <c r="G6" s="20" t="s">
        <v>346</v>
      </c>
      <c r="H6" s="19"/>
      <c r="I6" s="19" t="s">
        <v>230</v>
      </c>
      <c r="J6" s="19" t="s">
        <v>347</v>
      </c>
      <c r="K6" s="19" t="s">
        <v>348</v>
      </c>
      <c r="L6" s="19" t="s">
        <v>332</v>
      </c>
      <c r="M6" s="19" t="s">
        <v>234</v>
      </c>
      <c r="N6" s="19" t="s">
        <v>247</v>
      </c>
      <c r="O6" s="19" t="s">
        <v>335</v>
      </c>
      <c r="P6" s="51" t="s">
        <v>237</v>
      </c>
      <c r="Q6" s="19" t="s">
        <v>349</v>
      </c>
      <c r="R6" s="19">
        <v>80</v>
      </c>
      <c r="S6" s="19" t="s">
        <v>239</v>
      </c>
      <c r="T6" s="19" t="s">
        <v>263</v>
      </c>
      <c r="U6" s="20" t="s">
        <v>263</v>
      </c>
      <c r="V6" s="19" t="s">
        <v>128</v>
      </c>
      <c r="W6" s="19" t="s">
        <v>219</v>
      </c>
      <c r="X6" s="35">
        <v>2</v>
      </c>
      <c r="Y6" s="35"/>
      <c r="Z6" s="32"/>
      <c r="AA6" s="22"/>
      <c r="AB6" s="22"/>
      <c r="AC6" s="22"/>
      <c r="AD6" s="22"/>
      <c r="AE6" s="61">
        <f t="shared" si="4"/>
        <v>0</v>
      </c>
      <c r="AF6" s="22"/>
      <c r="AG6" s="40">
        <f t="shared" si="5"/>
        <v>0</v>
      </c>
      <c r="AH6" s="24"/>
      <c r="AI6" s="24"/>
      <c r="AJ6" s="23">
        <f t="shared" si="6"/>
        <v>0</v>
      </c>
      <c r="AK6" s="25"/>
      <c r="AL6" s="25"/>
      <c r="AM6" s="25"/>
      <c r="AN6" s="25"/>
      <c r="AO6" s="25">
        <f t="shared" si="7"/>
        <v>0</v>
      </c>
      <c r="AP6" s="13"/>
      <c r="AQ6" s="21"/>
      <c r="AR6" s="21"/>
      <c r="AS6" s="21"/>
      <c r="AT6" s="21"/>
      <c r="AU6" s="21"/>
      <c r="AV6" s="21"/>
      <c r="AW6" s="21"/>
      <c r="AX6" s="21"/>
      <c r="AY6" s="77"/>
      <c r="AZ6" s="21"/>
      <c r="BA6" s="21"/>
      <c r="BB6" s="21"/>
      <c r="BC6" s="21"/>
      <c r="BD6" s="21"/>
      <c r="BE6" s="21"/>
      <c r="BF6" s="77"/>
      <c r="BG6" s="21"/>
      <c r="BH6" s="21"/>
      <c r="BI6" s="21"/>
      <c r="BJ6" s="21"/>
      <c r="BK6" s="21"/>
      <c r="BL6" s="21"/>
      <c r="BM6" s="77"/>
      <c r="BN6" s="21"/>
      <c r="BO6" s="21"/>
      <c r="BP6" s="21"/>
      <c r="BQ6" s="21"/>
      <c r="BR6" s="21"/>
      <c r="BS6" s="21"/>
      <c r="BT6" s="96">
        <f t="shared" ref="BT6:BT69" si="9">SUM(AQ6:BS6)</f>
        <v>0</v>
      </c>
      <c r="BU6" s="94">
        <f t="shared" ref="BU6:BU69" si="10">AO6-BT6</f>
        <v>0</v>
      </c>
      <c r="BV6" s="26"/>
      <c r="BW6" s="27"/>
      <c r="BX6" s="19" t="s">
        <v>346</v>
      </c>
      <c r="BY6" s="19" t="b">
        <f t="shared" si="8"/>
        <v>1</v>
      </c>
      <c r="BZ6" s="53" t="s">
        <v>346</v>
      </c>
      <c r="CA6" s="19" t="s">
        <v>527</v>
      </c>
      <c r="CB6" s="19" t="s">
        <v>507</v>
      </c>
      <c r="CC6" s="19" t="s">
        <v>508</v>
      </c>
      <c r="CD6" s="19" t="s">
        <v>528</v>
      </c>
      <c r="CE6" s="19" t="s">
        <v>529</v>
      </c>
      <c r="CF6" s="19" t="s">
        <v>530</v>
      </c>
      <c r="CG6" s="19" t="s">
        <v>531</v>
      </c>
      <c r="CH6" s="19" t="s">
        <v>532</v>
      </c>
      <c r="CI6" s="19" t="s">
        <v>533</v>
      </c>
      <c r="CJ6" s="19" t="s">
        <v>534</v>
      </c>
      <c r="CK6" s="19" t="s">
        <v>535</v>
      </c>
      <c r="CL6" s="19" t="s">
        <v>536</v>
      </c>
      <c r="CM6" s="19" t="s">
        <v>537</v>
      </c>
      <c r="CN6" s="19" t="s">
        <v>519</v>
      </c>
      <c r="CO6" s="19" t="s">
        <v>520</v>
      </c>
      <c r="CP6" s="19" t="s">
        <v>538</v>
      </c>
      <c r="CQ6" s="19" t="s">
        <v>539</v>
      </c>
      <c r="CR6" s="19" t="s">
        <v>540</v>
      </c>
      <c r="CS6" s="19" t="s">
        <v>541</v>
      </c>
      <c r="CT6" s="19"/>
      <c r="CU6" s="19"/>
      <c r="CV6" s="19"/>
      <c r="CW6" s="19"/>
      <c r="CX6" s="19"/>
      <c r="CY6" s="19"/>
      <c r="CZ6" s="19"/>
      <c r="DA6" s="19"/>
      <c r="DB6" s="19"/>
      <c r="DC6" s="19"/>
    </row>
    <row r="7" spans="1:107" s="7" customFormat="1" x14ac:dyDescent="0.25">
      <c r="A7" s="19" t="s">
        <v>81</v>
      </c>
      <c r="B7" s="19" t="s">
        <v>87</v>
      </c>
      <c r="C7" s="19" t="str">
        <f t="shared" si="3"/>
        <v>85855569BANGLADESH</v>
      </c>
      <c r="D7" s="19">
        <v>85855569</v>
      </c>
      <c r="E7" s="19" t="s">
        <v>378</v>
      </c>
      <c r="F7" s="19" t="s">
        <v>261</v>
      </c>
      <c r="G7" s="20" t="s">
        <v>378</v>
      </c>
      <c r="H7" s="19"/>
      <c r="I7" s="19" t="s">
        <v>230</v>
      </c>
      <c r="J7" s="19" t="s">
        <v>337</v>
      </c>
      <c r="K7" s="19" t="s">
        <v>348</v>
      </c>
      <c r="L7" s="19" t="s">
        <v>332</v>
      </c>
      <c r="M7" s="19" t="s">
        <v>345</v>
      </c>
      <c r="N7" s="19" t="s">
        <v>247</v>
      </c>
      <c r="O7" s="19" t="s">
        <v>335</v>
      </c>
      <c r="P7" s="51" t="s">
        <v>237</v>
      </c>
      <c r="Q7" s="19" t="s">
        <v>349</v>
      </c>
      <c r="R7" s="19">
        <v>80</v>
      </c>
      <c r="S7" s="19" t="s">
        <v>239</v>
      </c>
      <c r="T7" s="19" t="s">
        <v>263</v>
      </c>
      <c r="U7" s="20" t="s">
        <v>263</v>
      </c>
      <c r="V7" s="19" t="s">
        <v>133</v>
      </c>
      <c r="W7" s="19" t="s">
        <v>221</v>
      </c>
      <c r="X7" s="35">
        <v>10</v>
      </c>
      <c r="Y7" s="35">
        <v>10</v>
      </c>
      <c r="Z7" s="32"/>
      <c r="AA7" s="22"/>
      <c r="AB7" s="22"/>
      <c r="AC7" s="22"/>
      <c r="AD7" s="22"/>
      <c r="AE7" s="61">
        <f t="shared" si="4"/>
        <v>0</v>
      </c>
      <c r="AF7" s="22"/>
      <c r="AG7" s="40">
        <f t="shared" si="5"/>
        <v>0</v>
      </c>
      <c r="AH7" s="24"/>
      <c r="AI7" s="24"/>
      <c r="AJ7" s="23">
        <f t="shared" si="6"/>
        <v>0</v>
      </c>
      <c r="AK7" s="25"/>
      <c r="AL7" s="25"/>
      <c r="AM7" s="25"/>
      <c r="AN7" s="25"/>
      <c r="AO7" s="25">
        <f t="shared" si="7"/>
        <v>0</v>
      </c>
      <c r="AP7" s="13"/>
      <c r="AQ7" s="21"/>
      <c r="AR7" s="21"/>
      <c r="AS7" s="21"/>
      <c r="AT7" s="21"/>
      <c r="AU7" s="21"/>
      <c r="AV7" s="21"/>
      <c r="AW7" s="21"/>
      <c r="AX7" s="21"/>
      <c r="AY7" s="77"/>
      <c r="AZ7" s="21"/>
      <c r="BA7" s="21"/>
      <c r="BB7" s="21"/>
      <c r="BC7" s="21"/>
      <c r="BD7" s="21"/>
      <c r="BE7" s="21"/>
      <c r="BF7" s="77"/>
      <c r="BG7" s="21"/>
      <c r="BH7" s="21"/>
      <c r="BI7" s="21"/>
      <c r="BJ7" s="21"/>
      <c r="BK7" s="21"/>
      <c r="BL7" s="21"/>
      <c r="BM7" s="77"/>
      <c r="BN7" s="21"/>
      <c r="BO7" s="21"/>
      <c r="BP7" s="21"/>
      <c r="BQ7" s="21"/>
      <c r="BR7" s="21"/>
      <c r="BS7" s="21"/>
      <c r="BT7" s="96">
        <f t="shared" si="9"/>
        <v>0</v>
      </c>
      <c r="BU7" s="94">
        <f t="shared" si="10"/>
        <v>0</v>
      </c>
      <c r="BV7" s="26"/>
      <c r="BW7" s="27"/>
      <c r="BX7" s="19" t="s">
        <v>378</v>
      </c>
      <c r="BY7" s="19" t="b">
        <f t="shared" si="8"/>
        <v>1</v>
      </c>
      <c r="BZ7" s="53" t="s">
        <v>378</v>
      </c>
      <c r="CA7" s="19" t="s">
        <v>546</v>
      </c>
      <c r="CB7" s="19" t="s">
        <v>507</v>
      </c>
      <c r="CC7" s="19" t="s">
        <v>508</v>
      </c>
      <c r="CD7" s="19" t="s">
        <v>547</v>
      </c>
      <c r="CE7" s="19" t="s">
        <v>548</v>
      </c>
      <c r="CF7" s="19" t="s">
        <v>549</v>
      </c>
      <c r="CG7" s="19" t="s">
        <v>550</v>
      </c>
      <c r="CH7" s="19" t="s">
        <v>551</v>
      </c>
      <c r="CI7" s="19" t="s">
        <v>552</v>
      </c>
      <c r="CJ7" s="19" t="s">
        <v>553</v>
      </c>
      <c r="CK7" s="19" t="s">
        <v>535</v>
      </c>
      <c r="CL7" s="19" t="s">
        <v>554</v>
      </c>
      <c r="CM7" s="19" t="s">
        <v>555</v>
      </c>
      <c r="CN7" s="19" t="s">
        <v>519</v>
      </c>
      <c r="CO7" s="19" t="s">
        <v>520</v>
      </c>
      <c r="CP7" s="19" t="s">
        <v>525</v>
      </c>
      <c r="CQ7" s="19" t="s">
        <v>526</v>
      </c>
      <c r="CR7" s="19" t="s">
        <v>556</v>
      </c>
      <c r="CS7" s="19" t="s">
        <v>557</v>
      </c>
      <c r="CT7" s="19"/>
      <c r="CU7" s="19"/>
      <c r="CV7" s="19"/>
      <c r="CW7" s="19"/>
      <c r="CX7" s="19"/>
      <c r="CY7" s="19"/>
      <c r="CZ7" s="19"/>
      <c r="DA7" s="19"/>
      <c r="DB7" s="19"/>
      <c r="DC7" s="19"/>
    </row>
    <row r="8" spans="1:107" s="7" customFormat="1" x14ac:dyDescent="0.25">
      <c r="A8" s="19" t="s">
        <v>81</v>
      </c>
      <c r="B8" s="19" t="s">
        <v>89</v>
      </c>
      <c r="C8" s="19" t="str">
        <f t="shared" si="3"/>
        <v>85850240MAURITIUS</v>
      </c>
      <c r="D8" s="19">
        <v>85850240</v>
      </c>
      <c r="E8" s="19" t="s">
        <v>346</v>
      </c>
      <c r="F8" s="19" t="s">
        <v>261</v>
      </c>
      <c r="G8" s="20" t="s">
        <v>346</v>
      </c>
      <c r="H8" s="19"/>
      <c r="I8" s="19" t="s">
        <v>230</v>
      </c>
      <c r="J8" s="19" t="s">
        <v>347</v>
      </c>
      <c r="K8" s="19" t="s">
        <v>348</v>
      </c>
      <c r="L8" s="19" t="s">
        <v>332</v>
      </c>
      <c r="M8" s="19" t="s">
        <v>234</v>
      </c>
      <c r="N8" s="19" t="s">
        <v>247</v>
      </c>
      <c r="O8" s="19" t="s">
        <v>335</v>
      </c>
      <c r="P8" s="51" t="s">
        <v>237</v>
      </c>
      <c r="Q8" s="19" t="s">
        <v>349</v>
      </c>
      <c r="R8" s="19">
        <v>80</v>
      </c>
      <c r="S8" s="19" t="s">
        <v>239</v>
      </c>
      <c r="T8" s="19" t="s">
        <v>263</v>
      </c>
      <c r="U8" s="20" t="s">
        <v>263</v>
      </c>
      <c r="V8" s="19" t="s">
        <v>128</v>
      </c>
      <c r="W8" s="19" t="s">
        <v>221</v>
      </c>
      <c r="X8" s="35"/>
      <c r="Y8" s="35">
        <v>2</v>
      </c>
      <c r="Z8" s="32"/>
      <c r="AA8" s="22"/>
      <c r="AB8" s="22"/>
      <c r="AC8" s="22"/>
      <c r="AD8" s="22"/>
      <c r="AE8" s="61">
        <f t="shared" si="4"/>
        <v>0</v>
      </c>
      <c r="AF8" s="22"/>
      <c r="AG8" s="40">
        <f t="shared" si="5"/>
        <v>0</v>
      </c>
      <c r="AH8" s="24"/>
      <c r="AI8" s="24"/>
      <c r="AJ8" s="23">
        <f t="shared" si="6"/>
        <v>0</v>
      </c>
      <c r="AK8" s="25"/>
      <c r="AL8" s="25"/>
      <c r="AM8" s="25"/>
      <c r="AN8" s="25"/>
      <c r="AO8" s="25">
        <f t="shared" si="7"/>
        <v>0</v>
      </c>
      <c r="AP8" s="13"/>
      <c r="AQ8" s="21"/>
      <c r="AR8" s="21"/>
      <c r="AS8" s="21"/>
      <c r="AT8" s="21"/>
      <c r="AU8" s="21"/>
      <c r="AV8" s="21"/>
      <c r="AW8" s="21"/>
      <c r="AX8" s="21"/>
      <c r="AY8" s="77"/>
      <c r="AZ8" s="21"/>
      <c r="BA8" s="21"/>
      <c r="BB8" s="21"/>
      <c r="BC8" s="21"/>
      <c r="BD8" s="21"/>
      <c r="BE8" s="21"/>
      <c r="BF8" s="77"/>
      <c r="BG8" s="21"/>
      <c r="BH8" s="21"/>
      <c r="BI8" s="21"/>
      <c r="BJ8" s="21"/>
      <c r="BK8" s="21"/>
      <c r="BL8" s="21"/>
      <c r="BM8" s="77"/>
      <c r="BN8" s="21"/>
      <c r="BO8" s="21"/>
      <c r="BP8" s="21"/>
      <c r="BQ8" s="21"/>
      <c r="BR8" s="21"/>
      <c r="BS8" s="21"/>
      <c r="BT8" s="96">
        <f t="shared" si="9"/>
        <v>0</v>
      </c>
      <c r="BU8" s="94">
        <f t="shared" si="10"/>
        <v>0</v>
      </c>
      <c r="BV8" s="26"/>
      <c r="BW8" s="27"/>
      <c r="BX8" s="19" t="s">
        <v>346</v>
      </c>
      <c r="BY8" s="19" t="b">
        <f t="shared" si="8"/>
        <v>1</v>
      </c>
      <c r="BZ8" s="53" t="s">
        <v>346</v>
      </c>
      <c r="CA8" s="19" t="s">
        <v>527</v>
      </c>
      <c r="CB8" s="19" t="s">
        <v>507</v>
      </c>
      <c r="CC8" s="19" t="s">
        <v>508</v>
      </c>
      <c r="CD8" s="19" t="s">
        <v>528</v>
      </c>
      <c r="CE8" s="19" t="s">
        <v>529</v>
      </c>
      <c r="CF8" s="19" t="s">
        <v>530</v>
      </c>
      <c r="CG8" s="19" t="s">
        <v>531</v>
      </c>
      <c r="CH8" s="19" t="s">
        <v>532</v>
      </c>
      <c r="CI8" s="19" t="s">
        <v>533</v>
      </c>
      <c r="CJ8" s="19" t="s">
        <v>534</v>
      </c>
      <c r="CK8" s="19" t="s">
        <v>535</v>
      </c>
      <c r="CL8" s="19" t="s">
        <v>536</v>
      </c>
      <c r="CM8" s="19" t="s">
        <v>537</v>
      </c>
      <c r="CN8" s="19" t="s">
        <v>519</v>
      </c>
      <c r="CO8" s="19" t="s">
        <v>520</v>
      </c>
      <c r="CP8" s="19" t="s">
        <v>538</v>
      </c>
      <c r="CQ8" s="19" t="s">
        <v>539</v>
      </c>
      <c r="CR8" s="19" t="s">
        <v>540</v>
      </c>
      <c r="CS8" s="19" t="s">
        <v>541</v>
      </c>
      <c r="CT8" s="19"/>
      <c r="CU8" s="19"/>
      <c r="CV8" s="19"/>
      <c r="CW8" s="19"/>
      <c r="CX8" s="19"/>
      <c r="CY8" s="19"/>
      <c r="CZ8" s="19"/>
      <c r="DA8" s="19"/>
      <c r="DB8" s="19"/>
      <c r="DC8" s="19"/>
    </row>
    <row r="9" spans="1:107" s="7" customFormat="1" x14ac:dyDescent="0.25">
      <c r="A9" s="19" t="s">
        <v>81</v>
      </c>
      <c r="B9" s="19" t="s">
        <v>91</v>
      </c>
      <c r="C9" s="19" t="str">
        <f t="shared" si="3"/>
        <v>80752508Sri Lanka</v>
      </c>
      <c r="D9" s="19">
        <v>80752508</v>
      </c>
      <c r="E9" s="19" t="s">
        <v>363</v>
      </c>
      <c r="F9" s="19" t="s">
        <v>261</v>
      </c>
      <c r="G9" s="20" t="s">
        <v>363</v>
      </c>
      <c r="H9" s="19"/>
      <c r="I9" s="19" t="s">
        <v>230</v>
      </c>
      <c r="J9" s="19" t="s">
        <v>347</v>
      </c>
      <c r="K9" s="19" t="s">
        <v>364</v>
      </c>
      <c r="L9" s="19" t="s">
        <v>233</v>
      </c>
      <c r="M9" s="19" t="s">
        <v>268</v>
      </c>
      <c r="N9" s="19" t="s">
        <v>247</v>
      </c>
      <c r="O9" s="19" t="s">
        <v>270</v>
      </c>
      <c r="P9" s="51" t="s">
        <v>237</v>
      </c>
      <c r="Q9" s="19" t="s">
        <v>365</v>
      </c>
      <c r="R9" s="19">
        <v>150</v>
      </c>
      <c r="S9" s="19" t="s">
        <v>272</v>
      </c>
      <c r="T9" s="19" t="s">
        <v>263</v>
      </c>
      <c r="U9" s="20" t="s">
        <v>263</v>
      </c>
      <c r="V9" s="19" t="s">
        <v>129</v>
      </c>
      <c r="W9" s="19" t="s">
        <v>219</v>
      </c>
      <c r="X9" s="35">
        <v>20</v>
      </c>
      <c r="Y9" s="35">
        <v>15</v>
      </c>
      <c r="Z9" s="32">
        <v>40</v>
      </c>
      <c r="AA9" s="22">
        <v>40</v>
      </c>
      <c r="AB9" s="22"/>
      <c r="AC9" s="22"/>
      <c r="AD9" s="22"/>
      <c r="AE9" s="61">
        <f t="shared" si="4"/>
        <v>40</v>
      </c>
      <c r="AF9" s="22"/>
      <c r="AG9" s="40">
        <f t="shared" si="5"/>
        <v>40</v>
      </c>
      <c r="AH9" s="24"/>
      <c r="AI9" s="24"/>
      <c r="AJ9" s="23">
        <f t="shared" si="6"/>
        <v>40</v>
      </c>
      <c r="AK9" s="25"/>
      <c r="AL9" s="25">
        <v>10</v>
      </c>
      <c r="AM9" s="25">
        <v>30</v>
      </c>
      <c r="AN9" s="25"/>
      <c r="AO9" s="25">
        <f t="shared" si="7"/>
        <v>40</v>
      </c>
      <c r="AP9" s="13"/>
      <c r="AQ9" s="21"/>
      <c r="AR9" s="21"/>
      <c r="AS9" s="21"/>
      <c r="AT9" s="21"/>
      <c r="AU9" s="21"/>
      <c r="AV9" s="21"/>
      <c r="AW9" s="21"/>
      <c r="AX9" s="21"/>
      <c r="AY9" s="77"/>
      <c r="AZ9" s="21"/>
      <c r="BA9" s="21"/>
      <c r="BB9" s="21"/>
      <c r="BC9" s="21"/>
      <c r="BD9" s="21">
        <v>5</v>
      </c>
      <c r="BE9" s="21">
        <v>5</v>
      </c>
      <c r="BF9" s="77"/>
      <c r="BG9" s="21"/>
      <c r="BH9" s="21"/>
      <c r="BI9" s="21"/>
      <c r="BJ9" s="21">
        <v>10</v>
      </c>
      <c r="BK9" s="21">
        <v>10</v>
      </c>
      <c r="BL9" s="21">
        <v>10</v>
      </c>
      <c r="BM9" s="77"/>
      <c r="BN9" s="21"/>
      <c r="BO9" s="21"/>
      <c r="BP9" s="21"/>
      <c r="BQ9" s="21"/>
      <c r="BR9" s="21"/>
      <c r="BS9" s="21"/>
      <c r="BT9" s="96">
        <f t="shared" si="9"/>
        <v>40</v>
      </c>
      <c r="BU9" s="94">
        <f t="shared" si="10"/>
        <v>0</v>
      </c>
      <c r="BV9" s="26" t="s">
        <v>2015</v>
      </c>
      <c r="BW9" s="27"/>
      <c r="BX9" s="19" t="s">
        <v>363</v>
      </c>
      <c r="BY9" s="19" t="b">
        <f t="shared" si="8"/>
        <v>1</v>
      </c>
      <c r="BZ9" s="53" t="s">
        <v>363</v>
      </c>
      <c r="CA9" s="19" t="s">
        <v>560</v>
      </c>
      <c r="CB9" s="19" t="s">
        <v>561</v>
      </c>
      <c r="CC9" s="19" t="s">
        <v>562</v>
      </c>
      <c r="CD9" s="19" t="s">
        <v>563</v>
      </c>
      <c r="CE9" s="19" t="s">
        <v>564</v>
      </c>
      <c r="CF9" s="19" t="s">
        <v>542</v>
      </c>
      <c r="CG9" s="19" t="s">
        <v>543</v>
      </c>
      <c r="CH9" s="19" t="s">
        <v>544</v>
      </c>
      <c r="CI9" s="19" t="s">
        <v>545</v>
      </c>
      <c r="CJ9" s="19" t="s">
        <v>565</v>
      </c>
      <c r="CK9" s="19" t="s">
        <v>566</v>
      </c>
      <c r="CL9" s="19" t="s">
        <v>567</v>
      </c>
      <c r="CM9" s="19" t="s">
        <v>568</v>
      </c>
      <c r="CN9" s="19"/>
      <c r="CO9" s="19"/>
      <c r="CP9" s="19" t="s">
        <v>538</v>
      </c>
      <c r="CQ9" s="19" t="s">
        <v>539</v>
      </c>
      <c r="CR9" s="19" t="s">
        <v>569</v>
      </c>
      <c r="CS9" s="19" t="s">
        <v>570</v>
      </c>
      <c r="CT9" s="19"/>
      <c r="CU9" s="19"/>
      <c r="CV9" s="19"/>
      <c r="CW9" s="19"/>
      <c r="CX9" s="19"/>
      <c r="CY9" s="19"/>
      <c r="CZ9" s="19"/>
      <c r="DA9" s="19"/>
      <c r="DB9" s="19"/>
      <c r="DC9" s="19"/>
    </row>
    <row r="10" spans="1:107" s="7" customFormat="1" x14ac:dyDescent="0.25">
      <c r="A10" s="19" t="s">
        <v>81</v>
      </c>
      <c r="B10" s="19" t="s">
        <v>95</v>
      </c>
      <c r="C10" s="19" t="str">
        <f t="shared" si="3"/>
        <v>80756835Tanzania</v>
      </c>
      <c r="D10" s="19">
        <v>80756835</v>
      </c>
      <c r="E10" s="19" t="s">
        <v>1591</v>
      </c>
      <c r="F10" s="19" t="s">
        <v>261</v>
      </c>
      <c r="G10" s="20" t="s">
        <v>1591</v>
      </c>
      <c r="H10" s="19"/>
      <c r="I10" s="19" t="s">
        <v>230</v>
      </c>
      <c r="J10" s="19" t="s">
        <v>337</v>
      </c>
      <c r="K10" s="19" t="s">
        <v>364</v>
      </c>
      <c r="L10" s="19" t="s">
        <v>233</v>
      </c>
      <c r="M10" s="19" t="s">
        <v>268</v>
      </c>
      <c r="N10" s="19" t="s">
        <v>247</v>
      </c>
      <c r="O10" s="19" t="s">
        <v>275</v>
      </c>
      <c r="P10" s="51" t="s">
        <v>237</v>
      </c>
      <c r="Q10" s="19" t="s">
        <v>365</v>
      </c>
      <c r="R10" s="19">
        <v>150</v>
      </c>
      <c r="S10" s="19" t="s">
        <v>272</v>
      </c>
      <c r="T10" s="19" t="s">
        <v>263</v>
      </c>
      <c r="U10" s="20" t="s">
        <v>263</v>
      </c>
      <c r="V10" s="19" t="s">
        <v>1547</v>
      </c>
      <c r="W10" s="19" t="s">
        <v>221</v>
      </c>
      <c r="X10" s="35"/>
      <c r="Y10" s="35"/>
      <c r="Z10" s="32">
        <v>10</v>
      </c>
      <c r="AA10" s="22">
        <v>10</v>
      </c>
      <c r="AB10" s="22"/>
      <c r="AC10" s="22"/>
      <c r="AD10" s="22"/>
      <c r="AE10" s="61">
        <f t="shared" si="4"/>
        <v>10</v>
      </c>
      <c r="AF10" s="22"/>
      <c r="AG10" s="40">
        <f t="shared" si="5"/>
        <v>10</v>
      </c>
      <c r="AH10" s="24"/>
      <c r="AI10" s="24"/>
      <c r="AJ10" s="23">
        <f t="shared" si="6"/>
        <v>10</v>
      </c>
      <c r="AK10" s="25"/>
      <c r="AL10" s="25"/>
      <c r="AM10" s="25"/>
      <c r="AN10" s="25"/>
      <c r="AO10" s="25">
        <f t="shared" si="7"/>
        <v>0</v>
      </c>
      <c r="AP10" s="13"/>
      <c r="AQ10" s="21"/>
      <c r="AR10" s="21"/>
      <c r="AS10" s="21"/>
      <c r="AT10" s="21"/>
      <c r="AU10" s="21"/>
      <c r="AV10" s="21"/>
      <c r="AW10" s="21"/>
      <c r="AX10" s="21"/>
      <c r="AY10" s="77"/>
      <c r="AZ10" s="21"/>
      <c r="BA10" s="21"/>
      <c r="BB10" s="21"/>
      <c r="BC10" s="21"/>
      <c r="BD10" s="21"/>
      <c r="BE10" s="21"/>
      <c r="BF10" s="77"/>
      <c r="BG10" s="21"/>
      <c r="BH10" s="21"/>
      <c r="BI10" s="21"/>
      <c r="BJ10" s="21"/>
      <c r="BK10" s="21"/>
      <c r="BL10" s="21"/>
      <c r="BM10" s="77"/>
      <c r="BN10" s="21"/>
      <c r="BO10" s="21"/>
      <c r="BP10" s="21"/>
      <c r="BQ10" s="21"/>
      <c r="BR10" s="21"/>
      <c r="BS10" s="21"/>
      <c r="BT10" s="96">
        <f t="shared" si="9"/>
        <v>0</v>
      </c>
      <c r="BU10" s="94">
        <f t="shared" si="10"/>
        <v>0</v>
      </c>
      <c r="BV10" s="26" t="s">
        <v>2016</v>
      </c>
      <c r="BW10" s="27"/>
      <c r="BX10" s="19" t="s">
        <v>1591</v>
      </c>
      <c r="BY10" s="19" t="b">
        <f t="shared" si="8"/>
        <v>1</v>
      </c>
      <c r="BZ10" s="53" t="s">
        <v>1591</v>
      </c>
      <c r="CA10" s="19" t="s">
        <v>1623</v>
      </c>
      <c r="CB10" s="19" t="s">
        <v>1624</v>
      </c>
      <c r="CC10" s="19" t="s">
        <v>1625</v>
      </c>
      <c r="CD10" s="19" t="s">
        <v>1626</v>
      </c>
      <c r="CE10" s="19" t="s">
        <v>503</v>
      </c>
      <c r="CF10" s="19" t="s">
        <v>1627</v>
      </c>
      <c r="CG10" s="19" t="s">
        <v>1628</v>
      </c>
      <c r="CH10" s="19" t="s">
        <v>591</v>
      </c>
      <c r="CI10" s="19" t="s">
        <v>592</v>
      </c>
      <c r="CJ10" s="19" t="s">
        <v>1629</v>
      </c>
      <c r="CK10" s="19" t="s">
        <v>1630</v>
      </c>
      <c r="CL10" s="19" t="s">
        <v>1631</v>
      </c>
      <c r="CM10" s="19" t="s">
        <v>1632</v>
      </c>
      <c r="CN10" s="19"/>
      <c r="CO10" s="19"/>
      <c r="CP10" s="19" t="s">
        <v>504</v>
      </c>
      <c r="CQ10" s="19" t="s">
        <v>505</v>
      </c>
      <c r="CR10" s="19" t="s">
        <v>1633</v>
      </c>
      <c r="CS10" s="19" t="s">
        <v>1634</v>
      </c>
      <c r="CT10" s="19"/>
      <c r="CU10" s="19"/>
      <c r="CV10" s="19"/>
      <c r="CW10" s="19"/>
      <c r="CX10" s="19"/>
      <c r="CY10" s="19"/>
      <c r="CZ10" s="19"/>
      <c r="DA10" s="19"/>
      <c r="DB10" s="19"/>
      <c r="DC10" s="19"/>
    </row>
    <row r="11" spans="1:107" s="7" customFormat="1" x14ac:dyDescent="0.25">
      <c r="A11" s="19" t="s">
        <v>81</v>
      </c>
      <c r="B11" s="19" t="s">
        <v>91</v>
      </c>
      <c r="C11" s="19" t="str">
        <f t="shared" si="3"/>
        <v>80750493Sri Lanka</v>
      </c>
      <c r="D11" s="19">
        <v>80750493</v>
      </c>
      <c r="E11" s="19" t="s">
        <v>388</v>
      </c>
      <c r="F11" s="19" t="s">
        <v>261</v>
      </c>
      <c r="G11" s="20" t="s">
        <v>388</v>
      </c>
      <c r="H11" s="19"/>
      <c r="I11" s="19" t="s">
        <v>230</v>
      </c>
      <c r="J11" s="19" t="s">
        <v>347</v>
      </c>
      <c r="K11" s="19" t="s">
        <v>364</v>
      </c>
      <c r="L11" s="19" t="s">
        <v>252</v>
      </c>
      <c r="M11" s="19" t="s">
        <v>268</v>
      </c>
      <c r="N11" s="19" t="s">
        <v>247</v>
      </c>
      <c r="O11" s="19" t="s">
        <v>275</v>
      </c>
      <c r="P11" s="51" t="s">
        <v>237</v>
      </c>
      <c r="Q11" s="19" t="s">
        <v>365</v>
      </c>
      <c r="R11" s="19">
        <v>150</v>
      </c>
      <c r="S11" s="19" t="s">
        <v>272</v>
      </c>
      <c r="T11" s="19" t="s">
        <v>263</v>
      </c>
      <c r="U11" s="20" t="s">
        <v>263</v>
      </c>
      <c r="V11" s="19" t="s">
        <v>140</v>
      </c>
      <c r="W11" s="19" t="s">
        <v>219</v>
      </c>
      <c r="X11" s="35">
        <v>4</v>
      </c>
      <c r="Y11" s="35"/>
      <c r="Z11" s="32">
        <v>8</v>
      </c>
      <c r="AA11" s="22">
        <v>8</v>
      </c>
      <c r="AB11" s="22"/>
      <c r="AC11" s="22"/>
      <c r="AD11" s="22"/>
      <c r="AE11" s="61">
        <f t="shared" si="4"/>
        <v>8</v>
      </c>
      <c r="AF11" s="22"/>
      <c r="AG11" s="40">
        <f t="shared" si="5"/>
        <v>8</v>
      </c>
      <c r="AH11" s="24"/>
      <c r="AI11" s="24"/>
      <c r="AJ11" s="23">
        <f t="shared" si="6"/>
        <v>8</v>
      </c>
      <c r="AK11" s="25"/>
      <c r="AL11" s="25"/>
      <c r="AM11" s="25"/>
      <c r="AN11" s="25"/>
      <c r="AO11" s="25">
        <f t="shared" si="7"/>
        <v>0</v>
      </c>
      <c r="AP11" s="13"/>
      <c r="AQ11" s="21"/>
      <c r="AR11" s="21"/>
      <c r="AS11" s="21"/>
      <c r="AT11" s="21"/>
      <c r="AU11" s="21"/>
      <c r="AV11" s="21"/>
      <c r="AW11" s="21"/>
      <c r="AX11" s="21"/>
      <c r="AY11" s="77"/>
      <c r="AZ11" s="21"/>
      <c r="BA11" s="21"/>
      <c r="BB11" s="21"/>
      <c r="BC11" s="21"/>
      <c r="BD11" s="21"/>
      <c r="BE11" s="21"/>
      <c r="BF11" s="77"/>
      <c r="BG11" s="21"/>
      <c r="BH11" s="21"/>
      <c r="BI11" s="21"/>
      <c r="BJ11" s="21"/>
      <c r="BK11" s="21"/>
      <c r="BL11" s="21"/>
      <c r="BM11" s="77"/>
      <c r="BN11" s="21"/>
      <c r="BO11" s="21"/>
      <c r="BP11" s="21"/>
      <c r="BQ11" s="21"/>
      <c r="BR11" s="21"/>
      <c r="BS11" s="21"/>
      <c r="BT11" s="96">
        <f t="shared" si="9"/>
        <v>0</v>
      </c>
      <c r="BU11" s="94">
        <f t="shared" si="10"/>
        <v>0</v>
      </c>
      <c r="BV11" s="26" t="s">
        <v>2016</v>
      </c>
      <c r="BW11" s="27"/>
      <c r="BX11" s="19" t="s">
        <v>388</v>
      </c>
      <c r="BY11" s="19" t="b">
        <f t="shared" si="8"/>
        <v>1</v>
      </c>
      <c r="BZ11" s="53" t="s">
        <v>388</v>
      </c>
      <c r="CA11" s="19" t="s">
        <v>571</v>
      </c>
      <c r="CB11" s="19" t="s">
        <v>561</v>
      </c>
      <c r="CC11" s="19" t="s">
        <v>562</v>
      </c>
      <c r="CD11" s="19" t="s">
        <v>563</v>
      </c>
      <c r="CE11" s="19" t="s">
        <v>564</v>
      </c>
      <c r="CF11" s="19" t="s">
        <v>542</v>
      </c>
      <c r="CG11" s="19" t="s">
        <v>543</v>
      </c>
      <c r="CH11" s="19" t="s">
        <v>544</v>
      </c>
      <c r="CI11" s="19" t="s">
        <v>545</v>
      </c>
      <c r="CJ11" s="19" t="s">
        <v>572</v>
      </c>
      <c r="CK11" s="19" t="s">
        <v>573</v>
      </c>
      <c r="CL11" s="19" t="s">
        <v>567</v>
      </c>
      <c r="CM11" s="19" t="s">
        <v>568</v>
      </c>
      <c r="CN11" s="19"/>
      <c r="CO11" s="19"/>
      <c r="CP11" s="19" t="s">
        <v>538</v>
      </c>
      <c r="CQ11" s="19" t="s">
        <v>539</v>
      </c>
      <c r="CR11" s="19" t="s">
        <v>569</v>
      </c>
      <c r="CS11" s="19" t="s">
        <v>570</v>
      </c>
      <c r="CT11" s="19"/>
      <c r="CU11" s="19"/>
      <c r="CV11" s="19"/>
      <c r="CW11" s="19"/>
      <c r="CX11" s="19"/>
      <c r="CY11" s="19"/>
      <c r="CZ11" s="19"/>
      <c r="DA11" s="19"/>
      <c r="DB11" s="19"/>
      <c r="DC11" s="19"/>
    </row>
    <row r="12" spans="1:107" s="7" customFormat="1" x14ac:dyDescent="0.25">
      <c r="A12" s="19" t="s">
        <v>228</v>
      </c>
      <c r="B12" s="19" t="s">
        <v>1745</v>
      </c>
      <c r="C12" s="19" t="str">
        <f t="shared" si="3"/>
        <v>80750493India-Bhutan</v>
      </c>
      <c r="D12" s="19">
        <v>80750493</v>
      </c>
      <c r="E12" s="19" t="s">
        <v>388</v>
      </c>
      <c r="F12" s="19" t="s">
        <v>261</v>
      </c>
      <c r="G12" s="20" t="s">
        <v>388</v>
      </c>
      <c r="H12" s="19"/>
      <c r="I12" s="19" t="s">
        <v>230</v>
      </c>
      <c r="J12" s="19" t="s">
        <v>347</v>
      </c>
      <c r="K12" s="19" t="s">
        <v>364</v>
      </c>
      <c r="L12" s="19" t="s">
        <v>252</v>
      </c>
      <c r="M12" s="19" t="s">
        <v>268</v>
      </c>
      <c r="N12" s="19" t="s">
        <v>247</v>
      </c>
      <c r="O12" s="19" t="s">
        <v>275</v>
      </c>
      <c r="P12" s="51" t="s">
        <v>237</v>
      </c>
      <c r="Q12" s="19" t="s">
        <v>365</v>
      </c>
      <c r="R12" s="19">
        <v>150</v>
      </c>
      <c r="S12" s="19" t="s">
        <v>272</v>
      </c>
      <c r="T12" s="19" t="s">
        <v>263</v>
      </c>
      <c r="U12" s="20" t="s">
        <v>263</v>
      </c>
      <c r="V12" s="19" t="s">
        <v>140</v>
      </c>
      <c r="W12" s="19" t="s">
        <v>222</v>
      </c>
      <c r="X12" s="35"/>
      <c r="Y12" s="35"/>
      <c r="Z12" s="32"/>
      <c r="AA12" s="22">
        <v>5</v>
      </c>
      <c r="AB12" s="22"/>
      <c r="AC12" s="22"/>
      <c r="AD12" s="22"/>
      <c r="AE12" s="61">
        <f t="shared" si="4"/>
        <v>5</v>
      </c>
      <c r="AF12" s="22"/>
      <c r="AG12" s="40">
        <f t="shared" si="5"/>
        <v>5</v>
      </c>
      <c r="AH12" s="24">
        <v>5</v>
      </c>
      <c r="AI12" s="24"/>
      <c r="AJ12" s="23">
        <f t="shared" si="6"/>
        <v>0</v>
      </c>
      <c r="AK12" s="25"/>
      <c r="AL12" s="25"/>
      <c r="AM12" s="25"/>
      <c r="AN12" s="25"/>
      <c r="AO12" s="25">
        <f t="shared" si="7"/>
        <v>0</v>
      </c>
      <c r="AP12" s="13">
        <v>5</v>
      </c>
      <c r="AQ12" s="21">
        <v>1</v>
      </c>
      <c r="AR12" s="21">
        <v>2</v>
      </c>
      <c r="AS12" s="21">
        <v>2</v>
      </c>
      <c r="AT12" s="21"/>
      <c r="AU12" s="21"/>
      <c r="AV12" s="21"/>
      <c r="AW12" s="21"/>
      <c r="AX12" s="21"/>
      <c r="AY12" s="77"/>
      <c r="AZ12" s="21"/>
      <c r="BA12" s="21"/>
      <c r="BB12" s="21"/>
      <c r="BC12" s="21"/>
      <c r="BD12" s="21"/>
      <c r="BE12" s="21"/>
      <c r="BF12" s="77"/>
      <c r="BG12" s="21"/>
      <c r="BH12" s="21"/>
      <c r="BI12" s="21"/>
      <c r="BJ12" s="21"/>
      <c r="BK12" s="21"/>
      <c r="BL12" s="21"/>
      <c r="BM12" s="77"/>
      <c r="BN12" s="21"/>
      <c r="BO12" s="21"/>
      <c r="BP12" s="21"/>
      <c r="BQ12" s="21"/>
      <c r="BR12" s="21"/>
      <c r="BS12" s="21"/>
      <c r="BT12" s="96">
        <f t="shared" si="9"/>
        <v>5</v>
      </c>
      <c r="BU12" s="94">
        <f t="shared" si="10"/>
        <v>-5</v>
      </c>
      <c r="BV12" s="26"/>
      <c r="BW12" s="27"/>
      <c r="BX12" s="19" t="s">
        <v>388</v>
      </c>
      <c r="BY12" s="19" t="b">
        <f t="shared" si="8"/>
        <v>1</v>
      </c>
      <c r="BZ12" s="53" t="s">
        <v>388</v>
      </c>
      <c r="CA12" s="19" t="s">
        <v>571</v>
      </c>
      <c r="CB12" s="19" t="s">
        <v>561</v>
      </c>
      <c r="CC12" s="19" t="s">
        <v>562</v>
      </c>
      <c r="CD12" s="19" t="s">
        <v>563</v>
      </c>
      <c r="CE12" s="19" t="s">
        <v>564</v>
      </c>
      <c r="CF12" s="19" t="s">
        <v>542</v>
      </c>
      <c r="CG12" s="19" t="s">
        <v>543</v>
      </c>
      <c r="CH12" s="19" t="s">
        <v>544</v>
      </c>
      <c r="CI12" s="19" t="s">
        <v>545</v>
      </c>
      <c r="CJ12" s="19" t="s">
        <v>572</v>
      </c>
      <c r="CK12" s="19" t="s">
        <v>573</v>
      </c>
      <c r="CL12" s="19" t="s">
        <v>567</v>
      </c>
      <c r="CM12" s="19" t="s">
        <v>568</v>
      </c>
      <c r="CN12" s="19"/>
      <c r="CO12" s="19"/>
      <c r="CP12" s="19" t="s">
        <v>538</v>
      </c>
      <c r="CQ12" s="19" t="s">
        <v>539</v>
      </c>
      <c r="CR12" s="19" t="s">
        <v>569</v>
      </c>
      <c r="CS12" s="19" t="s">
        <v>570</v>
      </c>
      <c r="CT12" s="19"/>
      <c r="CU12" s="19"/>
      <c r="CV12" s="19"/>
      <c r="CW12" s="19"/>
      <c r="CX12" s="19"/>
      <c r="CY12" s="19"/>
      <c r="CZ12" s="19"/>
      <c r="DA12" s="19"/>
      <c r="DB12" s="19"/>
      <c r="DC12" s="19"/>
    </row>
    <row r="13" spans="1:107" s="7" customFormat="1" x14ac:dyDescent="0.25">
      <c r="A13" s="19" t="s">
        <v>81</v>
      </c>
      <c r="B13" s="19" t="s">
        <v>1742</v>
      </c>
      <c r="C13" s="19" t="str">
        <f t="shared" si="3"/>
        <v>80451232ZAMBIA</v>
      </c>
      <c r="D13" s="19">
        <v>80451232</v>
      </c>
      <c r="E13" s="19" t="s">
        <v>389</v>
      </c>
      <c r="F13" s="19" t="s">
        <v>261</v>
      </c>
      <c r="G13" s="20" t="s">
        <v>389</v>
      </c>
      <c r="H13" s="19"/>
      <c r="I13" s="19" t="s">
        <v>230</v>
      </c>
      <c r="J13" s="19" t="s">
        <v>337</v>
      </c>
      <c r="K13" s="19" t="s">
        <v>390</v>
      </c>
      <c r="L13" s="19" t="s">
        <v>279</v>
      </c>
      <c r="M13" s="19" t="s">
        <v>268</v>
      </c>
      <c r="N13" s="19" t="s">
        <v>247</v>
      </c>
      <c r="O13" s="19" t="s">
        <v>275</v>
      </c>
      <c r="P13" s="51" t="s">
        <v>237</v>
      </c>
      <c r="Q13" s="19" t="s">
        <v>391</v>
      </c>
      <c r="R13" s="19">
        <v>200</v>
      </c>
      <c r="S13" s="19" t="s">
        <v>272</v>
      </c>
      <c r="T13" s="19" t="s">
        <v>263</v>
      </c>
      <c r="U13" s="20" t="s">
        <v>263</v>
      </c>
      <c r="V13" s="19" t="s">
        <v>141</v>
      </c>
      <c r="W13" s="19" t="s">
        <v>221</v>
      </c>
      <c r="X13" s="35"/>
      <c r="Y13" s="35"/>
      <c r="Z13" s="32">
        <v>2</v>
      </c>
      <c r="AA13" s="22">
        <v>2</v>
      </c>
      <c r="AB13" s="22"/>
      <c r="AC13" s="22"/>
      <c r="AD13" s="22"/>
      <c r="AE13" s="61">
        <f t="shared" si="4"/>
        <v>2</v>
      </c>
      <c r="AF13" s="22"/>
      <c r="AG13" s="40">
        <f t="shared" si="5"/>
        <v>2</v>
      </c>
      <c r="AH13" s="24"/>
      <c r="AI13" s="24"/>
      <c r="AJ13" s="23">
        <f t="shared" si="6"/>
        <v>2</v>
      </c>
      <c r="AK13" s="25"/>
      <c r="AL13" s="25"/>
      <c r="AM13" s="25"/>
      <c r="AN13" s="25"/>
      <c r="AO13" s="25">
        <f t="shared" si="7"/>
        <v>0</v>
      </c>
      <c r="AP13" s="13"/>
      <c r="AQ13" s="21"/>
      <c r="AR13" s="21"/>
      <c r="AS13" s="21"/>
      <c r="AT13" s="21"/>
      <c r="AU13" s="21"/>
      <c r="AV13" s="21"/>
      <c r="AW13" s="21"/>
      <c r="AX13" s="21"/>
      <c r="AY13" s="77"/>
      <c r="AZ13" s="21"/>
      <c r="BA13" s="21"/>
      <c r="BB13" s="21"/>
      <c r="BC13" s="21"/>
      <c r="BD13" s="21"/>
      <c r="BE13" s="21"/>
      <c r="BF13" s="77"/>
      <c r="BG13" s="21"/>
      <c r="BH13" s="21"/>
      <c r="BI13" s="21"/>
      <c r="BJ13" s="21"/>
      <c r="BK13" s="21"/>
      <c r="BL13" s="21"/>
      <c r="BM13" s="77"/>
      <c r="BN13" s="21"/>
      <c r="BO13" s="21"/>
      <c r="BP13" s="21"/>
      <c r="BQ13" s="21"/>
      <c r="BR13" s="21"/>
      <c r="BS13" s="21"/>
      <c r="BT13" s="96">
        <f t="shared" si="9"/>
        <v>0</v>
      </c>
      <c r="BU13" s="94">
        <f t="shared" si="10"/>
        <v>0</v>
      </c>
      <c r="BV13" s="26" t="s">
        <v>2016</v>
      </c>
      <c r="BW13" s="27"/>
      <c r="BX13" s="19" t="s">
        <v>389</v>
      </c>
      <c r="BY13" s="19" t="b">
        <f t="shared" si="8"/>
        <v>1</v>
      </c>
      <c r="BZ13" s="53" t="s">
        <v>389</v>
      </c>
      <c r="CA13" s="19" t="s">
        <v>574</v>
      </c>
      <c r="CB13" s="19" t="s">
        <v>561</v>
      </c>
      <c r="CC13" s="19" t="s">
        <v>562</v>
      </c>
      <c r="CD13" s="19" t="s">
        <v>575</v>
      </c>
      <c r="CE13" s="19" t="s">
        <v>576</v>
      </c>
      <c r="CF13" s="19" t="s">
        <v>577</v>
      </c>
      <c r="CG13" s="19" t="s">
        <v>578</v>
      </c>
      <c r="CH13" s="19" t="s">
        <v>579</v>
      </c>
      <c r="CI13" s="19" t="s">
        <v>580</v>
      </c>
      <c r="CJ13" s="19" t="s">
        <v>581</v>
      </c>
      <c r="CK13" s="19" t="s">
        <v>582</v>
      </c>
      <c r="CL13" s="19" t="s">
        <v>583</v>
      </c>
      <c r="CM13" s="19" t="s">
        <v>584</v>
      </c>
      <c r="CN13" s="19"/>
      <c r="CO13" s="19"/>
      <c r="CP13" s="19" t="s">
        <v>585</v>
      </c>
      <c r="CQ13" s="19" t="s">
        <v>586</v>
      </c>
      <c r="CR13" s="19" t="s">
        <v>587</v>
      </c>
      <c r="CS13" s="19" t="s">
        <v>588</v>
      </c>
      <c r="CT13" s="19"/>
      <c r="CU13" s="19"/>
      <c r="CV13" s="19"/>
      <c r="CW13" s="19"/>
      <c r="CX13" s="19"/>
      <c r="CY13" s="19"/>
      <c r="CZ13" s="19"/>
      <c r="DA13" s="19"/>
      <c r="DB13" s="19"/>
      <c r="DC13" s="19"/>
    </row>
    <row r="14" spans="1:107" s="7" customFormat="1" x14ac:dyDescent="0.25">
      <c r="A14" s="19" t="s">
        <v>81</v>
      </c>
      <c r="B14" s="19" t="s">
        <v>84</v>
      </c>
      <c r="C14" s="19" t="str">
        <f t="shared" si="3"/>
        <v>80451232TANZANIA</v>
      </c>
      <c r="D14" s="19">
        <v>80451232</v>
      </c>
      <c r="E14" s="19" t="s">
        <v>389</v>
      </c>
      <c r="F14" s="19" t="s">
        <v>261</v>
      </c>
      <c r="G14" s="20" t="s">
        <v>389</v>
      </c>
      <c r="H14" s="19"/>
      <c r="I14" s="19" t="s">
        <v>230</v>
      </c>
      <c r="J14" s="19" t="s">
        <v>337</v>
      </c>
      <c r="K14" s="19" t="s">
        <v>390</v>
      </c>
      <c r="L14" s="19" t="s">
        <v>279</v>
      </c>
      <c r="M14" s="19" t="s">
        <v>268</v>
      </c>
      <c r="N14" s="19" t="s">
        <v>247</v>
      </c>
      <c r="O14" s="19" t="s">
        <v>275</v>
      </c>
      <c r="P14" s="51" t="s">
        <v>237</v>
      </c>
      <c r="Q14" s="19" t="s">
        <v>391</v>
      </c>
      <c r="R14" s="19">
        <v>200</v>
      </c>
      <c r="S14" s="19" t="s">
        <v>272</v>
      </c>
      <c r="T14" s="19" t="s">
        <v>263</v>
      </c>
      <c r="U14" s="20" t="s">
        <v>263</v>
      </c>
      <c r="V14" s="19" t="s">
        <v>141</v>
      </c>
      <c r="W14" s="19" t="s">
        <v>221</v>
      </c>
      <c r="X14" s="35">
        <v>2</v>
      </c>
      <c r="Y14" s="35">
        <v>2</v>
      </c>
      <c r="Z14" s="32"/>
      <c r="AA14" s="22"/>
      <c r="AB14" s="22"/>
      <c r="AC14" s="22"/>
      <c r="AD14" s="22"/>
      <c r="AE14" s="61">
        <f t="shared" si="4"/>
        <v>0</v>
      </c>
      <c r="AF14" s="22"/>
      <c r="AG14" s="40">
        <f t="shared" si="5"/>
        <v>0</v>
      </c>
      <c r="AH14" s="24"/>
      <c r="AI14" s="24"/>
      <c r="AJ14" s="23">
        <f t="shared" si="6"/>
        <v>0</v>
      </c>
      <c r="AK14" s="25"/>
      <c r="AL14" s="25"/>
      <c r="AM14" s="25"/>
      <c r="AN14" s="25"/>
      <c r="AO14" s="25">
        <f t="shared" si="7"/>
        <v>0</v>
      </c>
      <c r="AP14" s="13"/>
      <c r="AQ14" s="21"/>
      <c r="AR14" s="21"/>
      <c r="AS14" s="21"/>
      <c r="AT14" s="21"/>
      <c r="AU14" s="21"/>
      <c r="AV14" s="21"/>
      <c r="AW14" s="21"/>
      <c r="AX14" s="21"/>
      <c r="AY14" s="77"/>
      <c r="AZ14" s="21"/>
      <c r="BA14" s="21"/>
      <c r="BB14" s="21"/>
      <c r="BC14" s="21"/>
      <c r="BD14" s="21"/>
      <c r="BE14" s="21"/>
      <c r="BF14" s="77"/>
      <c r="BG14" s="21"/>
      <c r="BH14" s="21"/>
      <c r="BI14" s="21"/>
      <c r="BJ14" s="21"/>
      <c r="BK14" s="21"/>
      <c r="BL14" s="21"/>
      <c r="BM14" s="77"/>
      <c r="BN14" s="21"/>
      <c r="BO14" s="21"/>
      <c r="BP14" s="21"/>
      <c r="BQ14" s="21"/>
      <c r="BR14" s="21"/>
      <c r="BS14" s="21"/>
      <c r="BT14" s="96">
        <f t="shared" si="9"/>
        <v>0</v>
      </c>
      <c r="BU14" s="94">
        <f t="shared" si="10"/>
        <v>0</v>
      </c>
      <c r="BV14" s="26"/>
      <c r="BW14" s="27"/>
      <c r="BX14" s="19" t="s">
        <v>389</v>
      </c>
      <c r="BY14" s="19" t="b">
        <f t="shared" si="8"/>
        <v>1</v>
      </c>
      <c r="BZ14" s="53" t="s">
        <v>389</v>
      </c>
      <c r="CA14" s="19" t="s">
        <v>574</v>
      </c>
      <c r="CB14" s="19" t="s">
        <v>561</v>
      </c>
      <c r="CC14" s="19" t="s">
        <v>562</v>
      </c>
      <c r="CD14" s="19" t="s">
        <v>575</v>
      </c>
      <c r="CE14" s="19" t="s">
        <v>576</v>
      </c>
      <c r="CF14" s="19" t="s">
        <v>577</v>
      </c>
      <c r="CG14" s="19" t="s">
        <v>578</v>
      </c>
      <c r="CH14" s="19" t="s">
        <v>579</v>
      </c>
      <c r="CI14" s="19" t="s">
        <v>580</v>
      </c>
      <c r="CJ14" s="19" t="s">
        <v>581</v>
      </c>
      <c r="CK14" s="19" t="s">
        <v>582</v>
      </c>
      <c r="CL14" s="19" t="s">
        <v>583</v>
      </c>
      <c r="CM14" s="19" t="s">
        <v>584</v>
      </c>
      <c r="CN14" s="19"/>
      <c r="CO14" s="19"/>
      <c r="CP14" s="19" t="s">
        <v>585</v>
      </c>
      <c r="CQ14" s="19" t="s">
        <v>586</v>
      </c>
      <c r="CR14" s="19" t="s">
        <v>587</v>
      </c>
      <c r="CS14" s="19" t="s">
        <v>588</v>
      </c>
      <c r="CT14" s="19"/>
      <c r="CU14" s="19"/>
      <c r="CV14" s="19"/>
      <c r="CW14" s="19"/>
      <c r="CX14" s="19"/>
      <c r="CY14" s="19"/>
      <c r="CZ14" s="19"/>
      <c r="DA14" s="19"/>
      <c r="DB14" s="19"/>
      <c r="DC14" s="19"/>
    </row>
    <row r="15" spans="1:107" s="7" customFormat="1" x14ac:dyDescent="0.25">
      <c r="A15" s="19" t="s">
        <v>81</v>
      </c>
      <c r="B15" s="19" t="s">
        <v>84</v>
      </c>
      <c r="C15" s="19" t="str">
        <f t="shared" si="3"/>
        <v>80456640TANZANIA</v>
      </c>
      <c r="D15" s="19">
        <v>80456640</v>
      </c>
      <c r="E15" s="19" t="s">
        <v>392</v>
      </c>
      <c r="F15" s="19" t="s">
        <v>261</v>
      </c>
      <c r="G15" s="20" t="s">
        <v>392</v>
      </c>
      <c r="H15" s="19"/>
      <c r="I15" s="19" t="s">
        <v>230</v>
      </c>
      <c r="J15" s="19" t="s">
        <v>337</v>
      </c>
      <c r="K15" s="19" t="s">
        <v>390</v>
      </c>
      <c r="L15" s="19" t="s">
        <v>279</v>
      </c>
      <c r="M15" s="19" t="s">
        <v>268</v>
      </c>
      <c r="N15" s="19" t="s">
        <v>247</v>
      </c>
      <c r="O15" s="19" t="s">
        <v>275</v>
      </c>
      <c r="P15" s="51" t="s">
        <v>237</v>
      </c>
      <c r="Q15" s="19" t="s">
        <v>391</v>
      </c>
      <c r="R15" s="19">
        <v>200</v>
      </c>
      <c r="S15" s="19" t="s">
        <v>272</v>
      </c>
      <c r="T15" s="19" t="s">
        <v>263</v>
      </c>
      <c r="U15" s="20" t="s">
        <v>263</v>
      </c>
      <c r="V15" s="19" t="s">
        <v>142</v>
      </c>
      <c r="W15" s="19" t="s">
        <v>221</v>
      </c>
      <c r="X15" s="35">
        <v>3</v>
      </c>
      <c r="Y15" s="35">
        <v>3</v>
      </c>
      <c r="Z15" s="32"/>
      <c r="AA15" s="22"/>
      <c r="AB15" s="22"/>
      <c r="AC15" s="22"/>
      <c r="AD15" s="22"/>
      <c r="AE15" s="61">
        <f t="shared" si="4"/>
        <v>0</v>
      </c>
      <c r="AF15" s="22"/>
      <c r="AG15" s="40">
        <f t="shared" si="5"/>
        <v>0</v>
      </c>
      <c r="AH15" s="24"/>
      <c r="AI15" s="24"/>
      <c r="AJ15" s="23">
        <f t="shared" si="6"/>
        <v>0</v>
      </c>
      <c r="AK15" s="25"/>
      <c r="AL15" s="25"/>
      <c r="AM15" s="25"/>
      <c r="AN15" s="25"/>
      <c r="AO15" s="25">
        <f t="shared" si="7"/>
        <v>0</v>
      </c>
      <c r="AP15" s="13"/>
      <c r="AQ15" s="21"/>
      <c r="AR15" s="21"/>
      <c r="AS15" s="21"/>
      <c r="AT15" s="21"/>
      <c r="AU15" s="21"/>
      <c r="AV15" s="21"/>
      <c r="AW15" s="21"/>
      <c r="AX15" s="21"/>
      <c r="AY15" s="77"/>
      <c r="AZ15" s="21"/>
      <c r="BA15" s="21"/>
      <c r="BB15" s="21"/>
      <c r="BC15" s="21"/>
      <c r="BD15" s="21"/>
      <c r="BE15" s="21"/>
      <c r="BF15" s="77"/>
      <c r="BG15" s="21"/>
      <c r="BH15" s="21"/>
      <c r="BI15" s="21"/>
      <c r="BJ15" s="21"/>
      <c r="BK15" s="21"/>
      <c r="BL15" s="21"/>
      <c r="BM15" s="77"/>
      <c r="BN15" s="21"/>
      <c r="BO15" s="21"/>
      <c r="BP15" s="21"/>
      <c r="BQ15" s="21"/>
      <c r="BR15" s="21"/>
      <c r="BS15" s="21"/>
      <c r="BT15" s="96">
        <f t="shared" si="9"/>
        <v>0</v>
      </c>
      <c r="BU15" s="94">
        <f t="shared" si="10"/>
        <v>0</v>
      </c>
      <c r="BV15" s="26"/>
      <c r="BW15" s="27"/>
      <c r="BX15" s="19" t="s">
        <v>392</v>
      </c>
      <c r="BY15" s="19" t="b">
        <f t="shared" si="8"/>
        <v>1</v>
      </c>
      <c r="BZ15" s="53" t="s">
        <v>392</v>
      </c>
      <c r="CA15" s="19" t="s">
        <v>589</v>
      </c>
      <c r="CB15" s="19" t="s">
        <v>561</v>
      </c>
      <c r="CC15" s="19" t="s">
        <v>562</v>
      </c>
      <c r="CD15" s="19" t="s">
        <v>590</v>
      </c>
      <c r="CE15" s="19" t="s">
        <v>503</v>
      </c>
      <c r="CF15" s="19" t="s">
        <v>558</v>
      </c>
      <c r="CG15" s="19" t="s">
        <v>559</v>
      </c>
      <c r="CH15" s="19" t="s">
        <v>591</v>
      </c>
      <c r="CI15" s="19" t="s">
        <v>592</v>
      </c>
      <c r="CJ15" s="19" t="s">
        <v>593</v>
      </c>
      <c r="CK15" s="19" t="s">
        <v>594</v>
      </c>
      <c r="CL15" s="19" t="s">
        <v>583</v>
      </c>
      <c r="CM15" s="19" t="s">
        <v>584</v>
      </c>
      <c r="CN15" s="19"/>
      <c r="CO15" s="19"/>
      <c r="CP15" s="19" t="s">
        <v>585</v>
      </c>
      <c r="CQ15" s="19" t="s">
        <v>586</v>
      </c>
      <c r="CR15" s="19" t="s">
        <v>595</v>
      </c>
      <c r="CS15" s="19" t="s">
        <v>596</v>
      </c>
      <c r="CT15" s="19"/>
      <c r="CU15" s="19"/>
      <c r="CV15" s="19"/>
      <c r="CW15" s="19"/>
      <c r="CX15" s="19"/>
      <c r="CY15" s="19"/>
      <c r="CZ15" s="19"/>
      <c r="DA15" s="19"/>
      <c r="DB15" s="19"/>
      <c r="DC15" s="19"/>
    </row>
    <row r="16" spans="1:107" s="7" customFormat="1" x14ac:dyDescent="0.25">
      <c r="A16" s="19" t="s">
        <v>81</v>
      </c>
      <c r="B16" s="19" t="s">
        <v>85</v>
      </c>
      <c r="C16" s="19" t="str">
        <f t="shared" si="3"/>
        <v>87154796ZIMBABWE</v>
      </c>
      <c r="D16" s="19">
        <v>87154796</v>
      </c>
      <c r="E16" s="19" t="s">
        <v>375</v>
      </c>
      <c r="F16" s="19" t="s">
        <v>261</v>
      </c>
      <c r="G16" s="20" t="s">
        <v>375</v>
      </c>
      <c r="H16" s="19"/>
      <c r="I16" s="19" t="s">
        <v>230</v>
      </c>
      <c r="J16" s="19" t="s">
        <v>358</v>
      </c>
      <c r="K16" s="19" t="s">
        <v>376</v>
      </c>
      <c r="L16" s="19" t="s">
        <v>233</v>
      </c>
      <c r="M16" s="19" t="s">
        <v>268</v>
      </c>
      <c r="N16" s="19" t="s">
        <v>247</v>
      </c>
      <c r="O16" s="19" t="s">
        <v>275</v>
      </c>
      <c r="P16" s="51" t="s">
        <v>237</v>
      </c>
      <c r="Q16" s="19" t="s">
        <v>377</v>
      </c>
      <c r="R16" s="19">
        <v>600</v>
      </c>
      <c r="S16" s="19" t="s">
        <v>272</v>
      </c>
      <c r="T16" s="19" t="s">
        <v>1861</v>
      </c>
      <c r="U16" s="20" t="s">
        <v>1861</v>
      </c>
      <c r="V16" s="19" t="s">
        <v>132</v>
      </c>
      <c r="W16" s="19" t="s">
        <v>219</v>
      </c>
      <c r="X16" s="35"/>
      <c r="Y16" s="35"/>
      <c r="Z16" s="32">
        <v>3</v>
      </c>
      <c r="AA16" s="22">
        <v>3</v>
      </c>
      <c r="AB16" s="22"/>
      <c r="AC16" s="22"/>
      <c r="AD16" s="22"/>
      <c r="AE16" s="61">
        <f t="shared" si="4"/>
        <v>3</v>
      </c>
      <c r="AF16" s="22"/>
      <c r="AG16" s="40">
        <f t="shared" si="5"/>
        <v>3</v>
      </c>
      <c r="AH16" s="24"/>
      <c r="AI16" s="24"/>
      <c r="AJ16" s="23">
        <f t="shared" si="6"/>
        <v>3</v>
      </c>
      <c r="AK16" s="25"/>
      <c r="AL16" s="25"/>
      <c r="AM16" s="25">
        <v>2</v>
      </c>
      <c r="AN16" s="25"/>
      <c r="AO16" s="25">
        <f t="shared" si="7"/>
        <v>2</v>
      </c>
      <c r="AP16" s="13"/>
      <c r="AQ16" s="21"/>
      <c r="AR16" s="21"/>
      <c r="AS16" s="21"/>
      <c r="AT16" s="21"/>
      <c r="AU16" s="21"/>
      <c r="AV16" s="21"/>
      <c r="AW16" s="21"/>
      <c r="AX16" s="21"/>
      <c r="AY16" s="77"/>
      <c r="AZ16" s="21"/>
      <c r="BA16" s="21"/>
      <c r="BB16" s="21"/>
      <c r="BC16" s="21"/>
      <c r="BD16" s="21"/>
      <c r="BE16" s="21"/>
      <c r="BF16" s="77"/>
      <c r="BG16" s="21"/>
      <c r="BH16" s="21"/>
      <c r="BI16" s="21"/>
      <c r="BJ16" s="21">
        <v>2</v>
      </c>
      <c r="BK16" s="21"/>
      <c r="BL16" s="21"/>
      <c r="BM16" s="77"/>
      <c r="BN16" s="21"/>
      <c r="BO16" s="21"/>
      <c r="BP16" s="21"/>
      <c r="BQ16" s="21"/>
      <c r="BR16" s="21"/>
      <c r="BS16" s="21"/>
      <c r="BT16" s="96">
        <f t="shared" si="9"/>
        <v>2</v>
      </c>
      <c r="BU16" s="94">
        <f t="shared" si="10"/>
        <v>0</v>
      </c>
      <c r="BV16" s="26" t="s">
        <v>2017</v>
      </c>
      <c r="BW16" s="27"/>
      <c r="BX16" s="19" t="s">
        <v>375</v>
      </c>
      <c r="BY16" s="19" t="b">
        <f t="shared" si="8"/>
        <v>1</v>
      </c>
      <c r="BZ16" s="53" t="s">
        <v>375</v>
      </c>
      <c r="CA16" s="19" t="s">
        <v>597</v>
      </c>
      <c r="CB16" s="19" t="s">
        <v>598</v>
      </c>
      <c r="CC16" s="19" t="s">
        <v>599</v>
      </c>
      <c r="CD16" s="19" t="s">
        <v>600</v>
      </c>
      <c r="CE16" s="19" t="s">
        <v>601</v>
      </c>
      <c r="CF16" s="19" t="s">
        <v>602</v>
      </c>
      <c r="CG16" s="19" t="s">
        <v>603</v>
      </c>
      <c r="CH16" s="19" t="s">
        <v>604</v>
      </c>
      <c r="CI16" s="19" t="s">
        <v>605</v>
      </c>
      <c r="CJ16" s="19" t="s">
        <v>606</v>
      </c>
      <c r="CK16" s="19" t="s">
        <v>607</v>
      </c>
      <c r="CL16" s="19" t="s">
        <v>608</v>
      </c>
      <c r="CM16" s="19" t="s">
        <v>609</v>
      </c>
      <c r="CN16" s="19"/>
      <c r="CO16" s="19"/>
      <c r="CP16" s="19" t="s">
        <v>610</v>
      </c>
      <c r="CQ16" s="19" t="s">
        <v>611</v>
      </c>
      <c r="CR16" s="19" t="s">
        <v>612</v>
      </c>
      <c r="CS16" s="19" t="s">
        <v>613</v>
      </c>
      <c r="CT16" s="19"/>
      <c r="CU16" s="19"/>
      <c r="CV16" s="19"/>
      <c r="CW16" s="19"/>
      <c r="CX16" s="19"/>
      <c r="CY16" s="19"/>
      <c r="CZ16" s="19"/>
      <c r="DA16" s="19"/>
      <c r="DB16" s="19"/>
      <c r="DC16" s="19"/>
    </row>
    <row r="17" spans="1:107" s="7" customFormat="1" x14ac:dyDescent="0.25">
      <c r="A17" s="19" t="s">
        <v>81</v>
      </c>
      <c r="B17" s="19" t="s">
        <v>86</v>
      </c>
      <c r="C17" s="19" t="str">
        <f t="shared" si="3"/>
        <v>87154796MOZAMBIQUE</v>
      </c>
      <c r="D17" s="19">
        <v>87154796</v>
      </c>
      <c r="E17" s="19" t="s">
        <v>375</v>
      </c>
      <c r="F17" s="19" t="s">
        <v>261</v>
      </c>
      <c r="G17" s="20" t="s">
        <v>375</v>
      </c>
      <c r="H17" s="19"/>
      <c r="I17" s="19" t="s">
        <v>230</v>
      </c>
      <c r="J17" s="19" t="s">
        <v>358</v>
      </c>
      <c r="K17" s="19" t="s">
        <v>376</v>
      </c>
      <c r="L17" s="19" t="s">
        <v>233</v>
      </c>
      <c r="M17" s="19" t="s">
        <v>268</v>
      </c>
      <c r="N17" s="19" t="s">
        <v>247</v>
      </c>
      <c r="O17" s="19" t="s">
        <v>275</v>
      </c>
      <c r="P17" s="51" t="s">
        <v>237</v>
      </c>
      <c r="Q17" s="19" t="s">
        <v>377</v>
      </c>
      <c r="R17" s="19">
        <v>600</v>
      </c>
      <c r="S17" s="19" t="s">
        <v>272</v>
      </c>
      <c r="T17" s="19" t="s">
        <v>1861</v>
      </c>
      <c r="U17" s="20" t="s">
        <v>1861</v>
      </c>
      <c r="V17" s="19" t="s">
        <v>132</v>
      </c>
      <c r="W17" s="19" t="s">
        <v>220</v>
      </c>
      <c r="X17" s="35">
        <v>1</v>
      </c>
      <c r="Y17" s="35">
        <v>1</v>
      </c>
      <c r="Z17" s="32"/>
      <c r="AA17" s="22"/>
      <c r="AB17" s="22"/>
      <c r="AC17" s="22"/>
      <c r="AD17" s="22"/>
      <c r="AE17" s="61">
        <f t="shared" si="4"/>
        <v>0</v>
      </c>
      <c r="AF17" s="22"/>
      <c r="AG17" s="40">
        <f t="shared" si="5"/>
        <v>0</v>
      </c>
      <c r="AH17" s="24"/>
      <c r="AI17" s="24"/>
      <c r="AJ17" s="23">
        <f t="shared" si="6"/>
        <v>0</v>
      </c>
      <c r="AK17" s="25"/>
      <c r="AL17" s="25"/>
      <c r="AM17" s="25"/>
      <c r="AN17" s="25"/>
      <c r="AO17" s="25">
        <f t="shared" si="7"/>
        <v>0</v>
      </c>
      <c r="AP17" s="13"/>
      <c r="AQ17" s="21"/>
      <c r="AR17" s="21"/>
      <c r="AS17" s="21"/>
      <c r="AT17" s="21"/>
      <c r="AU17" s="21"/>
      <c r="AV17" s="21"/>
      <c r="AW17" s="21"/>
      <c r="AX17" s="21"/>
      <c r="AY17" s="77"/>
      <c r="AZ17" s="21"/>
      <c r="BA17" s="21"/>
      <c r="BB17" s="21"/>
      <c r="BC17" s="21"/>
      <c r="BD17" s="21"/>
      <c r="BE17" s="21"/>
      <c r="BF17" s="77"/>
      <c r="BG17" s="21"/>
      <c r="BH17" s="21"/>
      <c r="BI17" s="21"/>
      <c r="BJ17" s="21"/>
      <c r="BK17" s="21"/>
      <c r="BL17" s="21"/>
      <c r="BM17" s="77"/>
      <c r="BN17" s="21"/>
      <c r="BO17" s="21"/>
      <c r="BP17" s="21"/>
      <c r="BQ17" s="21"/>
      <c r="BR17" s="21"/>
      <c r="BS17" s="21"/>
      <c r="BT17" s="96">
        <f t="shared" si="9"/>
        <v>0</v>
      </c>
      <c r="BU17" s="94">
        <f t="shared" si="10"/>
        <v>0</v>
      </c>
      <c r="BV17" s="26"/>
      <c r="BW17" s="27"/>
      <c r="BX17" s="19" t="s">
        <v>375</v>
      </c>
      <c r="BY17" s="19" t="b">
        <f t="shared" si="8"/>
        <v>1</v>
      </c>
      <c r="BZ17" s="53" t="s">
        <v>375</v>
      </c>
      <c r="CA17" s="19" t="s">
        <v>597</v>
      </c>
      <c r="CB17" s="19" t="s">
        <v>598</v>
      </c>
      <c r="CC17" s="19" t="s">
        <v>599</v>
      </c>
      <c r="CD17" s="19" t="s">
        <v>600</v>
      </c>
      <c r="CE17" s="19" t="s">
        <v>601</v>
      </c>
      <c r="CF17" s="19" t="s">
        <v>602</v>
      </c>
      <c r="CG17" s="19" t="s">
        <v>603</v>
      </c>
      <c r="CH17" s="19" t="s">
        <v>604</v>
      </c>
      <c r="CI17" s="19" t="s">
        <v>605</v>
      </c>
      <c r="CJ17" s="19" t="s">
        <v>606</v>
      </c>
      <c r="CK17" s="19" t="s">
        <v>607</v>
      </c>
      <c r="CL17" s="19" t="s">
        <v>608</v>
      </c>
      <c r="CM17" s="19" t="s">
        <v>609</v>
      </c>
      <c r="CN17" s="19"/>
      <c r="CO17" s="19"/>
      <c r="CP17" s="19" t="s">
        <v>610</v>
      </c>
      <c r="CQ17" s="19" t="s">
        <v>611</v>
      </c>
      <c r="CR17" s="19" t="s">
        <v>612</v>
      </c>
      <c r="CS17" s="19" t="s">
        <v>613</v>
      </c>
      <c r="CT17" s="19"/>
      <c r="CU17" s="19"/>
      <c r="CV17" s="19"/>
      <c r="CW17" s="19"/>
      <c r="CX17" s="19"/>
      <c r="CY17" s="19"/>
      <c r="CZ17" s="19"/>
      <c r="DA17" s="19"/>
      <c r="DB17" s="19"/>
      <c r="DC17" s="19"/>
    </row>
    <row r="18" spans="1:107" s="7" customFormat="1" x14ac:dyDescent="0.25">
      <c r="A18" s="19" t="s">
        <v>81</v>
      </c>
      <c r="B18" s="19" t="s">
        <v>88</v>
      </c>
      <c r="C18" s="19" t="str">
        <f t="shared" si="3"/>
        <v>87150500SRI LANKA</v>
      </c>
      <c r="D18" s="19">
        <v>87150500</v>
      </c>
      <c r="E18" s="19" t="s">
        <v>387</v>
      </c>
      <c r="F18" s="19" t="s">
        <v>261</v>
      </c>
      <c r="G18" s="20" t="s">
        <v>387</v>
      </c>
      <c r="H18" s="19"/>
      <c r="I18" s="19" t="s">
        <v>230</v>
      </c>
      <c r="J18" s="19" t="s">
        <v>360</v>
      </c>
      <c r="K18" s="19" t="s">
        <v>376</v>
      </c>
      <c r="L18" s="19" t="s">
        <v>233</v>
      </c>
      <c r="M18" s="19" t="s">
        <v>268</v>
      </c>
      <c r="N18" s="19" t="s">
        <v>247</v>
      </c>
      <c r="O18" s="19" t="s">
        <v>275</v>
      </c>
      <c r="P18" s="51" t="s">
        <v>237</v>
      </c>
      <c r="Q18" s="19" t="s">
        <v>377</v>
      </c>
      <c r="R18" s="19">
        <v>600</v>
      </c>
      <c r="S18" s="19" t="s">
        <v>272</v>
      </c>
      <c r="T18" s="19" t="s">
        <v>1861</v>
      </c>
      <c r="U18" s="20" t="s">
        <v>1861</v>
      </c>
      <c r="V18" s="19" t="s">
        <v>139</v>
      </c>
      <c r="W18" s="19" t="s">
        <v>219</v>
      </c>
      <c r="X18" s="35">
        <v>5</v>
      </c>
      <c r="Y18" s="35">
        <v>5</v>
      </c>
      <c r="Z18" s="32">
        <v>12</v>
      </c>
      <c r="AA18" s="22">
        <v>12</v>
      </c>
      <c r="AB18" s="22"/>
      <c r="AC18" s="22"/>
      <c r="AD18" s="22"/>
      <c r="AE18" s="61">
        <f t="shared" si="4"/>
        <v>12</v>
      </c>
      <c r="AF18" s="22"/>
      <c r="AG18" s="40">
        <f t="shared" si="5"/>
        <v>12</v>
      </c>
      <c r="AH18" s="24">
        <v>12</v>
      </c>
      <c r="AI18" s="24"/>
      <c r="AJ18" s="23">
        <f t="shared" si="6"/>
        <v>0</v>
      </c>
      <c r="AK18" s="25"/>
      <c r="AL18" s="25"/>
      <c r="AM18" s="25"/>
      <c r="AN18" s="25"/>
      <c r="AO18" s="25">
        <f t="shared" si="7"/>
        <v>0</v>
      </c>
      <c r="AP18" s="13">
        <v>12</v>
      </c>
      <c r="AQ18" s="21">
        <v>4</v>
      </c>
      <c r="AR18" s="21">
        <v>4</v>
      </c>
      <c r="AS18" s="21">
        <v>4</v>
      </c>
      <c r="AT18" s="21"/>
      <c r="AU18" s="21"/>
      <c r="AV18" s="21"/>
      <c r="AW18" s="21"/>
      <c r="AX18" s="21"/>
      <c r="AY18" s="77"/>
      <c r="AZ18" s="21"/>
      <c r="BA18" s="21"/>
      <c r="BB18" s="21"/>
      <c r="BC18" s="21"/>
      <c r="BD18" s="21"/>
      <c r="BE18" s="21"/>
      <c r="BF18" s="77"/>
      <c r="BG18" s="21"/>
      <c r="BH18" s="21"/>
      <c r="BI18" s="21"/>
      <c r="BJ18" s="21"/>
      <c r="BK18" s="21"/>
      <c r="BL18" s="21"/>
      <c r="BM18" s="77"/>
      <c r="BN18" s="21"/>
      <c r="BO18" s="21"/>
      <c r="BP18" s="21"/>
      <c r="BQ18" s="21"/>
      <c r="BR18" s="21"/>
      <c r="BS18" s="21"/>
      <c r="BT18" s="96">
        <f t="shared" si="9"/>
        <v>12</v>
      </c>
      <c r="BU18" s="94">
        <f t="shared" si="10"/>
        <v>-12</v>
      </c>
      <c r="BV18" s="26"/>
      <c r="BW18" s="27"/>
      <c r="BX18" s="19" t="s">
        <v>387</v>
      </c>
      <c r="BY18" s="19" t="b">
        <f t="shared" si="8"/>
        <v>1</v>
      </c>
      <c r="BZ18" s="53" t="s">
        <v>387</v>
      </c>
      <c r="CA18" s="19" t="s">
        <v>614</v>
      </c>
      <c r="CB18" s="19" t="s">
        <v>615</v>
      </c>
      <c r="CC18" s="19" t="s">
        <v>616</v>
      </c>
      <c r="CD18" s="19" t="s">
        <v>617</v>
      </c>
      <c r="CE18" s="19" t="s">
        <v>618</v>
      </c>
      <c r="CF18" s="19" t="s">
        <v>619</v>
      </c>
      <c r="CG18" s="19" t="s">
        <v>620</v>
      </c>
      <c r="CH18" s="19" t="s">
        <v>621</v>
      </c>
      <c r="CI18" s="19" t="s">
        <v>622</v>
      </c>
      <c r="CJ18" s="19" t="s">
        <v>623</v>
      </c>
      <c r="CK18" s="19" t="s">
        <v>624</v>
      </c>
      <c r="CL18" s="19" t="s">
        <v>625</v>
      </c>
      <c r="CM18" s="19" t="s">
        <v>626</v>
      </c>
      <c r="CN18" s="19"/>
      <c r="CO18" s="19"/>
      <c r="CP18" s="19" t="s">
        <v>627</v>
      </c>
      <c r="CQ18" s="19" t="s">
        <v>628</v>
      </c>
      <c r="CR18" s="19" t="s">
        <v>629</v>
      </c>
      <c r="CS18" s="19" t="s">
        <v>630</v>
      </c>
      <c r="CT18" s="19"/>
      <c r="CU18" s="19"/>
      <c r="CV18" s="19"/>
      <c r="CW18" s="19"/>
      <c r="CX18" s="19"/>
      <c r="CY18" s="19"/>
      <c r="CZ18" s="19"/>
      <c r="DA18" s="19"/>
      <c r="DB18" s="19"/>
      <c r="DC18" s="19"/>
    </row>
    <row r="19" spans="1:107" s="7" customFormat="1" x14ac:dyDescent="0.25">
      <c r="A19" s="19" t="s">
        <v>81</v>
      </c>
      <c r="B19" s="19" t="s">
        <v>96</v>
      </c>
      <c r="C19" s="19" t="str">
        <f t="shared" si="3"/>
        <v>87153170QATAR</v>
      </c>
      <c r="D19" s="19">
        <v>87153170</v>
      </c>
      <c r="E19" s="19" t="s">
        <v>323</v>
      </c>
      <c r="F19" s="19" t="s">
        <v>261</v>
      </c>
      <c r="G19" s="20" t="s">
        <v>323</v>
      </c>
      <c r="H19" s="19"/>
      <c r="I19" s="19" t="s">
        <v>230</v>
      </c>
      <c r="J19" s="19" t="s">
        <v>324</v>
      </c>
      <c r="K19" s="19" t="s">
        <v>325</v>
      </c>
      <c r="L19" s="19" t="s">
        <v>233</v>
      </c>
      <c r="M19" s="19" t="s">
        <v>268</v>
      </c>
      <c r="N19" s="19" t="s">
        <v>247</v>
      </c>
      <c r="O19" s="19" t="s">
        <v>275</v>
      </c>
      <c r="P19" s="51" t="s">
        <v>237</v>
      </c>
      <c r="Q19" s="19" t="s">
        <v>325</v>
      </c>
      <c r="R19" s="19">
        <v>700</v>
      </c>
      <c r="S19" s="19" t="s">
        <v>272</v>
      </c>
      <c r="T19" s="19" t="s">
        <v>1861</v>
      </c>
      <c r="U19" s="20" t="s">
        <v>1861</v>
      </c>
      <c r="V19" s="19" t="s">
        <v>1770</v>
      </c>
      <c r="W19" s="19" t="s">
        <v>219</v>
      </c>
      <c r="X19" s="35"/>
      <c r="Y19" s="35"/>
      <c r="Z19" s="32"/>
      <c r="AA19" s="22"/>
      <c r="AB19" s="22"/>
      <c r="AC19" s="22">
        <v>20</v>
      </c>
      <c r="AD19" s="22">
        <v>20</v>
      </c>
      <c r="AE19" s="61">
        <f t="shared" si="4"/>
        <v>40</v>
      </c>
      <c r="AF19" s="22"/>
      <c r="AG19" s="40">
        <f t="shared" si="5"/>
        <v>40</v>
      </c>
      <c r="AH19" s="24"/>
      <c r="AI19" s="24"/>
      <c r="AJ19" s="23">
        <f t="shared" si="6"/>
        <v>40</v>
      </c>
      <c r="AK19" s="25">
        <v>15</v>
      </c>
      <c r="AL19" s="25">
        <v>15</v>
      </c>
      <c r="AM19" s="25">
        <v>10</v>
      </c>
      <c r="AN19" s="25"/>
      <c r="AO19" s="25">
        <f t="shared" si="7"/>
        <v>40</v>
      </c>
      <c r="AP19" s="13"/>
      <c r="AQ19" s="21"/>
      <c r="AR19" s="21"/>
      <c r="AS19" s="21"/>
      <c r="AT19" s="21"/>
      <c r="AU19" s="21"/>
      <c r="AV19" s="21"/>
      <c r="AW19" s="21"/>
      <c r="AX19" s="21">
        <v>5</v>
      </c>
      <c r="AY19" s="77"/>
      <c r="AZ19" s="21">
        <v>5</v>
      </c>
      <c r="BA19" s="21">
        <v>5</v>
      </c>
      <c r="BB19" s="21"/>
      <c r="BC19" s="21"/>
      <c r="BD19" s="21"/>
      <c r="BE19" s="21">
        <v>5</v>
      </c>
      <c r="BF19" s="77"/>
      <c r="BG19" s="21">
        <v>5</v>
      </c>
      <c r="BH19" s="21">
        <v>5</v>
      </c>
      <c r="BI19" s="21"/>
      <c r="BJ19" s="21"/>
      <c r="BK19" s="21">
        <v>5</v>
      </c>
      <c r="BL19" s="21">
        <v>5</v>
      </c>
      <c r="BM19" s="77"/>
      <c r="BN19" s="21"/>
      <c r="BO19" s="21"/>
      <c r="BP19" s="21"/>
      <c r="BQ19" s="21"/>
      <c r="BR19" s="21"/>
      <c r="BS19" s="21"/>
      <c r="BT19" s="100">
        <f t="shared" si="9"/>
        <v>40</v>
      </c>
      <c r="BU19" s="94">
        <f t="shared" si="10"/>
        <v>0</v>
      </c>
      <c r="BV19" s="26"/>
      <c r="BW19" s="27"/>
      <c r="BX19" s="19" t="s">
        <v>323</v>
      </c>
      <c r="BY19" s="19" t="b">
        <f t="shared" si="8"/>
        <v>1</v>
      </c>
      <c r="BZ19" s="53" t="s">
        <v>323</v>
      </c>
      <c r="CA19" s="19" t="s">
        <v>631</v>
      </c>
      <c r="CB19" s="19" t="s">
        <v>632</v>
      </c>
      <c r="CC19" s="19" t="s">
        <v>633</v>
      </c>
      <c r="CD19" s="19" t="s">
        <v>634</v>
      </c>
      <c r="CE19" s="19" t="s">
        <v>635</v>
      </c>
      <c r="CF19" s="19" t="s">
        <v>636</v>
      </c>
      <c r="CG19" s="19" t="s">
        <v>637</v>
      </c>
      <c r="CH19" s="19" t="s">
        <v>638</v>
      </c>
      <c r="CI19" s="19" t="s">
        <v>639</v>
      </c>
      <c r="CJ19" s="19" t="s">
        <v>640</v>
      </c>
      <c r="CK19" s="19" t="s">
        <v>641</v>
      </c>
      <c r="CL19" s="19" t="s">
        <v>642</v>
      </c>
      <c r="CM19" s="19" t="s">
        <v>643</v>
      </c>
      <c r="CN19" s="19"/>
      <c r="CO19" s="19"/>
      <c r="CP19" s="19" t="s">
        <v>644</v>
      </c>
      <c r="CQ19" s="19" t="s">
        <v>645</v>
      </c>
      <c r="CR19" s="19" t="s">
        <v>646</v>
      </c>
      <c r="CS19" s="19" t="s">
        <v>647</v>
      </c>
      <c r="CT19" s="19"/>
      <c r="CU19" s="19"/>
      <c r="CV19" s="19"/>
      <c r="CW19" s="19"/>
      <c r="CX19" s="19"/>
      <c r="CY19" s="19"/>
      <c r="CZ19" s="19"/>
      <c r="DA19" s="19"/>
      <c r="DB19" s="19"/>
      <c r="DC19" s="19"/>
    </row>
    <row r="20" spans="1:107" s="7" customFormat="1" x14ac:dyDescent="0.25">
      <c r="A20" s="19" t="s">
        <v>81</v>
      </c>
      <c r="B20" s="19" t="s">
        <v>1741</v>
      </c>
      <c r="C20" s="19" t="str">
        <f t="shared" si="3"/>
        <v>87153088BAHRAIN</v>
      </c>
      <c r="D20" s="19">
        <v>87153088</v>
      </c>
      <c r="E20" s="19" t="s">
        <v>1867</v>
      </c>
      <c r="F20" s="19" t="s">
        <v>261</v>
      </c>
      <c r="G20" s="20" t="s">
        <v>1867</v>
      </c>
      <c r="H20" s="19"/>
      <c r="I20" s="19" t="s">
        <v>230</v>
      </c>
      <c r="J20" s="19" t="s">
        <v>360</v>
      </c>
      <c r="K20" s="19" t="s">
        <v>325</v>
      </c>
      <c r="L20" s="19" t="s">
        <v>233</v>
      </c>
      <c r="M20" s="19" t="s">
        <v>268</v>
      </c>
      <c r="N20" s="19" t="s">
        <v>247</v>
      </c>
      <c r="O20" s="19" t="s">
        <v>275</v>
      </c>
      <c r="P20" s="51" t="s">
        <v>237</v>
      </c>
      <c r="Q20" s="19" t="s">
        <v>325</v>
      </c>
      <c r="R20" s="19">
        <v>700</v>
      </c>
      <c r="S20" s="19" t="s">
        <v>272</v>
      </c>
      <c r="T20" s="19" t="s">
        <v>1861</v>
      </c>
      <c r="U20" s="20" t="s">
        <v>1861</v>
      </c>
      <c r="V20" s="19" t="s">
        <v>1771</v>
      </c>
      <c r="W20" s="19" t="s">
        <v>219</v>
      </c>
      <c r="X20" s="35"/>
      <c r="Y20" s="35"/>
      <c r="Z20" s="32"/>
      <c r="AA20" s="22"/>
      <c r="AB20" s="22">
        <v>1</v>
      </c>
      <c r="AC20" s="22"/>
      <c r="AD20" s="22"/>
      <c r="AE20" s="61">
        <f t="shared" si="4"/>
        <v>1</v>
      </c>
      <c r="AF20" s="22"/>
      <c r="AG20" s="40">
        <f t="shared" si="5"/>
        <v>1</v>
      </c>
      <c r="AH20" s="24"/>
      <c r="AI20" s="24"/>
      <c r="AJ20" s="23">
        <f t="shared" si="6"/>
        <v>1</v>
      </c>
      <c r="AK20" s="25"/>
      <c r="AL20" s="25">
        <v>1</v>
      </c>
      <c r="AM20" s="25"/>
      <c r="AN20" s="25"/>
      <c r="AO20" s="25">
        <f t="shared" si="7"/>
        <v>1</v>
      </c>
      <c r="AP20" s="13"/>
      <c r="AQ20" s="21"/>
      <c r="AR20" s="21"/>
      <c r="AS20" s="21"/>
      <c r="AT20" s="21"/>
      <c r="AU20" s="21"/>
      <c r="AV20" s="21"/>
      <c r="AW20" s="21"/>
      <c r="AX20" s="21"/>
      <c r="AY20" s="77"/>
      <c r="AZ20" s="21"/>
      <c r="BA20" s="21"/>
      <c r="BB20" s="21"/>
      <c r="BC20" s="21"/>
      <c r="BD20" s="21"/>
      <c r="BE20" s="21">
        <v>1</v>
      </c>
      <c r="BF20" s="77"/>
      <c r="BG20" s="21"/>
      <c r="BH20" s="21"/>
      <c r="BI20" s="21"/>
      <c r="BJ20" s="21"/>
      <c r="BK20" s="21"/>
      <c r="BL20" s="21"/>
      <c r="BM20" s="77"/>
      <c r="BN20" s="21"/>
      <c r="BO20" s="21"/>
      <c r="BP20" s="21"/>
      <c r="BQ20" s="21"/>
      <c r="BR20" s="21"/>
      <c r="BS20" s="21"/>
      <c r="BT20" s="100">
        <f t="shared" si="9"/>
        <v>1</v>
      </c>
      <c r="BU20" s="94">
        <f t="shared" si="10"/>
        <v>0</v>
      </c>
      <c r="BV20" s="26" t="s">
        <v>2018</v>
      </c>
      <c r="BW20" s="27"/>
      <c r="BX20" s="19" t="s">
        <v>1867</v>
      </c>
      <c r="BY20" s="19" t="b">
        <f t="shared" si="8"/>
        <v>1</v>
      </c>
      <c r="BZ20" s="53" t="s">
        <v>1867</v>
      </c>
      <c r="CA20" s="19" t="s">
        <v>1871</v>
      </c>
      <c r="CB20" s="19" t="s">
        <v>632</v>
      </c>
      <c r="CC20" s="19" t="s">
        <v>633</v>
      </c>
      <c r="CD20" s="19" t="s">
        <v>1872</v>
      </c>
      <c r="CE20" s="19" t="s">
        <v>1868</v>
      </c>
      <c r="CF20" s="19" t="s">
        <v>649</v>
      </c>
      <c r="CG20" s="19" t="s">
        <v>650</v>
      </c>
      <c r="CH20" s="19" t="s">
        <v>638</v>
      </c>
      <c r="CI20" s="19" t="s">
        <v>639</v>
      </c>
      <c r="CJ20" s="19" t="s">
        <v>1873</v>
      </c>
      <c r="CK20" s="19" t="s">
        <v>1874</v>
      </c>
      <c r="CL20" s="19" t="s">
        <v>1875</v>
      </c>
      <c r="CM20" s="19" t="s">
        <v>1876</v>
      </c>
      <c r="CN20" s="19"/>
      <c r="CO20" s="19"/>
      <c r="CP20" s="19" t="s">
        <v>644</v>
      </c>
      <c r="CQ20" s="19" t="s">
        <v>645</v>
      </c>
      <c r="CR20" s="19" t="s">
        <v>1877</v>
      </c>
      <c r="CS20" s="19" t="s">
        <v>1878</v>
      </c>
      <c r="CT20" s="19"/>
      <c r="CU20" s="19"/>
      <c r="CV20" s="19"/>
      <c r="CW20" s="19"/>
      <c r="CX20" s="19"/>
      <c r="CY20" s="19"/>
      <c r="CZ20" s="19"/>
      <c r="DA20" s="19"/>
      <c r="DB20" s="19"/>
      <c r="DC20" s="19"/>
    </row>
    <row r="21" spans="1:107" s="7" customFormat="1" x14ac:dyDescent="0.25">
      <c r="A21" s="19" t="s">
        <v>81</v>
      </c>
      <c r="B21" s="19" t="s">
        <v>92</v>
      </c>
      <c r="C21" s="19" t="str">
        <f t="shared" si="3"/>
        <v>87157532UTD.ARAB EMIR.</v>
      </c>
      <c r="D21" s="19">
        <v>87157532</v>
      </c>
      <c r="E21" s="19" t="s">
        <v>1834</v>
      </c>
      <c r="F21" s="19" t="s">
        <v>261</v>
      </c>
      <c r="G21" s="20" t="s">
        <v>1834</v>
      </c>
      <c r="H21" s="19"/>
      <c r="I21" s="19" t="s">
        <v>230</v>
      </c>
      <c r="J21" s="19" t="s">
        <v>360</v>
      </c>
      <c r="K21" s="19" t="s">
        <v>325</v>
      </c>
      <c r="L21" s="19" t="s">
        <v>233</v>
      </c>
      <c r="M21" s="19" t="s">
        <v>268</v>
      </c>
      <c r="N21" s="19" t="s">
        <v>247</v>
      </c>
      <c r="O21" s="19" t="s">
        <v>275</v>
      </c>
      <c r="P21" s="51" t="s">
        <v>237</v>
      </c>
      <c r="Q21" s="19" t="s">
        <v>325</v>
      </c>
      <c r="R21" s="19">
        <v>700</v>
      </c>
      <c r="S21" s="19" t="s">
        <v>272</v>
      </c>
      <c r="T21" s="19" t="s">
        <v>1861</v>
      </c>
      <c r="U21" s="20" t="s">
        <v>1861</v>
      </c>
      <c r="V21" s="19" t="s">
        <v>1777</v>
      </c>
      <c r="W21" s="19" t="s">
        <v>219</v>
      </c>
      <c r="X21" s="35"/>
      <c r="Y21" s="35"/>
      <c r="Z21" s="32"/>
      <c r="AA21" s="22"/>
      <c r="AB21" s="22"/>
      <c r="AC21" s="22">
        <v>5</v>
      </c>
      <c r="AD21" s="22">
        <v>10</v>
      </c>
      <c r="AE21" s="61">
        <f t="shared" si="4"/>
        <v>15</v>
      </c>
      <c r="AF21" s="22"/>
      <c r="AG21" s="40">
        <f t="shared" si="5"/>
        <v>15</v>
      </c>
      <c r="AH21" s="24"/>
      <c r="AI21" s="24"/>
      <c r="AJ21" s="23">
        <f t="shared" si="6"/>
        <v>15</v>
      </c>
      <c r="AK21" s="25"/>
      <c r="AL21" s="25">
        <v>15</v>
      </c>
      <c r="AM21" s="25"/>
      <c r="AN21" s="25"/>
      <c r="AO21" s="25">
        <f t="shared" si="7"/>
        <v>15</v>
      </c>
      <c r="AP21" s="13"/>
      <c r="AQ21" s="21"/>
      <c r="AR21" s="21"/>
      <c r="AS21" s="21"/>
      <c r="AT21" s="21"/>
      <c r="AU21" s="21"/>
      <c r="AV21" s="21"/>
      <c r="AW21" s="21"/>
      <c r="AX21" s="21"/>
      <c r="AY21" s="77"/>
      <c r="AZ21" s="21"/>
      <c r="BA21" s="21"/>
      <c r="BB21" s="21"/>
      <c r="BC21" s="21"/>
      <c r="BD21" s="21"/>
      <c r="BE21" s="21">
        <v>5</v>
      </c>
      <c r="BF21" s="77"/>
      <c r="BG21" s="21">
        <v>5</v>
      </c>
      <c r="BH21" s="21">
        <v>5</v>
      </c>
      <c r="BI21" s="21"/>
      <c r="BJ21" s="21"/>
      <c r="BK21" s="21"/>
      <c r="BL21" s="21"/>
      <c r="BM21" s="77"/>
      <c r="BN21" s="21"/>
      <c r="BO21" s="21"/>
      <c r="BP21" s="21"/>
      <c r="BQ21" s="21"/>
      <c r="BR21" s="21"/>
      <c r="BS21" s="21"/>
      <c r="BT21" s="100">
        <f t="shared" si="9"/>
        <v>15</v>
      </c>
      <c r="BU21" s="94">
        <f t="shared" si="10"/>
        <v>0</v>
      </c>
      <c r="BV21" s="26" t="s">
        <v>2018</v>
      </c>
      <c r="BW21" s="27"/>
      <c r="BX21" s="19" t="s">
        <v>1834</v>
      </c>
      <c r="BY21" s="19" t="b">
        <f t="shared" si="8"/>
        <v>1</v>
      </c>
      <c r="BZ21" s="53" t="s">
        <v>1834</v>
      </c>
      <c r="CA21" s="19" t="s">
        <v>1871</v>
      </c>
      <c r="CB21" s="19" t="s">
        <v>632</v>
      </c>
      <c r="CC21" s="19" t="s">
        <v>633</v>
      </c>
      <c r="CD21" s="19" t="s">
        <v>1872</v>
      </c>
      <c r="CE21" s="19" t="s">
        <v>1868</v>
      </c>
      <c r="CF21" s="19" t="s">
        <v>649</v>
      </c>
      <c r="CG21" s="19" t="s">
        <v>650</v>
      </c>
      <c r="CH21" s="19" t="s">
        <v>638</v>
      </c>
      <c r="CI21" s="19" t="s">
        <v>639</v>
      </c>
      <c r="CJ21" s="19" t="s">
        <v>1873</v>
      </c>
      <c r="CK21" s="19" t="s">
        <v>1874</v>
      </c>
      <c r="CL21" s="19" t="s">
        <v>653</v>
      </c>
      <c r="CM21" s="19" t="s">
        <v>654</v>
      </c>
      <c r="CN21" s="19"/>
      <c r="CO21" s="19"/>
      <c r="CP21" s="19" t="s">
        <v>644</v>
      </c>
      <c r="CQ21" s="19" t="s">
        <v>645</v>
      </c>
      <c r="CR21" s="19" t="s">
        <v>1877</v>
      </c>
      <c r="CS21" s="19" t="s">
        <v>1878</v>
      </c>
      <c r="CT21" s="19"/>
      <c r="CU21" s="19"/>
      <c r="CV21" s="19"/>
      <c r="CW21" s="19"/>
      <c r="CX21" s="19"/>
      <c r="CY21" s="19"/>
      <c r="CZ21" s="19"/>
      <c r="DA21" s="19"/>
      <c r="DB21" s="19"/>
      <c r="DC21" s="19"/>
    </row>
    <row r="22" spans="1:107" s="7" customFormat="1" x14ac:dyDescent="0.25">
      <c r="A22" s="19" t="s">
        <v>81</v>
      </c>
      <c r="B22" s="19" t="s">
        <v>94</v>
      </c>
      <c r="C22" s="19" t="str">
        <f t="shared" si="3"/>
        <v>87157645Qatar</v>
      </c>
      <c r="D22" s="19">
        <v>87157645</v>
      </c>
      <c r="E22" s="19" t="s">
        <v>323</v>
      </c>
      <c r="F22" s="19" t="s">
        <v>261</v>
      </c>
      <c r="G22" s="20" t="s">
        <v>323</v>
      </c>
      <c r="H22" s="19"/>
      <c r="I22" s="19" t="s">
        <v>230</v>
      </c>
      <c r="J22" s="19" t="s">
        <v>324</v>
      </c>
      <c r="K22" s="19" t="s">
        <v>325</v>
      </c>
      <c r="L22" s="19" t="s">
        <v>233</v>
      </c>
      <c r="M22" s="19" t="s">
        <v>268</v>
      </c>
      <c r="N22" s="19" t="s">
        <v>247</v>
      </c>
      <c r="O22" s="19" t="s">
        <v>275</v>
      </c>
      <c r="P22" s="51" t="s">
        <v>237</v>
      </c>
      <c r="Q22" s="19" t="s">
        <v>325</v>
      </c>
      <c r="R22" s="19">
        <v>700</v>
      </c>
      <c r="S22" s="19" t="s">
        <v>272</v>
      </c>
      <c r="T22" s="19" t="s">
        <v>1861</v>
      </c>
      <c r="U22" s="20" t="s">
        <v>1861</v>
      </c>
      <c r="V22" s="19" t="s">
        <v>1586</v>
      </c>
      <c r="W22" s="19" t="s">
        <v>219</v>
      </c>
      <c r="X22" s="35">
        <v>20</v>
      </c>
      <c r="Y22" s="35">
        <v>20</v>
      </c>
      <c r="Z22" s="32"/>
      <c r="AA22" s="22"/>
      <c r="AB22" s="22"/>
      <c r="AC22" s="22"/>
      <c r="AD22" s="22"/>
      <c r="AE22" s="61">
        <f t="shared" si="4"/>
        <v>0</v>
      </c>
      <c r="AF22" s="22"/>
      <c r="AG22" s="40">
        <f t="shared" si="5"/>
        <v>0</v>
      </c>
      <c r="AH22" s="24"/>
      <c r="AI22" s="24"/>
      <c r="AJ22" s="23">
        <f t="shared" si="6"/>
        <v>0</v>
      </c>
      <c r="AK22" s="25"/>
      <c r="AL22" s="25"/>
      <c r="AM22" s="25"/>
      <c r="AN22" s="25"/>
      <c r="AO22" s="25">
        <f t="shared" si="7"/>
        <v>0</v>
      </c>
      <c r="AP22" s="13"/>
      <c r="AQ22" s="21"/>
      <c r="AR22" s="21"/>
      <c r="AS22" s="21"/>
      <c r="AT22" s="21"/>
      <c r="AU22" s="21"/>
      <c r="AV22" s="21"/>
      <c r="AW22" s="21"/>
      <c r="AX22" s="21"/>
      <c r="AY22" s="77"/>
      <c r="AZ22" s="21"/>
      <c r="BA22" s="21"/>
      <c r="BB22" s="21"/>
      <c r="BC22" s="21"/>
      <c r="BD22" s="21"/>
      <c r="BE22" s="21"/>
      <c r="BF22" s="77"/>
      <c r="BG22" s="21"/>
      <c r="BH22" s="21"/>
      <c r="BI22" s="21"/>
      <c r="BJ22" s="21"/>
      <c r="BK22" s="21"/>
      <c r="BL22" s="21"/>
      <c r="BM22" s="77"/>
      <c r="BN22" s="21"/>
      <c r="BO22" s="21"/>
      <c r="BP22" s="21"/>
      <c r="BQ22" s="21"/>
      <c r="BR22" s="21"/>
      <c r="BS22" s="21"/>
      <c r="BT22" s="96">
        <f t="shared" si="9"/>
        <v>0</v>
      </c>
      <c r="BU22" s="94">
        <f t="shared" si="10"/>
        <v>0</v>
      </c>
      <c r="BV22" s="26"/>
      <c r="BW22" s="27"/>
      <c r="BX22" s="19" t="s">
        <v>323</v>
      </c>
      <c r="BY22" s="19" t="b">
        <f t="shared" si="8"/>
        <v>1</v>
      </c>
      <c r="BZ22" s="53" t="s">
        <v>323</v>
      </c>
      <c r="CA22" s="19" t="s">
        <v>631</v>
      </c>
      <c r="CB22" s="19" t="s">
        <v>632</v>
      </c>
      <c r="CC22" s="19" t="s">
        <v>633</v>
      </c>
      <c r="CD22" s="19" t="s">
        <v>634</v>
      </c>
      <c r="CE22" s="19" t="s">
        <v>635</v>
      </c>
      <c r="CF22" s="19" t="s">
        <v>636</v>
      </c>
      <c r="CG22" s="19" t="s">
        <v>637</v>
      </c>
      <c r="CH22" s="19" t="s">
        <v>638</v>
      </c>
      <c r="CI22" s="19" t="s">
        <v>639</v>
      </c>
      <c r="CJ22" s="19" t="s">
        <v>640</v>
      </c>
      <c r="CK22" s="19" t="s">
        <v>641</v>
      </c>
      <c r="CL22" s="19" t="s">
        <v>642</v>
      </c>
      <c r="CM22" s="19" t="s">
        <v>643</v>
      </c>
      <c r="CN22" s="19"/>
      <c r="CO22" s="19"/>
      <c r="CP22" s="19" t="s">
        <v>644</v>
      </c>
      <c r="CQ22" s="19" t="s">
        <v>645</v>
      </c>
      <c r="CR22" s="19" t="s">
        <v>646</v>
      </c>
      <c r="CS22" s="19" t="s">
        <v>647</v>
      </c>
      <c r="CT22" s="19"/>
      <c r="CU22" s="19"/>
      <c r="CV22" s="19"/>
      <c r="CW22" s="19"/>
      <c r="CX22" s="19"/>
      <c r="CY22" s="19"/>
      <c r="CZ22" s="19"/>
      <c r="DA22" s="19"/>
      <c r="DB22" s="19"/>
      <c r="DC22" s="19"/>
    </row>
    <row r="23" spans="1:107" s="7" customFormat="1" x14ac:dyDescent="0.25">
      <c r="A23" s="19" t="s">
        <v>81</v>
      </c>
      <c r="B23" s="19" t="s">
        <v>84</v>
      </c>
      <c r="C23" s="19" t="str">
        <f t="shared" si="3"/>
        <v>87153317TANZANIA</v>
      </c>
      <c r="D23" s="19">
        <v>87153317</v>
      </c>
      <c r="E23" s="19" t="s">
        <v>341</v>
      </c>
      <c r="F23" s="19" t="s">
        <v>261</v>
      </c>
      <c r="G23" s="20" t="s">
        <v>341</v>
      </c>
      <c r="H23" s="19"/>
      <c r="I23" s="19" t="s">
        <v>230</v>
      </c>
      <c r="J23" s="19" t="s">
        <v>337</v>
      </c>
      <c r="K23" s="19" t="s">
        <v>342</v>
      </c>
      <c r="L23" s="19" t="s">
        <v>279</v>
      </c>
      <c r="M23" s="19" t="s">
        <v>268</v>
      </c>
      <c r="N23" s="19" t="s">
        <v>247</v>
      </c>
      <c r="O23" s="19" t="s">
        <v>275</v>
      </c>
      <c r="P23" s="51" t="s">
        <v>237</v>
      </c>
      <c r="Q23" s="19" t="s">
        <v>343</v>
      </c>
      <c r="R23" s="19">
        <v>800</v>
      </c>
      <c r="S23" s="19" t="s">
        <v>272</v>
      </c>
      <c r="T23" s="19" t="s">
        <v>263</v>
      </c>
      <c r="U23" s="20" t="s">
        <v>263</v>
      </c>
      <c r="V23" s="19" t="s">
        <v>1588</v>
      </c>
      <c r="W23" s="19" t="s">
        <v>219</v>
      </c>
      <c r="X23" s="35">
        <v>2</v>
      </c>
      <c r="Y23" s="35"/>
      <c r="Z23" s="32"/>
      <c r="AA23" s="22"/>
      <c r="AB23" s="22"/>
      <c r="AC23" s="22"/>
      <c r="AD23" s="22"/>
      <c r="AE23" s="61">
        <f t="shared" si="4"/>
        <v>0</v>
      </c>
      <c r="AF23" s="22"/>
      <c r="AG23" s="40">
        <f t="shared" si="5"/>
        <v>0</v>
      </c>
      <c r="AH23" s="24"/>
      <c r="AI23" s="24"/>
      <c r="AJ23" s="23">
        <f t="shared" si="6"/>
        <v>0</v>
      </c>
      <c r="AK23" s="25"/>
      <c r="AL23" s="25"/>
      <c r="AM23" s="25"/>
      <c r="AN23" s="25"/>
      <c r="AO23" s="25">
        <f t="shared" si="7"/>
        <v>0</v>
      </c>
      <c r="AP23" s="13"/>
      <c r="AQ23" s="21"/>
      <c r="AR23" s="21"/>
      <c r="AS23" s="21"/>
      <c r="AT23" s="21"/>
      <c r="AU23" s="21"/>
      <c r="AV23" s="21"/>
      <c r="AW23" s="21"/>
      <c r="AX23" s="21"/>
      <c r="AY23" s="77"/>
      <c r="AZ23" s="21"/>
      <c r="BA23" s="21"/>
      <c r="BB23" s="21"/>
      <c r="BC23" s="21"/>
      <c r="BD23" s="21"/>
      <c r="BE23" s="21"/>
      <c r="BF23" s="77"/>
      <c r="BG23" s="21"/>
      <c r="BH23" s="21"/>
      <c r="BI23" s="21"/>
      <c r="BJ23" s="21"/>
      <c r="BK23" s="21"/>
      <c r="BL23" s="21"/>
      <c r="BM23" s="77"/>
      <c r="BN23" s="21"/>
      <c r="BO23" s="21"/>
      <c r="BP23" s="21"/>
      <c r="BQ23" s="21"/>
      <c r="BR23" s="21"/>
      <c r="BS23" s="21"/>
      <c r="BT23" s="96">
        <f t="shared" si="9"/>
        <v>0</v>
      </c>
      <c r="BU23" s="94">
        <f t="shared" si="10"/>
        <v>0</v>
      </c>
      <c r="BV23" s="26"/>
      <c r="BW23" s="27"/>
      <c r="BX23" s="19" t="s">
        <v>341</v>
      </c>
      <c r="BY23" s="19" t="b">
        <f t="shared" si="8"/>
        <v>1</v>
      </c>
      <c r="BZ23" s="53" t="s">
        <v>341</v>
      </c>
      <c r="CA23" s="19" t="s">
        <v>659</v>
      </c>
      <c r="CB23" s="19" t="s">
        <v>660</v>
      </c>
      <c r="CC23" s="19" t="s">
        <v>661</v>
      </c>
      <c r="CD23" s="19" t="s">
        <v>662</v>
      </c>
      <c r="CE23" s="19" t="s">
        <v>663</v>
      </c>
      <c r="CF23" s="19" t="s">
        <v>664</v>
      </c>
      <c r="CG23" s="19" t="s">
        <v>665</v>
      </c>
      <c r="CH23" s="19" t="s">
        <v>666</v>
      </c>
      <c r="CI23" s="19" t="s">
        <v>667</v>
      </c>
      <c r="CJ23" s="19" t="s">
        <v>668</v>
      </c>
      <c r="CK23" s="19" t="s">
        <v>669</v>
      </c>
      <c r="CL23" s="19" t="s">
        <v>670</v>
      </c>
      <c r="CM23" s="19" t="s">
        <v>671</v>
      </c>
      <c r="CN23" s="19"/>
      <c r="CO23" s="19"/>
      <c r="CP23" s="19" t="s">
        <v>672</v>
      </c>
      <c r="CQ23" s="19" t="s">
        <v>673</v>
      </c>
      <c r="CR23" s="19" t="s">
        <v>674</v>
      </c>
      <c r="CS23" s="19" t="s">
        <v>675</v>
      </c>
      <c r="CT23" s="19"/>
      <c r="CU23" s="19"/>
      <c r="CV23" s="19"/>
      <c r="CW23" s="19"/>
      <c r="CX23" s="19"/>
      <c r="CY23" s="19"/>
      <c r="CZ23" s="19"/>
      <c r="DA23" s="19"/>
      <c r="DB23" s="19"/>
      <c r="DC23" s="19"/>
    </row>
    <row r="24" spans="1:107" s="7" customFormat="1" x14ac:dyDescent="0.25">
      <c r="A24" s="19" t="s">
        <v>81</v>
      </c>
      <c r="B24" s="19" t="s">
        <v>86</v>
      </c>
      <c r="C24" s="19" t="str">
        <f t="shared" si="3"/>
        <v>87154898MOZAMBIQUE</v>
      </c>
      <c r="D24" s="19">
        <v>87154898</v>
      </c>
      <c r="E24" s="19" t="s">
        <v>344</v>
      </c>
      <c r="F24" s="19" t="s">
        <v>261</v>
      </c>
      <c r="G24" s="20" t="s">
        <v>344</v>
      </c>
      <c r="H24" s="19"/>
      <c r="I24" s="19" t="s">
        <v>230</v>
      </c>
      <c r="J24" s="19" t="s">
        <v>340</v>
      </c>
      <c r="K24" s="19" t="s">
        <v>342</v>
      </c>
      <c r="L24" s="19" t="s">
        <v>233</v>
      </c>
      <c r="M24" s="19" t="s">
        <v>268</v>
      </c>
      <c r="N24" s="19" t="s">
        <v>247</v>
      </c>
      <c r="O24" s="19" t="s">
        <v>275</v>
      </c>
      <c r="P24" s="51" t="s">
        <v>237</v>
      </c>
      <c r="Q24" s="19" t="s">
        <v>343</v>
      </c>
      <c r="R24" s="19">
        <v>800</v>
      </c>
      <c r="S24" s="19" t="s">
        <v>272</v>
      </c>
      <c r="T24" s="19" t="s">
        <v>263</v>
      </c>
      <c r="U24" s="20" t="s">
        <v>263</v>
      </c>
      <c r="V24" s="19" t="s">
        <v>127</v>
      </c>
      <c r="W24" s="19" t="s">
        <v>221</v>
      </c>
      <c r="X24" s="35">
        <v>2</v>
      </c>
      <c r="Y24" s="35">
        <v>2</v>
      </c>
      <c r="Z24" s="32"/>
      <c r="AA24" s="22"/>
      <c r="AB24" s="22">
        <v>4</v>
      </c>
      <c r="AC24" s="22"/>
      <c r="AD24" s="22"/>
      <c r="AE24" s="61">
        <f t="shared" si="4"/>
        <v>4</v>
      </c>
      <c r="AF24" s="22"/>
      <c r="AG24" s="40">
        <f t="shared" si="5"/>
        <v>4</v>
      </c>
      <c r="AH24" s="24">
        <v>4</v>
      </c>
      <c r="AI24" s="24"/>
      <c r="AJ24" s="23">
        <f t="shared" si="6"/>
        <v>0</v>
      </c>
      <c r="AK24" s="25"/>
      <c r="AL24" s="25"/>
      <c r="AM24" s="25"/>
      <c r="AN24" s="25"/>
      <c r="AO24" s="25">
        <f t="shared" si="7"/>
        <v>0</v>
      </c>
      <c r="AP24" s="13">
        <v>4</v>
      </c>
      <c r="AQ24" s="21"/>
      <c r="AR24" s="21">
        <v>2</v>
      </c>
      <c r="AS24" s="21">
        <v>2</v>
      </c>
      <c r="AT24" s="21"/>
      <c r="AU24" s="21"/>
      <c r="AV24" s="21"/>
      <c r="AW24" s="21"/>
      <c r="AX24" s="21"/>
      <c r="AY24" s="77"/>
      <c r="AZ24" s="21"/>
      <c r="BA24" s="21"/>
      <c r="BB24" s="21"/>
      <c r="BC24" s="21"/>
      <c r="BD24" s="21"/>
      <c r="BE24" s="21"/>
      <c r="BF24" s="77"/>
      <c r="BG24" s="21"/>
      <c r="BH24" s="21"/>
      <c r="BI24" s="21"/>
      <c r="BJ24" s="21"/>
      <c r="BK24" s="21"/>
      <c r="BL24" s="21"/>
      <c r="BM24" s="77"/>
      <c r="BN24" s="21"/>
      <c r="BO24" s="21"/>
      <c r="BP24" s="21"/>
      <c r="BQ24" s="21"/>
      <c r="BR24" s="21"/>
      <c r="BS24" s="21"/>
      <c r="BT24" s="96">
        <f t="shared" si="9"/>
        <v>4</v>
      </c>
      <c r="BU24" s="94">
        <f t="shared" si="10"/>
        <v>-4</v>
      </c>
      <c r="BV24" s="26"/>
      <c r="BW24" s="27"/>
      <c r="BX24" s="19" t="s">
        <v>344</v>
      </c>
      <c r="BY24" s="19" t="b">
        <f t="shared" si="8"/>
        <v>1</v>
      </c>
      <c r="BZ24" s="53" t="s">
        <v>344</v>
      </c>
      <c r="CA24" s="19" t="s">
        <v>676</v>
      </c>
      <c r="CB24" s="19" t="s">
        <v>632</v>
      </c>
      <c r="CC24" s="19" t="s">
        <v>677</v>
      </c>
      <c r="CD24" s="19" t="s">
        <v>678</v>
      </c>
      <c r="CE24" s="19" t="s">
        <v>679</v>
      </c>
      <c r="CF24" s="19" t="s">
        <v>680</v>
      </c>
      <c r="CG24" s="19" t="s">
        <v>681</v>
      </c>
      <c r="CH24" s="19" t="s">
        <v>682</v>
      </c>
      <c r="CI24" s="19" t="s">
        <v>667</v>
      </c>
      <c r="CJ24" s="19" t="s">
        <v>683</v>
      </c>
      <c r="CK24" s="19" t="s">
        <v>127</v>
      </c>
      <c r="CL24" s="19" t="s">
        <v>684</v>
      </c>
      <c r="CM24" s="19" t="s">
        <v>685</v>
      </c>
      <c r="CN24" s="19"/>
      <c r="CO24" s="19"/>
      <c r="CP24" s="19" t="s">
        <v>686</v>
      </c>
      <c r="CQ24" s="19" t="s">
        <v>687</v>
      </c>
      <c r="CR24" s="19" t="s">
        <v>688</v>
      </c>
      <c r="CS24" s="19" t="s">
        <v>689</v>
      </c>
      <c r="CT24" s="19"/>
      <c r="CU24" s="19"/>
      <c r="CV24" s="19"/>
      <c r="CW24" s="19"/>
      <c r="CX24" s="19"/>
      <c r="CY24" s="19"/>
      <c r="CZ24" s="19"/>
      <c r="DA24" s="19"/>
      <c r="DB24" s="19"/>
      <c r="DC24" s="19"/>
    </row>
    <row r="25" spans="1:107" s="7" customFormat="1" x14ac:dyDescent="0.25">
      <c r="A25" s="19" t="s">
        <v>81</v>
      </c>
      <c r="B25" s="19" t="s">
        <v>98</v>
      </c>
      <c r="C25" s="19" t="str">
        <f t="shared" si="3"/>
        <v>87154898South Africa</v>
      </c>
      <c r="D25" s="19">
        <v>87154898</v>
      </c>
      <c r="E25" s="19" t="s">
        <v>344</v>
      </c>
      <c r="F25" s="19" t="s">
        <v>261</v>
      </c>
      <c r="G25" s="20" t="s">
        <v>344</v>
      </c>
      <c r="H25" s="19"/>
      <c r="I25" s="19" t="s">
        <v>230</v>
      </c>
      <c r="J25" s="19" t="s">
        <v>340</v>
      </c>
      <c r="K25" s="19" t="s">
        <v>342</v>
      </c>
      <c r="L25" s="19" t="s">
        <v>233</v>
      </c>
      <c r="M25" s="19" t="s">
        <v>268</v>
      </c>
      <c r="N25" s="19" t="s">
        <v>247</v>
      </c>
      <c r="O25" s="19" t="s">
        <v>275</v>
      </c>
      <c r="P25" s="51" t="s">
        <v>237</v>
      </c>
      <c r="Q25" s="19" t="s">
        <v>343</v>
      </c>
      <c r="R25" s="19">
        <v>800</v>
      </c>
      <c r="S25" s="19" t="s">
        <v>272</v>
      </c>
      <c r="T25" s="19" t="s">
        <v>263</v>
      </c>
      <c r="U25" s="20" t="s">
        <v>263</v>
      </c>
      <c r="V25" s="19" t="s">
        <v>127</v>
      </c>
      <c r="W25" s="19" t="s">
        <v>219</v>
      </c>
      <c r="X25" s="35"/>
      <c r="Y25" s="35"/>
      <c r="Z25" s="32">
        <v>41</v>
      </c>
      <c r="AA25" s="22">
        <v>41</v>
      </c>
      <c r="AB25" s="22">
        <v>2</v>
      </c>
      <c r="AC25" s="22"/>
      <c r="AD25" s="22"/>
      <c r="AE25" s="61">
        <f t="shared" si="4"/>
        <v>43</v>
      </c>
      <c r="AF25" s="22"/>
      <c r="AG25" s="40">
        <f t="shared" si="5"/>
        <v>43</v>
      </c>
      <c r="AH25" s="24">
        <v>2</v>
      </c>
      <c r="AI25" s="24"/>
      <c r="AJ25" s="23">
        <f t="shared" si="6"/>
        <v>41</v>
      </c>
      <c r="AK25" s="25"/>
      <c r="AL25" s="25">
        <v>20</v>
      </c>
      <c r="AM25" s="25">
        <v>21</v>
      </c>
      <c r="AN25" s="25"/>
      <c r="AO25" s="25">
        <f t="shared" si="7"/>
        <v>41</v>
      </c>
      <c r="AP25" s="13">
        <v>2</v>
      </c>
      <c r="AQ25" s="21"/>
      <c r="AR25" s="21"/>
      <c r="AS25" s="81">
        <v>2</v>
      </c>
      <c r="AT25" s="21"/>
      <c r="AU25" s="21"/>
      <c r="AV25" s="21"/>
      <c r="AW25" s="21"/>
      <c r="AX25" s="21"/>
      <c r="AY25" s="77"/>
      <c r="AZ25" s="21"/>
      <c r="BA25" s="21"/>
      <c r="BB25" s="21"/>
      <c r="BC25" s="21"/>
      <c r="BD25" s="21">
        <v>5</v>
      </c>
      <c r="BE25" s="21">
        <v>5</v>
      </c>
      <c r="BF25" s="77"/>
      <c r="BG25" s="21">
        <v>5</v>
      </c>
      <c r="BH25" s="21">
        <v>5</v>
      </c>
      <c r="BI25" s="21"/>
      <c r="BJ25" s="21">
        <v>7</v>
      </c>
      <c r="BK25" s="21">
        <v>7</v>
      </c>
      <c r="BL25" s="21">
        <v>7</v>
      </c>
      <c r="BM25" s="77"/>
      <c r="BN25" s="21"/>
      <c r="BO25" s="21"/>
      <c r="BP25" s="21"/>
      <c r="BQ25" s="21"/>
      <c r="BR25" s="21"/>
      <c r="BS25" s="21"/>
      <c r="BT25" s="100">
        <f t="shared" si="9"/>
        <v>43</v>
      </c>
      <c r="BU25" s="94">
        <f t="shared" si="10"/>
        <v>-2</v>
      </c>
      <c r="BV25" s="26" t="s">
        <v>2019</v>
      </c>
      <c r="BW25" s="27"/>
      <c r="BX25" s="19" t="s">
        <v>344</v>
      </c>
      <c r="BY25" s="19" t="b">
        <f t="shared" si="8"/>
        <v>1</v>
      </c>
      <c r="BZ25" s="53" t="s">
        <v>344</v>
      </c>
      <c r="CA25" s="19" t="s">
        <v>676</v>
      </c>
      <c r="CB25" s="19" t="s">
        <v>632</v>
      </c>
      <c r="CC25" s="19" t="s">
        <v>677</v>
      </c>
      <c r="CD25" s="19" t="s">
        <v>678</v>
      </c>
      <c r="CE25" s="19" t="s">
        <v>679</v>
      </c>
      <c r="CF25" s="19" t="s">
        <v>680</v>
      </c>
      <c r="CG25" s="19" t="s">
        <v>681</v>
      </c>
      <c r="CH25" s="19" t="s">
        <v>682</v>
      </c>
      <c r="CI25" s="19" t="s">
        <v>667</v>
      </c>
      <c r="CJ25" s="19" t="s">
        <v>683</v>
      </c>
      <c r="CK25" s="19" t="s">
        <v>127</v>
      </c>
      <c r="CL25" s="19" t="s">
        <v>684</v>
      </c>
      <c r="CM25" s="19" t="s">
        <v>685</v>
      </c>
      <c r="CN25" s="19"/>
      <c r="CO25" s="19"/>
      <c r="CP25" s="19" t="s">
        <v>686</v>
      </c>
      <c r="CQ25" s="19" t="s">
        <v>687</v>
      </c>
      <c r="CR25" s="19" t="s">
        <v>688</v>
      </c>
      <c r="CS25" s="19" t="s">
        <v>689</v>
      </c>
      <c r="CT25" s="19"/>
      <c r="CU25" s="19"/>
      <c r="CV25" s="19"/>
      <c r="CW25" s="19"/>
      <c r="CX25" s="19"/>
      <c r="CY25" s="19"/>
      <c r="CZ25" s="19"/>
      <c r="DA25" s="19"/>
      <c r="DB25" s="19"/>
      <c r="DC25" s="19"/>
    </row>
    <row r="26" spans="1:107" s="7" customFormat="1" x14ac:dyDescent="0.25">
      <c r="A26" s="19" t="s">
        <v>81</v>
      </c>
      <c r="B26" s="19" t="s">
        <v>85</v>
      </c>
      <c r="C26" s="19" t="str">
        <f t="shared" si="3"/>
        <v>87154898ZIMBABWE</v>
      </c>
      <c r="D26" s="19">
        <v>87154898</v>
      </c>
      <c r="E26" s="19" t="s">
        <v>344</v>
      </c>
      <c r="F26" s="19" t="s">
        <v>261</v>
      </c>
      <c r="G26" s="20" t="s">
        <v>344</v>
      </c>
      <c r="H26" s="19"/>
      <c r="I26" s="19" t="s">
        <v>230</v>
      </c>
      <c r="J26" s="19" t="s">
        <v>340</v>
      </c>
      <c r="K26" s="19" t="s">
        <v>342</v>
      </c>
      <c r="L26" s="19" t="s">
        <v>233</v>
      </c>
      <c r="M26" s="19" t="s">
        <v>268</v>
      </c>
      <c r="N26" s="19" t="s">
        <v>247</v>
      </c>
      <c r="O26" s="19" t="s">
        <v>275</v>
      </c>
      <c r="P26" s="51" t="s">
        <v>237</v>
      </c>
      <c r="Q26" s="19" t="s">
        <v>343</v>
      </c>
      <c r="R26" s="19">
        <v>800</v>
      </c>
      <c r="S26" s="19" t="s">
        <v>272</v>
      </c>
      <c r="T26" s="19" t="s">
        <v>263</v>
      </c>
      <c r="U26" s="20" t="s">
        <v>263</v>
      </c>
      <c r="V26" s="19" t="s">
        <v>127</v>
      </c>
      <c r="W26" s="19" t="s">
        <v>219</v>
      </c>
      <c r="X26" s="35">
        <v>10</v>
      </c>
      <c r="Y26" s="35">
        <v>10</v>
      </c>
      <c r="Z26" s="32">
        <v>20</v>
      </c>
      <c r="AA26" s="22">
        <v>20</v>
      </c>
      <c r="AB26" s="22"/>
      <c r="AC26" s="22"/>
      <c r="AD26" s="22"/>
      <c r="AE26" s="61">
        <f t="shared" si="4"/>
        <v>20</v>
      </c>
      <c r="AF26" s="22"/>
      <c r="AG26" s="40">
        <f t="shared" si="5"/>
        <v>20</v>
      </c>
      <c r="AH26" s="24"/>
      <c r="AI26" s="24"/>
      <c r="AJ26" s="23">
        <f t="shared" si="6"/>
        <v>20</v>
      </c>
      <c r="AK26" s="25">
        <v>5</v>
      </c>
      <c r="AL26" s="25">
        <v>15</v>
      </c>
      <c r="AM26" s="25"/>
      <c r="AN26" s="25"/>
      <c r="AO26" s="25">
        <f t="shared" si="7"/>
        <v>20</v>
      </c>
      <c r="AP26" s="13"/>
      <c r="AQ26" s="21"/>
      <c r="AR26" s="21"/>
      <c r="AS26" s="21"/>
      <c r="AT26" s="21"/>
      <c r="AU26" s="21"/>
      <c r="AV26" s="21"/>
      <c r="AW26" s="21">
        <v>5</v>
      </c>
      <c r="AX26" s="21"/>
      <c r="AY26" s="77"/>
      <c r="AZ26" s="21"/>
      <c r="BA26" s="21"/>
      <c r="BB26" s="21"/>
      <c r="BC26" s="21">
        <v>5</v>
      </c>
      <c r="BD26" s="21">
        <v>5</v>
      </c>
      <c r="BE26" s="21">
        <v>5</v>
      </c>
      <c r="BF26" s="77"/>
      <c r="BG26" s="21"/>
      <c r="BH26" s="21"/>
      <c r="BI26" s="21"/>
      <c r="BJ26" s="21"/>
      <c r="BK26" s="21"/>
      <c r="BL26" s="21"/>
      <c r="BM26" s="77"/>
      <c r="BN26" s="21"/>
      <c r="BO26" s="21"/>
      <c r="BP26" s="21"/>
      <c r="BQ26" s="21"/>
      <c r="BR26" s="21"/>
      <c r="BS26" s="21"/>
      <c r="BT26" s="96">
        <f t="shared" si="9"/>
        <v>20</v>
      </c>
      <c r="BU26" s="94">
        <f t="shared" si="10"/>
        <v>0</v>
      </c>
      <c r="BV26" s="26"/>
      <c r="BW26" s="27"/>
      <c r="BX26" s="19" t="s">
        <v>344</v>
      </c>
      <c r="BY26" s="19" t="b">
        <f t="shared" si="8"/>
        <v>1</v>
      </c>
      <c r="BZ26" s="53" t="s">
        <v>344</v>
      </c>
      <c r="CA26" s="19" t="s">
        <v>676</v>
      </c>
      <c r="CB26" s="19" t="s">
        <v>632</v>
      </c>
      <c r="CC26" s="19" t="s">
        <v>677</v>
      </c>
      <c r="CD26" s="19" t="s">
        <v>678</v>
      </c>
      <c r="CE26" s="19" t="s">
        <v>679</v>
      </c>
      <c r="CF26" s="19" t="s">
        <v>680</v>
      </c>
      <c r="CG26" s="19" t="s">
        <v>681</v>
      </c>
      <c r="CH26" s="19" t="s">
        <v>682</v>
      </c>
      <c r="CI26" s="19" t="s">
        <v>667</v>
      </c>
      <c r="CJ26" s="19" t="s">
        <v>683</v>
      </c>
      <c r="CK26" s="19" t="s">
        <v>127</v>
      </c>
      <c r="CL26" s="19" t="s">
        <v>684</v>
      </c>
      <c r="CM26" s="19" t="s">
        <v>685</v>
      </c>
      <c r="CN26" s="19"/>
      <c r="CO26" s="19"/>
      <c r="CP26" s="19" t="s">
        <v>686</v>
      </c>
      <c r="CQ26" s="19" t="s">
        <v>687</v>
      </c>
      <c r="CR26" s="19" t="s">
        <v>688</v>
      </c>
      <c r="CS26" s="19" t="s">
        <v>689</v>
      </c>
      <c r="CT26" s="19"/>
      <c r="CU26" s="19"/>
      <c r="CV26" s="19"/>
      <c r="CW26" s="19"/>
      <c r="CX26" s="19"/>
      <c r="CY26" s="19"/>
      <c r="CZ26" s="19"/>
      <c r="DA26" s="19"/>
      <c r="DB26" s="19"/>
      <c r="DC26" s="19"/>
    </row>
    <row r="27" spans="1:107" s="7" customFormat="1" x14ac:dyDescent="0.25">
      <c r="A27" s="19" t="s">
        <v>228</v>
      </c>
      <c r="B27" s="19" t="s">
        <v>80</v>
      </c>
      <c r="C27" s="19" t="str">
        <f t="shared" si="3"/>
        <v>96509239India</v>
      </c>
      <c r="D27" s="19">
        <v>96509239</v>
      </c>
      <c r="E27" s="19" t="s">
        <v>1840</v>
      </c>
      <c r="F27" s="19" t="s">
        <v>261</v>
      </c>
      <c r="G27" s="20" t="s">
        <v>1840</v>
      </c>
      <c r="H27" s="19"/>
      <c r="I27" s="19" t="s">
        <v>230</v>
      </c>
      <c r="J27" s="19" t="s">
        <v>231</v>
      </c>
      <c r="K27" s="19" t="s">
        <v>342</v>
      </c>
      <c r="L27" s="19" t="s">
        <v>233</v>
      </c>
      <c r="M27" s="19" t="s">
        <v>268</v>
      </c>
      <c r="N27" s="19" t="s">
        <v>269</v>
      </c>
      <c r="O27" s="19" t="s">
        <v>275</v>
      </c>
      <c r="P27" s="51" t="s">
        <v>237</v>
      </c>
      <c r="Q27" s="19" t="s">
        <v>343</v>
      </c>
      <c r="R27" s="19">
        <v>800</v>
      </c>
      <c r="S27" s="19" t="s">
        <v>272</v>
      </c>
      <c r="T27" s="19" t="s">
        <v>263</v>
      </c>
      <c r="U27" s="20" t="s">
        <v>263</v>
      </c>
      <c r="V27" s="19" t="s">
        <v>1784</v>
      </c>
      <c r="W27" s="19" t="s">
        <v>222</v>
      </c>
      <c r="X27" s="35">
        <v>2</v>
      </c>
      <c r="Y27" s="35">
        <v>2</v>
      </c>
      <c r="Z27" s="32"/>
      <c r="AA27" s="22"/>
      <c r="AB27" s="22"/>
      <c r="AC27" s="22">
        <v>1</v>
      </c>
      <c r="AD27" s="22">
        <v>1</v>
      </c>
      <c r="AE27" s="61">
        <f t="shared" si="4"/>
        <v>2</v>
      </c>
      <c r="AF27" s="22"/>
      <c r="AG27" s="40">
        <f t="shared" si="5"/>
        <v>2</v>
      </c>
      <c r="AH27" s="24">
        <v>1</v>
      </c>
      <c r="AI27" s="24">
        <v>2</v>
      </c>
      <c r="AJ27" s="23">
        <f t="shared" si="6"/>
        <v>3</v>
      </c>
      <c r="AK27" s="25"/>
      <c r="AL27" s="25">
        <v>3</v>
      </c>
      <c r="AM27" s="25"/>
      <c r="AN27" s="25"/>
      <c r="AO27" s="25">
        <f t="shared" si="7"/>
        <v>3</v>
      </c>
      <c r="AP27" s="13">
        <v>1</v>
      </c>
      <c r="AQ27" s="21">
        <v>1</v>
      </c>
      <c r="AR27" s="21"/>
      <c r="AS27" s="21"/>
      <c r="AT27" s="21"/>
      <c r="AU27" s="21"/>
      <c r="AV27" s="21"/>
      <c r="AW27" s="21"/>
      <c r="AX27" s="21"/>
      <c r="AY27" s="77"/>
      <c r="AZ27" s="21"/>
      <c r="BA27" s="21">
        <v>1</v>
      </c>
      <c r="BB27" s="21"/>
      <c r="BC27" s="21"/>
      <c r="BD27" s="21"/>
      <c r="BE27" s="21"/>
      <c r="BF27" s="77"/>
      <c r="BG27" s="21"/>
      <c r="BH27" s="21"/>
      <c r="BI27" s="21"/>
      <c r="BJ27" s="21"/>
      <c r="BK27" s="21"/>
      <c r="BL27" s="21"/>
      <c r="BM27" s="77"/>
      <c r="BN27" s="21"/>
      <c r="BO27" s="21"/>
      <c r="BP27" s="21"/>
      <c r="BQ27" s="21"/>
      <c r="BR27" s="21"/>
      <c r="BS27" s="21"/>
      <c r="BT27" s="96">
        <f t="shared" si="9"/>
        <v>2</v>
      </c>
      <c r="BU27" s="94">
        <f t="shared" si="10"/>
        <v>1</v>
      </c>
      <c r="BV27" s="26"/>
      <c r="BW27" s="27"/>
      <c r="BX27" s="19" t="s">
        <v>1840</v>
      </c>
      <c r="BY27" s="19" t="b">
        <f t="shared" si="8"/>
        <v>1</v>
      </c>
      <c r="BZ27" s="53" t="s">
        <v>1840</v>
      </c>
      <c r="CA27" s="19" t="s">
        <v>1883</v>
      </c>
      <c r="CB27" s="19" t="s">
        <v>696</v>
      </c>
      <c r="CC27" s="19" t="s">
        <v>697</v>
      </c>
      <c r="CD27" s="19" t="s">
        <v>698</v>
      </c>
      <c r="CE27" s="19" t="s">
        <v>699</v>
      </c>
      <c r="CF27" s="19" t="s">
        <v>691</v>
      </c>
      <c r="CG27" s="19" t="s">
        <v>692</v>
      </c>
      <c r="CH27" s="19" t="s">
        <v>700</v>
      </c>
      <c r="CI27" s="19" t="s">
        <v>701</v>
      </c>
      <c r="CJ27" s="19" t="s">
        <v>1884</v>
      </c>
      <c r="CK27" s="19" t="s">
        <v>1880</v>
      </c>
      <c r="CL27" s="19" t="s">
        <v>1885</v>
      </c>
      <c r="CM27" s="19" t="s">
        <v>1886</v>
      </c>
      <c r="CN27" s="19"/>
      <c r="CO27" s="19"/>
      <c r="CP27" s="19" t="s">
        <v>686</v>
      </c>
      <c r="CQ27" s="19" t="s">
        <v>687</v>
      </c>
      <c r="CR27" s="19" t="s">
        <v>702</v>
      </c>
      <c r="CS27" s="19" t="s">
        <v>703</v>
      </c>
      <c r="CT27" s="19"/>
      <c r="CU27" s="19"/>
      <c r="CV27" s="19"/>
      <c r="CW27" s="19"/>
      <c r="CX27" s="19"/>
      <c r="CY27" s="19"/>
      <c r="CZ27" s="19"/>
      <c r="DA27" s="19"/>
      <c r="DB27" s="19"/>
      <c r="DC27" s="19"/>
    </row>
    <row r="28" spans="1:107" s="7" customFormat="1" x14ac:dyDescent="0.25">
      <c r="A28" s="19" t="s">
        <v>228</v>
      </c>
      <c r="B28" s="19" t="s">
        <v>80</v>
      </c>
      <c r="C28" s="19" t="str">
        <f t="shared" si="3"/>
        <v>96509248India</v>
      </c>
      <c r="D28" s="19">
        <v>96509248</v>
      </c>
      <c r="E28" s="19" t="s">
        <v>1842</v>
      </c>
      <c r="F28" s="19" t="s">
        <v>261</v>
      </c>
      <c r="G28" s="20" t="s">
        <v>1842</v>
      </c>
      <c r="H28" s="19"/>
      <c r="I28" s="19" t="s">
        <v>230</v>
      </c>
      <c r="J28" s="19" t="s">
        <v>231</v>
      </c>
      <c r="K28" s="19" t="s">
        <v>342</v>
      </c>
      <c r="L28" s="19" t="s">
        <v>233</v>
      </c>
      <c r="M28" s="19" t="s">
        <v>268</v>
      </c>
      <c r="N28" s="19" t="s">
        <v>269</v>
      </c>
      <c r="O28" s="19" t="s">
        <v>275</v>
      </c>
      <c r="P28" s="51" t="s">
        <v>237</v>
      </c>
      <c r="Q28" s="19" t="s">
        <v>343</v>
      </c>
      <c r="R28" s="19">
        <v>800</v>
      </c>
      <c r="S28" s="19" t="s">
        <v>272</v>
      </c>
      <c r="T28" s="19" t="s">
        <v>263</v>
      </c>
      <c r="U28" s="20" t="s">
        <v>263</v>
      </c>
      <c r="V28" s="19" t="s">
        <v>1789</v>
      </c>
      <c r="W28" s="19" t="s">
        <v>222</v>
      </c>
      <c r="X28" s="35">
        <v>1</v>
      </c>
      <c r="Y28" s="35">
        <v>1</v>
      </c>
      <c r="Z28" s="32"/>
      <c r="AA28" s="22">
        <v>1</v>
      </c>
      <c r="AB28" s="22"/>
      <c r="AC28" s="22"/>
      <c r="AD28" s="22"/>
      <c r="AE28" s="61">
        <f t="shared" si="4"/>
        <v>1</v>
      </c>
      <c r="AF28" s="22"/>
      <c r="AG28" s="40">
        <f t="shared" si="5"/>
        <v>1</v>
      </c>
      <c r="AH28" s="24">
        <v>6</v>
      </c>
      <c r="AI28" s="24"/>
      <c r="AJ28" s="23">
        <v>0</v>
      </c>
      <c r="AK28" s="25"/>
      <c r="AL28" s="25"/>
      <c r="AM28" s="25"/>
      <c r="AN28" s="25"/>
      <c r="AO28" s="25">
        <f t="shared" si="7"/>
        <v>0</v>
      </c>
      <c r="AP28" s="13">
        <v>6</v>
      </c>
      <c r="AQ28" s="21">
        <v>2</v>
      </c>
      <c r="AR28" s="21">
        <v>2</v>
      </c>
      <c r="AS28" s="21">
        <v>2</v>
      </c>
      <c r="AT28" s="21"/>
      <c r="AU28" s="21"/>
      <c r="AV28" s="21"/>
      <c r="AW28" s="21"/>
      <c r="AX28" s="21"/>
      <c r="AY28" s="77"/>
      <c r="AZ28" s="21"/>
      <c r="BA28" s="21"/>
      <c r="BB28" s="21"/>
      <c r="BC28" s="21"/>
      <c r="BD28" s="21"/>
      <c r="BE28" s="21"/>
      <c r="BF28" s="77"/>
      <c r="BG28" s="21"/>
      <c r="BH28" s="21"/>
      <c r="BI28" s="21"/>
      <c r="BJ28" s="21"/>
      <c r="BK28" s="21"/>
      <c r="BL28" s="21"/>
      <c r="BM28" s="77"/>
      <c r="BN28" s="21"/>
      <c r="BO28" s="21"/>
      <c r="BP28" s="21"/>
      <c r="BQ28" s="21"/>
      <c r="BR28" s="21"/>
      <c r="BS28" s="21"/>
      <c r="BT28" s="96">
        <f t="shared" si="9"/>
        <v>6</v>
      </c>
      <c r="BU28" s="94">
        <f t="shared" si="10"/>
        <v>-6</v>
      </c>
      <c r="BV28" s="26"/>
      <c r="BW28" s="27"/>
      <c r="BX28" s="19" t="s">
        <v>1842</v>
      </c>
      <c r="BY28" s="19" t="b">
        <f t="shared" si="8"/>
        <v>1</v>
      </c>
      <c r="BZ28" s="53" t="s">
        <v>1842</v>
      </c>
      <c r="CA28" s="19" t="s">
        <v>1887</v>
      </c>
      <c r="CB28" s="19" t="s">
        <v>696</v>
      </c>
      <c r="CC28" s="19" t="s">
        <v>697</v>
      </c>
      <c r="CD28" s="19" t="s">
        <v>1879</v>
      </c>
      <c r="CE28" s="19" t="s">
        <v>690</v>
      </c>
      <c r="CF28" s="19" t="s">
        <v>691</v>
      </c>
      <c r="CG28" s="19" t="s">
        <v>692</v>
      </c>
      <c r="CH28" s="19" t="s">
        <v>695</v>
      </c>
      <c r="CI28" s="19" t="s">
        <v>694</v>
      </c>
      <c r="CJ28" s="19" t="s">
        <v>1884</v>
      </c>
      <c r="CK28" s="19" t="s">
        <v>1880</v>
      </c>
      <c r="CL28" s="19" t="s">
        <v>1888</v>
      </c>
      <c r="CM28" s="19" t="s">
        <v>1889</v>
      </c>
      <c r="CN28" s="19"/>
      <c r="CO28" s="19"/>
      <c r="CP28" s="19" t="s">
        <v>686</v>
      </c>
      <c r="CQ28" s="19" t="s">
        <v>687</v>
      </c>
      <c r="CR28" s="19" t="s">
        <v>1881</v>
      </c>
      <c r="CS28" s="19" t="s">
        <v>1882</v>
      </c>
      <c r="CT28" s="19"/>
      <c r="CU28" s="19"/>
      <c r="CV28" s="19"/>
      <c r="CW28" s="19"/>
      <c r="CX28" s="19"/>
      <c r="CY28" s="19"/>
      <c r="CZ28" s="19"/>
      <c r="DA28" s="19"/>
      <c r="DB28" s="19"/>
      <c r="DC28" s="19"/>
    </row>
    <row r="29" spans="1:107" s="7" customFormat="1" x14ac:dyDescent="0.25">
      <c r="A29" s="19" t="s">
        <v>228</v>
      </c>
      <c r="B29" s="19" t="s">
        <v>80</v>
      </c>
      <c r="C29" s="19" t="str">
        <f t="shared" si="3"/>
        <v>96559243India</v>
      </c>
      <c r="D29" s="19">
        <v>96559243</v>
      </c>
      <c r="E29" s="19" t="s">
        <v>426</v>
      </c>
      <c r="F29" s="19" t="s">
        <v>261</v>
      </c>
      <c r="G29" s="20" t="s">
        <v>426</v>
      </c>
      <c r="H29" s="19"/>
      <c r="I29" s="19" t="s">
        <v>230</v>
      </c>
      <c r="J29" s="19" t="s">
        <v>231</v>
      </c>
      <c r="K29" s="19" t="s">
        <v>427</v>
      </c>
      <c r="L29" s="19" t="s">
        <v>279</v>
      </c>
      <c r="M29" s="19" t="s">
        <v>268</v>
      </c>
      <c r="N29" s="19" t="s">
        <v>247</v>
      </c>
      <c r="O29" s="19" t="s">
        <v>275</v>
      </c>
      <c r="P29" s="51" t="s">
        <v>237</v>
      </c>
      <c r="Q29" s="19" t="s">
        <v>428</v>
      </c>
      <c r="R29" s="19">
        <v>900</v>
      </c>
      <c r="S29" s="19" t="s">
        <v>272</v>
      </c>
      <c r="T29" s="19" t="s">
        <v>263</v>
      </c>
      <c r="U29" s="20" t="s">
        <v>263</v>
      </c>
      <c r="V29" s="19" t="s">
        <v>161</v>
      </c>
      <c r="W29" s="19" t="s">
        <v>221</v>
      </c>
      <c r="X29" s="35">
        <v>12</v>
      </c>
      <c r="Y29" s="35">
        <v>12</v>
      </c>
      <c r="Z29" s="32"/>
      <c r="AA29" s="22">
        <v>2</v>
      </c>
      <c r="AB29" s="22">
        <v>5</v>
      </c>
      <c r="AC29" s="22">
        <v>5</v>
      </c>
      <c r="AD29" s="22"/>
      <c r="AE29" s="61">
        <f t="shared" si="4"/>
        <v>12</v>
      </c>
      <c r="AF29" s="22"/>
      <c r="AG29" s="40">
        <f t="shared" si="5"/>
        <v>12</v>
      </c>
      <c r="AH29" s="24"/>
      <c r="AI29" s="24">
        <v>12</v>
      </c>
      <c r="AJ29" s="23">
        <f t="shared" ref="AJ29:AJ42" si="11">AG29-AH29+AI29</f>
        <v>24</v>
      </c>
      <c r="AK29" s="25">
        <v>8</v>
      </c>
      <c r="AL29" s="25">
        <v>8</v>
      </c>
      <c r="AM29" s="25">
        <v>8</v>
      </c>
      <c r="AN29" s="25"/>
      <c r="AO29" s="25">
        <f t="shared" si="7"/>
        <v>24</v>
      </c>
      <c r="AP29" s="13"/>
      <c r="AQ29" s="21"/>
      <c r="AR29" s="21"/>
      <c r="AS29" s="21">
        <v>2</v>
      </c>
      <c r="AT29" s="21">
        <v>3</v>
      </c>
      <c r="AU29" s="21">
        <v>3</v>
      </c>
      <c r="AV29" s="21"/>
      <c r="AW29" s="21"/>
      <c r="AX29" s="21"/>
      <c r="AY29" s="77"/>
      <c r="AZ29" s="21">
        <v>2</v>
      </c>
      <c r="BA29" s="21">
        <v>2</v>
      </c>
      <c r="BB29" s="21"/>
      <c r="BC29" s="21"/>
      <c r="BD29" s="21"/>
      <c r="BE29" s="21"/>
      <c r="BF29" s="77"/>
      <c r="BG29" s="21"/>
      <c r="BH29" s="21"/>
      <c r="BI29" s="21"/>
      <c r="BJ29" s="21"/>
      <c r="BK29" s="21"/>
      <c r="BL29" s="21"/>
      <c r="BM29" s="77"/>
      <c r="BN29" s="21"/>
      <c r="BO29" s="21"/>
      <c r="BP29" s="21"/>
      <c r="BQ29" s="21">
        <v>3</v>
      </c>
      <c r="BR29" s="21">
        <v>3</v>
      </c>
      <c r="BS29" s="21"/>
      <c r="BT29" s="96">
        <f t="shared" si="9"/>
        <v>18</v>
      </c>
      <c r="BU29" s="94">
        <f t="shared" si="10"/>
        <v>6</v>
      </c>
      <c r="BV29" s="26"/>
      <c r="BW29" s="27"/>
      <c r="BX29" s="19" t="s">
        <v>426</v>
      </c>
      <c r="BY29" s="19" t="b">
        <f t="shared" si="8"/>
        <v>1</v>
      </c>
      <c r="BZ29" s="53" t="s">
        <v>426</v>
      </c>
      <c r="CA29" s="19" t="s">
        <v>724</v>
      </c>
      <c r="CB29" s="19" t="s">
        <v>696</v>
      </c>
      <c r="CC29" s="19" t="s">
        <v>697</v>
      </c>
      <c r="CD29" s="19" t="s">
        <v>698</v>
      </c>
      <c r="CE29" s="19" t="s">
        <v>699</v>
      </c>
      <c r="CF29" s="19" t="s">
        <v>691</v>
      </c>
      <c r="CG29" s="19" t="s">
        <v>692</v>
      </c>
      <c r="CH29" s="19" t="s">
        <v>700</v>
      </c>
      <c r="CI29" s="19" t="s">
        <v>701</v>
      </c>
      <c r="CJ29" s="19" t="s">
        <v>725</v>
      </c>
      <c r="CK29" s="19" t="s">
        <v>726</v>
      </c>
      <c r="CL29" s="19" t="s">
        <v>727</v>
      </c>
      <c r="CM29" s="19" t="s">
        <v>728</v>
      </c>
      <c r="CN29" s="19"/>
      <c r="CO29" s="19"/>
      <c r="CP29" s="19" t="s">
        <v>686</v>
      </c>
      <c r="CQ29" s="19" t="s">
        <v>687</v>
      </c>
      <c r="CR29" s="19" t="s">
        <v>702</v>
      </c>
      <c r="CS29" s="19" t="s">
        <v>703</v>
      </c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s="7" customFormat="1" x14ac:dyDescent="0.25">
      <c r="A30" s="19" t="s">
        <v>228</v>
      </c>
      <c r="B30" s="19" t="s">
        <v>80</v>
      </c>
      <c r="C30" s="19" t="str">
        <f t="shared" si="3"/>
        <v>96559250India</v>
      </c>
      <c r="D30" s="19">
        <v>96559250</v>
      </c>
      <c r="E30" s="19" t="s">
        <v>454</v>
      </c>
      <c r="F30" s="19" t="s">
        <v>261</v>
      </c>
      <c r="G30" s="20" t="s">
        <v>454</v>
      </c>
      <c r="H30" s="19"/>
      <c r="I30" s="19" t="s">
        <v>230</v>
      </c>
      <c r="J30" s="19" t="s">
        <v>231</v>
      </c>
      <c r="K30" s="19" t="s">
        <v>427</v>
      </c>
      <c r="L30" s="19" t="s">
        <v>279</v>
      </c>
      <c r="M30" s="19" t="s">
        <v>268</v>
      </c>
      <c r="N30" s="19" t="s">
        <v>247</v>
      </c>
      <c r="O30" s="19" t="s">
        <v>275</v>
      </c>
      <c r="P30" s="51" t="s">
        <v>237</v>
      </c>
      <c r="Q30" s="19" t="s">
        <v>428</v>
      </c>
      <c r="R30" s="19">
        <v>900</v>
      </c>
      <c r="S30" s="19" t="s">
        <v>272</v>
      </c>
      <c r="T30" s="19" t="s">
        <v>263</v>
      </c>
      <c r="U30" s="20" t="s">
        <v>263</v>
      </c>
      <c r="V30" s="19" t="s">
        <v>1781</v>
      </c>
      <c r="W30" s="19" t="s">
        <v>222</v>
      </c>
      <c r="X30" s="35"/>
      <c r="Y30" s="35"/>
      <c r="Z30" s="32"/>
      <c r="AA30" s="22">
        <v>2</v>
      </c>
      <c r="AB30" s="22"/>
      <c r="AC30" s="22"/>
      <c r="AD30" s="22"/>
      <c r="AE30" s="61">
        <f t="shared" si="4"/>
        <v>2</v>
      </c>
      <c r="AF30" s="22"/>
      <c r="AG30" s="40">
        <f t="shared" si="5"/>
        <v>2</v>
      </c>
      <c r="AH30" s="24"/>
      <c r="AI30" s="24"/>
      <c r="AJ30" s="23">
        <f t="shared" si="11"/>
        <v>2</v>
      </c>
      <c r="AK30" s="25"/>
      <c r="AL30" s="25"/>
      <c r="AM30" s="25">
        <v>2</v>
      </c>
      <c r="AN30" s="25"/>
      <c r="AO30" s="25">
        <f t="shared" si="7"/>
        <v>2</v>
      </c>
      <c r="AP30" s="13"/>
      <c r="AQ30" s="21"/>
      <c r="AR30" s="21"/>
      <c r="AS30" s="21"/>
      <c r="AT30" s="21"/>
      <c r="AU30" s="21"/>
      <c r="AV30" s="21"/>
      <c r="AW30" s="21"/>
      <c r="AX30" s="21"/>
      <c r="AY30" s="77"/>
      <c r="AZ30" s="21"/>
      <c r="BA30" s="21"/>
      <c r="BB30" s="21"/>
      <c r="BC30" s="21"/>
      <c r="BD30" s="21"/>
      <c r="BE30" s="21"/>
      <c r="BF30" s="77"/>
      <c r="BG30" s="21">
        <v>2</v>
      </c>
      <c r="BH30" s="21"/>
      <c r="BI30" s="21"/>
      <c r="BJ30" s="21"/>
      <c r="BK30" s="21"/>
      <c r="BL30" s="21"/>
      <c r="BM30" s="77"/>
      <c r="BN30" s="21"/>
      <c r="BO30" s="21"/>
      <c r="BP30" s="21"/>
      <c r="BQ30" s="21"/>
      <c r="BR30" s="21"/>
      <c r="BS30" s="21"/>
      <c r="BT30" s="96">
        <f t="shared" si="9"/>
        <v>2</v>
      </c>
      <c r="BU30" s="94">
        <f t="shared" si="10"/>
        <v>0</v>
      </c>
      <c r="BV30" s="26"/>
      <c r="BW30" s="27"/>
      <c r="BX30" s="19" t="s">
        <v>454</v>
      </c>
      <c r="BY30" s="19" t="b">
        <f t="shared" si="8"/>
        <v>1</v>
      </c>
      <c r="BZ30" s="53" t="s">
        <v>454</v>
      </c>
      <c r="CA30" s="19" t="s">
        <v>729</v>
      </c>
      <c r="CB30" s="19" t="s">
        <v>696</v>
      </c>
      <c r="CC30" s="19" t="s">
        <v>697</v>
      </c>
      <c r="CD30" s="19" t="s">
        <v>730</v>
      </c>
      <c r="CE30" s="19" t="s">
        <v>690</v>
      </c>
      <c r="CF30" s="19" t="s">
        <v>691</v>
      </c>
      <c r="CG30" s="19" t="s">
        <v>692</v>
      </c>
      <c r="CH30" s="19" t="s">
        <v>695</v>
      </c>
      <c r="CI30" s="19" t="s">
        <v>694</v>
      </c>
      <c r="CJ30" s="19" t="s">
        <v>725</v>
      </c>
      <c r="CK30" s="19" t="s">
        <v>726</v>
      </c>
      <c r="CL30" s="19" t="s">
        <v>731</v>
      </c>
      <c r="CM30" s="19" t="s">
        <v>732</v>
      </c>
      <c r="CN30" s="19"/>
      <c r="CO30" s="19"/>
      <c r="CP30" s="19" t="s">
        <v>686</v>
      </c>
      <c r="CQ30" s="19" t="s">
        <v>687</v>
      </c>
      <c r="CR30" s="19" t="s">
        <v>733</v>
      </c>
      <c r="CS30" s="19" t="s">
        <v>734</v>
      </c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s="7" customFormat="1" x14ac:dyDescent="0.25">
      <c r="A31" s="19" t="s">
        <v>228</v>
      </c>
      <c r="B31" s="19" t="s">
        <v>80</v>
      </c>
      <c r="C31" s="19" t="str">
        <f t="shared" si="3"/>
        <v>96551089India</v>
      </c>
      <c r="D31" s="19">
        <v>96551089</v>
      </c>
      <c r="E31" s="19" t="s">
        <v>455</v>
      </c>
      <c r="F31" s="19" t="s">
        <v>261</v>
      </c>
      <c r="G31" s="20" t="s">
        <v>455</v>
      </c>
      <c r="H31" s="19"/>
      <c r="I31" s="19" t="s">
        <v>230</v>
      </c>
      <c r="J31" s="19" t="s">
        <v>231</v>
      </c>
      <c r="K31" s="19" t="s">
        <v>427</v>
      </c>
      <c r="L31" s="19" t="s">
        <v>279</v>
      </c>
      <c r="M31" s="19" t="s">
        <v>268</v>
      </c>
      <c r="N31" s="19" t="s">
        <v>269</v>
      </c>
      <c r="O31" s="19" t="s">
        <v>275</v>
      </c>
      <c r="P31" s="51" t="s">
        <v>237</v>
      </c>
      <c r="Q31" s="19" t="s">
        <v>428</v>
      </c>
      <c r="R31" s="19">
        <v>900</v>
      </c>
      <c r="S31" s="19" t="s">
        <v>272</v>
      </c>
      <c r="T31" s="19" t="s">
        <v>263</v>
      </c>
      <c r="U31" s="20" t="s">
        <v>263</v>
      </c>
      <c r="V31" s="19" t="s">
        <v>1601</v>
      </c>
      <c r="W31" s="19" t="s">
        <v>221</v>
      </c>
      <c r="X31" s="35">
        <v>25</v>
      </c>
      <c r="Y31" s="35">
        <v>23</v>
      </c>
      <c r="Z31" s="32"/>
      <c r="AA31" s="22">
        <v>7</v>
      </c>
      <c r="AB31" s="22">
        <v>2</v>
      </c>
      <c r="AC31" s="22">
        <v>4</v>
      </c>
      <c r="AD31" s="22">
        <v>11</v>
      </c>
      <c r="AE31" s="61">
        <f t="shared" si="4"/>
        <v>24</v>
      </c>
      <c r="AF31" s="22">
        <v>15</v>
      </c>
      <c r="AG31" s="40">
        <f t="shared" si="5"/>
        <v>39</v>
      </c>
      <c r="AH31" s="24">
        <v>19</v>
      </c>
      <c r="AI31" s="24">
        <v>10</v>
      </c>
      <c r="AJ31" s="23">
        <f t="shared" si="11"/>
        <v>30</v>
      </c>
      <c r="AK31" s="25">
        <v>10</v>
      </c>
      <c r="AL31" s="25">
        <v>10</v>
      </c>
      <c r="AM31" s="25">
        <v>10</v>
      </c>
      <c r="AN31" s="25"/>
      <c r="AO31" s="25">
        <f t="shared" si="7"/>
        <v>30</v>
      </c>
      <c r="AP31" s="13">
        <v>19</v>
      </c>
      <c r="AQ31" s="21">
        <v>6</v>
      </c>
      <c r="AR31" s="21">
        <v>6</v>
      </c>
      <c r="AS31" s="21">
        <v>7</v>
      </c>
      <c r="AT31" s="21"/>
      <c r="AU31" s="21"/>
      <c r="AV31" s="21"/>
      <c r="AW31" s="21">
        <v>2</v>
      </c>
      <c r="AX31" s="21">
        <v>3</v>
      </c>
      <c r="AY31" s="77"/>
      <c r="AZ31" s="21"/>
      <c r="BA31" s="21"/>
      <c r="BB31" s="21"/>
      <c r="BC31" s="21"/>
      <c r="BD31" s="21"/>
      <c r="BE31" s="21"/>
      <c r="BF31" s="77"/>
      <c r="BG31" s="21"/>
      <c r="BH31" s="21"/>
      <c r="BI31" s="21"/>
      <c r="BJ31" s="21"/>
      <c r="BK31" s="21"/>
      <c r="BL31" s="21"/>
      <c r="BM31" s="77"/>
      <c r="BN31" s="21"/>
      <c r="BO31" s="21"/>
      <c r="BP31" s="21"/>
      <c r="BQ31" s="21"/>
      <c r="BR31" s="21"/>
      <c r="BS31" s="21"/>
      <c r="BT31" s="96">
        <f t="shared" si="9"/>
        <v>24</v>
      </c>
      <c r="BU31" s="94">
        <f t="shared" si="10"/>
        <v>6</v>
      </c>
      <c r="BV31" s="26"/>
      <c r="BW31" s="27"/>
      <c r="BX31" s="19" t="s">
        <v>455</v>
      </c>
      <c r="BY31" s="19" t="b">
        <f t="shared" si="8"/>
        <v>1</v>
      </c>
      <c r="BZ31" s="53" t="s">
        <v>455</v>
      </c>
      <c r="CA31" s="19" t="s">
        <v>735</v>
      </c>
      <c r="CB31" s="19" t="s">
        <v>696</v>
      </c>
      <c r="CC31" s="19" t="s">
        <v>697</v>
      </c>
      <c r="CD31" s="19" t="s">
        <v>730</v>
      </c>
      <c r="CE31" s="19" t="s">
        <v>690</v>
      </c>
      <c r="CF31" s="19" t="s">
        <v>691</v>
      </c>
      <c r="CG31" s="19" t="s">
        <v>692</v>
      </c>
      <c r="CH31" s="19" t="s">
        <v>695</v>
      </c>
      <c r="CI31" s="19" t="s">
        <v>694</v>
      </c>
      <c r="CJ31" s="19" t="s">
        <v>736</v>
      </c>
      <c r="CK31" s="19" t="s">
        <v>726</v>
      </c>
      <c r="CL31" s="19" t="s">
        <v>731</v>
      </c>
      <c r="CM31" s="19" t="s">
        <v>732</v>
      </c>
      <c r="CN31" s="19"/>
      <c r="CO31" s="19"/>
      <c r="CP31" s="19" t="s">
        <v>686</v>
      </c>
      <c r="CQ31" s="19" t="s">
        <v>687</v>
      </c>
      <c r="CR31" s="19" t="s">
        <v>733</v>
      </c>
      <c r="CS31" s="19" t="s">
        <v>734</v>
      </c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s="7" customFormat="1" x14ac:dyDescent="0.25">
      <c r="A32" s="19" t="s">
        <v>228</v>
      </c>
      <c r="B32" s="19" t="s">
        <v>80</v>
      </c>
      <c r="C32" s="19" t="str">
        <f t="shared" si="3"/>
        <v>96559254India</v>
      </c>
      <c r="D32" s="19">
        <v>96559254</v>
      </c>
      <c r="E32" s="19" t="s">
        <v>1838</v>
      </c>
      <c r="F32" s="19" t="s">
        <v>261</v>
      </c>
      <c r="G32" s="20" t="s">
        <v>1838</v>
      </c>
      <c r="H32" s="19"/>
      <c r="I32" s="19" t="s">
        <v>230</v>
      </c>
      <c r="J32" s="19" t="s">
        <v>243</v>
      </c>
      <c r="K32" s="19" t="s">
        <v>427</v>
      </c>
      <c r="L32" s="19" t="s">
        <v>279</v>
      </c>
      <c r="M32" s="19" t="s">
        <v>268</v>
      </c>
      <c r="N32" s="19" t="s">
        <v>247</v>
      </c>
      <c r="O32" s="19" t="s">
        <v>275</v>
      </c>
      <c r="P32" s="51" t="s">
        <v>237</v>
      </c>
      <c r="Q32" s="19" t="s">
        <v>428</v>
      </c>
      <c r="R32" s="19">
        <v>900</v>
      </c>
      <c r="S32" s="19" t="s">
        <v>272</v>
      </c>
      <c r="T32" s="19" t="s">
        <v>263</v>
      </c>
      <c r="U32" s="20" t="s">
        <v>263</v>
      </c>
      <c r="V32" s="19" t="s">
        <v>1782</v>
      </c>
      <c r="W32" s="19" t="s">
        <v>222</v>
      </c>
      <c r="X32" s="35">
        <v>2</v>
      </c>
      <c r="Y32" s="35">
        <v>2</v>
      </c>
      <c r="Z32" s="32"/>
      <c r="AA32" s="22">
        <v>2</v>
      </c>
      <c r="AB32" s="22"/>
      <c r="AC32" s="22">
        <v>1</v>
      </c>
      <c r="AD32" s="22">
        <v>1</v>
      </c>
      <c r="AE32" s="61">
        <f t="shared" si="4"/>
        <v>4</v>
      </c>
      <c r="AF32" s="22"/>
      <c r="AG32" s="40">
        <f t="shared" si="5"/>
        <v>4</v>
      </c>
      <c r="AH32" s="24">
        <v>3</v>
      </c>
      <c r="AI32" s="24">
        <v>2</v>
      </c>
      <c r="AJ32" s="23">
        <f t="shared" si="11"/>
        <v>3</v>
      </c>
      <c r="AK32" s="25"/>
      <c r="AL32" s="25">
        <v>3</v>
      </c>
      <c r="AM32" s="25"/>
      <c r="AN32" s="25"/>
      <c r="AO32" s="25">
        <f t="shared" si="7"/>
        <v>3</v>
      </c>
      <c r="AP32" s="13">
        <v>3</v>
      </c>
      <c r="AQ32" s="21">
        <v>1</v>
      </c>
      <c r="AR32" s="21">
        <v>1</v>
      </c>
      <c r="AS32" s="21">
        <v>1</v>
      </c>
      <c r="AT32" s="21"/>
      <c r="AU32" s="21"/>
      <c r="AV32" s="21"/>
      <c r="AW32" s="21"/>
      <c r="AX32" s="21"/>
      <c r="AY32" s="77"/>
      <c r="AZ32" s="21"/>
      <c r="BA32" s="21"/>
      <c r="BB32" s="21"/>
      <c r="BC32" s="21"/>
      <c r="BD32" s="21">
        <v>1</v>
      </c>
      <c r="BE32" s="21"/>
      <c r="BF32" s="77"/>
      <c r="BG32" s="21"/>
      <c r="BH32" s="21"/>
      <c r="BI32" s="21"/>
      <c r="BJ32" s="21"/>
      <c r="BK32" s="21"/>
      <c r="BL32" s="21"/>
      <c r="BM32" s="77"/>
      <c r="BN32" s="21"/>
      <c r="BO32" s="21"/>
      <c r="BP32" s="21"/>
      <c r="BQ32" s="21"/>
      <c r="BR32" s="21"/>
      <c r="BS32" s="21"/>
      <c r="BT32" s="96">
        <f t="shared" si="9"/>
        <v>4</v>
      </c>
      <c r="BU32" s="94">
        <f t="shared" si="10"/>
        <v>-1</v>
      </c>
      <c r="BV32" s="26"/>
      <c r="BW32" s="27"/>
      <c r="BX32" s="19" t="s">
        <v>1838</v>
      </c>
      <c r="BY32" s="19" t="b">
        <f t="shared" si="8"/>
        <v>1</v>
      </c>
      <c r="BZ32" s="53" t="s">
        <v>1838</v>
      </c>
      <c r="CA32" s="19" t="s">
        <v>1890</v>
      </c>
      <c r="CB32" s="19" t="s">
        <v>696</v>
      </c>
      <c r="CC32" s="19" t="s">
        <v>705</v>
      </c>
      <c r="CD32" s="19" t="s">
        <v>706</v>
      </c>
      <c r="CE32" s="19" t="s">
        <v>707</v>
      </c>
      <c r="CF32" s="19" t="s">
        <v>708</v>
      </c>
      <c r="CG32" s="19" t="s">
        <v>709</v>
      </c>
      <c r="CH32" s="19" t="s">
        <v>695</v>
      </c>
      <c r="CI32" s="19" t="s">
        <v>694</v>
      </c>
      <c r="CJ32" s="19" t="s">
        <v>1643</v>
      </c>
      <c r="CK32" s="19" t="s">
        <v>1644</v>
      </c>
      <c r="CL32" s="19" t="s">
        <v>1645</v>
      </c>
      <c r="CM32" s="19" t="s">
        <v>1646</v>
      </c>
      <c r="CN32" s="19"/>
      <c r="CO32" s="19"/>
      <c r="CP32" s="19" t="s">
        <v>715</v>
      </c>
      <c r="CQ32" s="19" t="s">
        <v>687</v>
      </c>
      <c r="CR32" s="19" t="s">
        <v>716</v>
      </c>
      <c r="CS32" s="19" t="s">
        <v>717</v>
      </c>
      <c r="CT32" s="19"/>
      <c r="CU32" s="19"/>
      <c r="CV32" s="19"/>
      <c r="CW32" s="19"/>
      <c r="CX32" s="19"/>
      <c r="CY32" s="19"/>
      <c r="CZ32" s="19"/>
      <c r="DA32" s="19"/>
      <c r="DB32" s="19"/>
      <c r="DC32" s="19"/>
    </row>
    <row r="33" spans="1:107" s="7" customFormat="1" x14ac:dyDescent="0.25">
      <c r="A33" s="19" t="s">
        <v>228</v>
      </c>
      <c r="B33" s="19" t="s">
        <v>80</v>
      </c>
      <c r="C33" s="19" t="str">
        <f t="shared" si="3"/>
        <v>96559257India</v>
      </c>
      <c r="D33" s="19">
        <v>96559257</v>
      </c>
      <c r="E33" s="19" t="s">
        <v>464</v>
      </c>
      <c r="F33" s="19" t="s">
        <v>261</v>
      </c>
      <c r="G33" s="20" t="s">
        <v>464</v>
      </c>
      <c r="H33" s="19"/>
      <c r="I33" s="19" t="s">
        <v>230</v>
      </c>
      <c r="J33" s="19" t="s">
        <v>243</v>
      </c>
      <c r="K33" s="19" t="s">
        <v>427</v>
      </c>
      <c r="L33" s="19" t="s">
        <v>279</v>
      </c>
      <c r="M33" s="19" t="s">
        <v>268</v>
      </c>
      <c r="N33" s="19" t="s">
        <v>247</v>
      </c>
      <c r="O33" s="19" t="s">
        <v>275</v>
      </c>
      <c r="P33" s="51" t="s">
        <v>237</v>
      </c>
      <c r="Q33" s="19" t="s">
        <v>428</v>
      </c>
      <c r="R33" s="19">
        <v>900</v>
      </c>
      <c r="S33" s="19" t="s">
        <v>272</v>
      </c>
      <c r="T33" s="19" t="s">
        <v>263</v>
      </c>
      <c r="U33" s="20" t="s">
        <v>263</v>
      </c>
      <c r="V33" s="19" t="s">
        <v>186</v>
      </c>
      <c r="W33" s="19" t="s">
        <v>222</v>
      </c>
      <c r="X33" s="35"/>
      <c r="Y33" s="35"/>
      <c r="Z33" s="32"/>
      <c r="AA33" s="22"/>
      <c r="AB33" s="22">
        <v>2</v>
      </c>
      <c r="AC33" s="22">
        <v>2</v>
      </c>
      <c r="AD33" s="22"/>
      <c r="AE33" s="61">
        <f t="shared" ref="AE33:AE55" si="12">SUM(AA33:AD33)</f>
        <v>4</v>
      </c>
      <c r="AF33" s="22"/>
      <c r="AG33" s="40">
        <f t="shared" ref="AG33:AG55" si="13">AE33+AF33</f>
        <v>4</v>
      </c>
      <c r="AH33" s="24">
        <v>4</v>
      </c>
      <c r="AI33" s="24"/>
      <c r="AJ33" s="23">
        <f t="shared" si="11"/>
        <v>0</v>
      </c>
      <c r="AK33" s="25"/>
      <c r="AL33" s="25"/>
      <c r="AM33" s="25"/>
      <c r="AN33" s="25"/>
      <c r="AO33" s="25">
        <f t="shared" si="7"/>
        <v>0</v>
      </c>
      <c r="AP33" s="13">
        <v>4</v>
      </c>
      <c r="AQ33" s="21">
        <v>1</v>
      </c>
      <c r="AR33" s="21">
        <v>1</v>
      </c>
      <c r="AS33" s="21">
        <v>2</v>
      </c>
      <c r="AT33" s="21"/>
      <c r="AU33" s="21"/>
      <c r="AV33" s="21"/>
      <c r="AW33" s="21"/>
      <c r="AX33" s="21"/>
      <c r="AY33" s="77"/>
      <c r="AZ33" s="21"/>
      <c r="BA33" s="21"/>
      <c r="BB33" s="21"/>
      <c r="BC33" s="21"/>
      <c r="BD33" s="21"/>
      <c r="BE33" s="21"/>
      <c r="BF33" s="77"/>
      <c r="BG33" s="21"/>
      <c r="BH33" s="21"/>
      <c r="BI33" s="21"/>
      <c r="BJ33" s="21"/>
      <c r="BK33" s="21"/>
      <c r="BL33" s="21"/>
      <c r="BM33" s="77"/>
      <c r="BN33" s="21"/>
      <c r="BO33" s="21"/>
      <c r="BP33" s="21"/>
      <c r="BQ33" s="21"/>
      <c r="BR33" s="21"/>
      <c r="BS33" s="21"/>
      <c r="BT33" s="96">
        <f t="shared" si="9"/>
        <v>4</v>
      </c>
      <c r="BU33" s="94">
        <f t="shared" si="10"/>
        <v>-4</v>
      </c>
      <c r="BV33" s="26"/>
      <c r="BW33" s="27"/>
      <c r="BX33" s="19" t="s">
        <v>464</v>
      </c>
      <c r="BY33" s="19" t="b">
        <f t="shared" si="8"/>
        <v>1</v>
      </c>
      <c r="BZ33" s="53" t="s">
        <v>464</v>
      </c>
      <c r="CA33" s="19" t="s">
        <v>743</v>
      </c>
      <c r="CB33" s="19" t="s">
        <v>696</v>
      </c>
      <c r="CC33" s="19" t="s">
        <v>705</v>
      </c>
      <c r="CD33" s="19" t="s">
        <v>706</v>
      </c>
      <c r="CE33" s="19" t="s">
        <v>707</v>
      </c>
      <c r="CF33" s="19" t="s">
        <v>708</v>
      </c>
      <c r="CG33" s="19" t="s">
        <v>709</v>
      </c>
      <c r="CH33" s="19" t="s">
        <v>710</v>
      </c>
      <c r="CI33" s="19" t="s">
        <v>667</v>
      </c>
      <c r="CJ33" s="19" t="s">
        <v>744</v>
      </c>
      <c r="CK33" s="19" t="s">
        <v>745</v>
      </c>
      <c r="CL33" s="19" t="s">
        <v>713</v>
      </c>
      <c r="CM33" s="19" t="s">
        <v>714</v>
      </c>
      <c r="CN33" s="19"/>
      <c r="CO33" s="19"/>
      <c r="CP33" s="19" t="s">
        <v>715</v>
      </c>
      <c r="CQ33" s="19" t="s">
        <v>687</v>
      </c>
      <c r="CR33" s="19" t="s">
        <v>716</v>
      </c>
      <c r="CS33" s="19" t="s">
        <v>717</v>
      </c>
      <c r="CT33" s="19"/>
      <c r="CU33" s="19"/>
      <c r="CV33" s="19"/>
      <c r="CW33" s="19"/>
      <c r="CX33" s="19"/>
      <c r="CY33" s="19"/>
      <c r="CZ33" s="19"/>
      <c r="DA33" s="19"/>
      <c r="DB33" s="19"/>
      <c r="DC33" s="19"/>
    </row>
    <row r="34" spans="1:107" s="7" customFormat="1" x14ac:dyDescent="0.25">
      <c r="A34" s="19" t="s">
        <v>228</v>
      </c>
      <c r="B34" s="19" t="s">
        <v>80</v>
      </c>
      <c r="C34" s="19" t="str">
        <f t="shared" ref="C34:C55" si="14">D34&amp;B34</f>
        <v>96559258India</v>
      </c>
      <c r="D34" s="19">
        <v>96559258</v>
      </c>
      <c r="E34" s="19" t="s">
        <v>464</v>
      </c>
      <c r="F34" s="19" t="s">
        <v>261</v>
      </c>
      <c r="G34" s="20" t="s">
        <v>464</v>
      </c>
      <c r="H34" s="19"/>
      <c r="I34" s="19" t="s">
        <v>230</v>
      </c>
      <c r="J34" s="19" t="s">
        <v>243</v>
      </c>
      <c r="K34" s="19" t="s">
        <v>427</v>
      </c>
      <c r="L34" s="19" t="s">
        <v>279</v>
      </c>
      <c r="M34" s="19" t="s">
        <v>268</v>
      </c>
      <c r="N34" s="19" t="s">
        <v>247</v>
      </c>
      <c r="O34" s="19" t="s">
        <v>275</v>
      </c>
      <c r="P34" s="51" t="s">
        <v>237</v>
      </c>
      <c r="Q34" s="19" t="s">
        <v>428</v>
      </c>
      <c r="R34" s="19">
        <v>900</v>
      </c>
      <c r="S34" s="19" t="s">
        <v>272</v>
      </c>
      <c r="T34" s="19" t="s">
        <v>263</v>
      </c>
      <c r="U34" s="20" t="s">
        <v>263</v>
      </c>
      <c r="V34" s="19" t="s">
        <v>189</v>
      </c>
      <c r="W34" s="19" t="s">
        <v>221</v>
      </c>
      <c r="X34" s="35">
        <v>30</v>
      </c>
      <c r="Y34" s="35">
        <v>17</v>
      </c>
      <c r="Z34" s="32"/>
      <c r="AA34" s="22">
        <v>9</v>
      </c>
      <c r="AB34" s="22">
        <v>12</v>
      </c>
      <c r="AC34" s="22">
        <v>13</v>
      </c>
      <c r="AD34" s="22">
        <v>5</v>
      </c>
      <c r="AE34" s="61">
        <f t="shared" si="12"/>
        <v>39</v>
      </c>
      <c r="AF34" s="22">
        <v>20</v>
      </c>
      <c r="AG34" s="40">
        <f t="shared" si="13"/>
        <v>59</v>
      </c>
      <c r="AH34" s="24">
        <v>32</v>
      </c>
      <c r="AI34" s="24">
        <v>10</v>
      </c>
      <c r="AJ34" s="23">
        <f t="shared" si="11"/>
        <v>37</v>
      </c>
      <c r="AK34" s="25"/>
      <c r="AL34" s="25">
        <v>15</v>
      </c>
      <c r="AM34" s="25">
        <v>15</v>
      </c>
      <c r="AN34" s="25">
        <v>7</v>
      </c>
      <c r="AO34" s="25">
        <f t="shared" si="7"/>
        <v>37</v>
      </c>
      <c r="AP34" s="13">
        <v>32</v>
      </c>
      <c r="AQ34" s="21">
        <v>12</v>
      </c>
      <c r="AR34" s="21">
        <v>12</v>
      </c>
      <c r="AS34" s="21">
        <v>8</v>
      </c>
      <c r="AT34" s="21"/>
      <c r="AU34" s="21"/>
      <c r="AV34" s="21"/>
      <c r="AW34" s="21"/>
      <c r="AX34" s="21"/>
      <c r="AY34" s="77"/>
      <c r="AZ34" s="21"/>
      <c r="BA34" s="21"/>
      <c r="BB34" s="21"/>
      <c r="BC34" s="21"/>
      <c r="BD34" s="21">
        <v>2</v>
      </c>
      <c r="BE34" s="21">
        <v>3</v>
      </c>
      <c r="BF34" s="77"/>
      <c r="BG34" s="21">
        <v>2</v>
      </c>
      <c r="BH34" s="21"/>
      <c r="BI34" s="21"/>
      <c r="BJ34" s="21"/>
      <c r="BK34" s="21"/>
      <c r="BL34" s="21"/>
      <c r="BM34" s="77"/>
      <c r="BN34" s="21"/>
      <c r="BO34" s="21"/>
      <c r="BP34" s="21"/>
      <c r="BQ34" s="21"/>
      <c r="BR34" s="21"/>
      <c r="BS34" s="21"/>
      <c r="BT34" s="96">
        <f t="shared" si="9"/>
        <v>39</v>
      </c>
      <c r="BU34" s="94">
        <f t="shared" si="10"/>
        <v>-2</v>
      </c>
      <c r="BV34" s="26"/>
      <c r="BW34" s="27"/>
      <c r="BX34" s="19" t="s">
        <v>464</v>
      </c>
      <c r="BY34" s="19" t="b">
        <f t="shared" ref="BY34:BY55" si="15">BZ34=BX34</f>
        <v>1</v>
      </c>
      <c r="BZ34" s="53" t="s">
        <v>464</v>
      </c>
      <c r="CA34" s="19" t="s">
        <v>743</v>
      </c>
      <c r="CB34" s="19" t="s">
        <v>696</v>
      </c>
      <c r="CC34" s="19" t="s">
        <v>705</v>
      </c>
      <c r="CD34" s="19" t="s">
        <v>706</v>
      </c>
      <c r="CE34" s="19" t="s">
        <v>707</v>
      </c>
      <c r="CF34" s="19" t="s">
        <v>708</v>
      </c>
      <c r="CG34" s="19" t="s">
        <v>709</v>
      </c>
      <c r="CH34" s="19" t="s">
        <v>710</v>
      </c>
      <c r="CI34" s="19" t="s">
        <v>667</v>
      </c>
      <c r="CJ34" s="19" t="s">
        <v>744</v>
      </c>
      <c r="CK34" s="19" t="s">
        <v>745</v>
      </c>
      <c r="CL34" s="19" t="s">
        <v>713</v>
      </c>
      <c r="CM34" s="19" t="s">
        <v>714</v>
      </c>
      <c r="CN34" s="19"/>
      <c r="CO34" s="19"/>
      <c r="CP34" s="19" t="s">
        <v>715</v>
      </c>
      <c r="CQ34" s="19" t="s">
        <v>687</v>
      </c>
      <c r="CR34" s="19" t="s">
        <v>716</v>
      </c>
      <c r="CS34" s="19" t="s">
        <v>717</v>
      </c>
      <c r="CT34" s="19"/>
      <c r="CU34" s="19"/>
      <c r="CV34" s="19"/>
      <c r="CW34" s="19"/>
      <c r="CX34" s="19"/>
      <c r="CY34" s="19"/>
      <c r="CZ34" s="19"/>
      <c r="DA34" s="19"/>
      <c r="DB34" s="19"/>
      <c r="DC34" s="19"/>
    </row>
    <row r="35" spans="1:107" s="7" customFormat="1" x14ac:dyDescent="0.25">
      <c r="A35" s="19" t="s">
        <v>228</v>
      </c>
      <c r="B35" s="19" t="s">
        <v>80</v>
      </c>
      <c r="C35" s="19" t="str">
        <f t="shared" si="14"/>
        <v>96551088India</v>
      </c>
      <c r="D35" s="19">
        <v>96551088</v>
      </c>
      <c r="E35" s="19" t="s">
        <v>455</v>
      </c>
      <c r="F35" s="19" t="s">
        <v>261</v>
      </c>
      <c r="G35" s="20" t="s">
        <v>455</v>
      </c>
      <c r="H35" s="19"/>
      <c r="I35" s="19" t="s">
        <v>230</v>
      </c>
      <c r="J35" s="19" t="s">
        <v>231</v>
      </c>
      <c r="K35" s="19" t="s">
        <v>427</v>
      </c>
      <c r="L35" s="19" t="s">
        <v>279</v>
      </c>
      <c r="M35" s="19" t="s">
        <v>268</v>
      </c>
      <c r="N35" s="19" t="s">
        <v>269</v>
      </c>
      <c r="O35" s="19" t="s">
        <v>275</v>
      </c>
      <c r="P35" s="51" t="s">
        <v>237</v>
      </c>
      <c r="Q35" s="19" t="s">
        <v>428</v>
      </c>
      <c r="R35" s="19">
        <v>900</v>
      </c>
      <c r="S35" s="19" t="s">
        <v>272</v>
      </c>
      <c r="T35" s="19" t="s">
        <v>263</v>
      </c>
      <c r="U35" s="20" t="s">
        <v>263</v>
      </c>
      <c r="V35" s="19" t="s">
        <v>1605</v>
      </c>
      <c r="W35" s="19" t="s">
        <v>222</v>
      </c>
      <c r="X35" s="35">
        <v>2</v>
      </c>
      <c r="Y35" s="35">
        <v>2</v>
      </c>
      <c r="Z35" s="32"/>
      <c r="AA35" s="22">
        <v>1</v>
      </c>
      <c r="AB35" s="22">
        <v>1</v>
      </c>
      <c r="AC35" s="22"/>
      <c r="AD35" s="22">
        <v>1</v>
      </c>
      <c r="AE35" s="61">
        <f t="shared" si="12"/>
        <v>3</v>
      </c>
      <c r="AF35" s="22"/>
      <c r="AG35" s="40">
        <f t="shared" si="13"/>
        <v>3</v>
      </c>
      <c r="AH35" s="24">
        <v>3</v>
      </c>
      <c r="AI35" s="24">
        <v>2</v>
      </c>
      <c r="AJ35" s="23">
        <f t="shared" si="11"/>
        <v>2</v>
      </c>
      <c r="AK35" s="25"/>
      <c r="AL35" s="25">
        <v>2</v>
      </c>
      <c r="AM35" s="25"/>
      <c r="AN35" s="25"/>
      <c r="AO35" s="25">
        <f t="shared" ref="AO35:AO55" si="16">SUM(AK35:AN35)</f>
        <v>2</v>
      </c>
      <c r="AP35" s="13">
        <v>3</v>
      </c>
      <c r="AQ35" s="21">
        <v>1</v>
      </c>
      <c r="AR35" s="21">
        <v>1</v>
      </c>
      <c r="AS35" s="21">
        <v>1</v>
      </c>
      <c r="AT35" s="21"/>
      <c r="AU35" s="21"/>
      <c r="AV35" s="21"/>
      <c r="AW35" s="21"/>
      <c r="AX35" s="21"/>
      <c r="AY35" s="77"/>
      <c r="AZ35" s="21"/>
      <c r="BA35" s="21"/>
      <c r="BB35" s="21"/>
      <c r="BC35" s="21"/>
      <c r="BD35" s="21"/>
      <c r="BE35" s="21"/>
      <c r="BF35" s="77"/>
      <c r="BG35" s="21"/>
      <c r="BH35" s="21"/>
      <c r="BI35" s="21"/>
      <c r="BJ35" s="21"/>
      <c r="BK35" s="21"/>
      <c r="BL35" s="21"/>
      <c r="BM35" s="77"/>
      <c r="BN35" s="21"/>
      <c r="BO35" s="21"/>
      <c r="BP35" s="21"/>
      <c r="BQ35" s="21"/>
      <c r="BR35" s="21"/>
      <c r="BS35" s="21"/>
      <c r="BT35" s="96">
        <f t="shared" si="9"/>
        <v>3</v>
      </c>
      <c r="BU35" s="94">
        <f t="shared" si="10"/>
        <v>-1</v>
      </c>
      <c r="BV35" s="26"/>
      <c r="BW35" s="27"/>
      <c r="BX35" s="19" t="s">
        <v>455</v>
      </c>
      <c r="BY35" s="19" t="b">
        <f t="shared" si="15"/>
        <v>1</v>
      </c>
      <c r="BZ35" s="53" t="s">
        <v>455</v>
      </c>
      <c r="CA35" s="19" t="s">
        <v>735</v>
      </c>
      <c r="CB35" s="19" t="s">
        <v>696</v>
      </c>
      <c r="CC35" s="19" t="s">
        <v>697</v>
      </c>
      <c r="CD35" s="19" t="s">
        <v>730</v>
      </c>
      <c r="CE35" s="19" t="s">
        <v>690</v>
      </c>
      <c r="CF35" s="19" t="s">
        <v>691</v>
      </c>
      <c r="CG35" s="19" t="s">
        <v>692</v>
      </c>
      <c r="CH35" s="19" t="s">
        <v>695</v>
      </c>
      <c r="CI35" s="19" t="s">
        <v>694</v>
      </c>
      <c r="CJ35" s="19" t="s">
        <v>736</v>
      </c>
      <c r="CK35" s="19" t="s">
        <v>726</v>
      </c>
      <c r="CL35" s="19" t="s">
        <v>731</v>
      </c>
      <c r="CM35" s="19" t="s">
        <v>732</v>
      </c>
      <c r="CN35" s="19"/>
      <c r="CO35" s="19"/>
      <c r="CP35" s="19" t="s">
        <v>686</v>
      </c>
      <c r="CQ35" s="19" t="s">
        <v>687</v>
      </c>
      <c r="CR35" s="19" t="s">
        <v>733</v>
      </c>
      <c r="CS35" s="19" t="s">
        <v>734</v>
      </c>
      <c r="CT35" s="19"/>
      <c r="CU35" s="19"/>
      <c r="CV35" s="19"/>
      <c r="CW35" s="19"/>
      <c r="CX35" s="19"/>
      <c r="CY35" s="19"/>
      <c r="CZ35" s="19"/>
      <c r="DA35" s="19"/>
      <c r="DB35" s="19"/>
      <c r="DC35" s="19"/>
    </row>
    <row r="36" spans="1:107" s="7" customFormat="1" x14ac:dyDescent="0.25">
      <c r="A36" s="19" t="s">
        <v>228</v>
      </c>
      <c r="B36" s="19" t="s">
        <v>80</v>
      </c>
      <c r="C36" s="19" t="str">
        <f t="shared" si="14"/>
        <v>96556999India</v>
      </c>
      <c r="D36" s="19">
        <v>96556999</v>
      </c>
      <c r="E36" s="19" t="s">
        <v>1606</v>
      </c>
      <c r="F36" s="19" t="s">
        <v>261</v>
      </c>
      <c r="G36" s="20" t="s">
        <v>1606</v>
      </c>
      <c r="H36" s="19"/>
      <c r="I36" s="19" t="s">
        <v>230</v>
      </c>
      <c r="J36" s="19" t="s">
        <v>231</v>
      </c>
      <c r="K36" s="19" t="s">
        <v>427</v>
      </c>
      <c r="L36" s="19" t="s">
        <v>279</v>
      </c>
      <c r="M36" s="19" t="s">
        <v>268</v>
      </c>
      <c r="N36" s="19" t="s">
        <v>247</v>
      </c>
      <c r="O36" s="19" t="s">
        <v>275</v>
      </c>
      <c r="P36" s="51" t="s">
        <v>237</v>
      </c>
      <c r="Q36" s="19" t="s">
        <v>428</v>
      </c>
      <c r="R36" s="19">
        <v>900</v>
      </c>
      <c r="S36" s="19" t="s">
        <v>272</v>
      </c>
      <c r="T36" s="19" t="s">
        <v>263</v>
      </c>
      <c r="U36" s="20" t="s">
        <v>263</v>
      </c>
      <c r="V36" s="19" t="s">
        <v>1558</v>
      </c>
      <c r="W36" s="19" t="s">
        <v>222</v>
      </c>
      <c r="X36" s="35">
        <v>6</v>
      </c>
      <c r="Y36" s="35">
        <v>6</v>
      </c>
      <c r="Z36" s="32"/>
      <c r="AA36" s="22"/>
      <c r="AB36" s="22"/>
      <c r="AC36" s="22">
        <v>1</v>
      </c>
      <c r="AD36" s="22">
        <v>4</v>
      </c>
      <c r="AE36" s="61">
        <f t="shared" si="12"/>
        <v>5</v>
      </c>
      <c r="AF36" s="22"/>
      <c r="AG36" s="40">
        <f t="shared" si="13"/>
        <v>5</v>
      </c>
      <c r="AH36" s="24"/>
      <c r="AI36" s="24">
        <v>2</v>
      </c>
      <c r="AJ36" s="23">
        <f t="shared" si="11"/>
        <v>7</v>
      </c>
      <c r="AK36" s="25"/>
      <c r="AL36" s="25">
        <v>3</v>
      </c>
      <c r="AM36" s="25">
        <v>4</v>
      </c>
      <c r="AN36" s="25"/>
      <c r="AO36" s="25">
        <f t="shared" si="16"/>
        <v>7</v>
      </c>
      <c r="AP36" s="13"/>
      <c r="AQ36" s="21"/>
      <c r="AR36" s="21"/>
      <c r="AS36" s="21"/>
      <c r="AT36" s="21"/>
      <c r="AU36" s="21"/>
      <c r="AV36" s="21"/>
      <c r="AW36" s="21"/>
      <c r="AX36" s="21"/>
      <c r="AY36" s="77"/>
      <c r="AZ36" s="21"/>
      <c r="BA36" s="21"/>
      <c r="BB36" s="21"/>
      <c r="BC36" s="21"/>
      <c r="BD36" s="21">
        <v>1</v>
      </c>
      <c r="BE36" s="21">
        <v>2</v>
      </c>
      <c r="BF36" s="77"/>
      <c r="BG36" s="21">
        <v>2</v>
      </c>
      <c r="BH36" s="21"/>
      <c r="BI36" s="21"/>
      <c r="BJ36" s="21"/>
      <c r="BK36" s="21"/>
      <c r="BL36" s="21"/>
      <c r="BM36" s="77"/>
      <c r="BN36" s="21"/>
      <c r="BO36" s="21"/>
      <c r="BP36" s="21"/>
      <c r="BQ36" s="21"/>
      <c r="BR36" s="21"/>
      <c r="BS36" s="21"/>
      <c r="BT36" s="96">
        <f t="shared" si="9"/>
        <v>5</v>
      </c>
      <c r="BU36" s="94">
        <f t="shared" si="10"/>
        <v>2</v>
      </c>
      <c r="BV36" s="26"/>
      <c r="BW36" s="27"/>
      <c r="BX36" s="19" t="s">
        <v>1606</v>
      </c>
      <c r="BY36" s="19" t="b">
        <f t="shared" si="15"/>
        <v>1</v>
      </c>
      <c r="BZ36" s="53" t="s">
        <v>1606</v>
      </c>
      <c r="CA36" s="19" t="s">
        <v>724</v>
      </c>
      <c r="CB36" s="19" t="s">
        <v>696</v>
      </c>
      <c r="CC36" s="19" t="s">
        <v>697</v>
      </c>
      <c r="CD36" s="19" t="s">
        <v>698</v>
      </c>
      <c r="CE36" s="19" t="s">
        <v>699</v>
      </c>
      <c r="CF36" s="19" t="s">
        <v>691</v>
      </c>
      <c r="CG36" s="19" t="s">
        <v>692</v>
      </c>
      <c r="CH36" s="19" t="s">
        <v>700</v>
      </c>
      <c r="CI36" s="19" t="s">
        <v>701</v>
      </c>
      <c r="CJ36" s="19" t="s">
        <v>1640</v>
      </c>
      <c r="CK36" s="19" t="s">
        <v>1641</v>
      </c>
      <c r="CL36" s="19" t="s">
        <v>727</v>
      </c>
      <c r="CM36" s="19" t="s">
        <v>728</v>
      </c>
      <c r="CN36" s="19"/>
      <c r="CO36" s="19"/>
      <c r="CP36" s="19" t="s">
        <v>686</v>
      </c>
      <c r="CQ36" s="19" t="s">
        <v>687</v>
      </c>
      <c r="CR36" s="19" t="s">
        <v>702</v>
      </c>
      <c r="CS36" s="19" t="s">
        <v>703</v>
      </c>
      <c r="CT36" s="19"/>
      <c r="CU36" s="19"/>
      <c r="CV36" s="19"/>
      <c r="CW36" s="19"/>
      <c r="CX36" s="19"/>
      <c r="CY36" s="19"/>
      <c r="CZ36" s="19"/>
      <c r="DA36" s="19"/>
      <c r="DB36" s="19"/>
      <c r="DC36" s="19"/>
    </row>
    <row r="37" spans="1:107" s="7" customFormat="1" x14ac:dyDescent="0.25">
      <c r="A37" s="19" t="s">
        <v>228</v>
      </c>
      <c r="B37" s="19" t="s">
        <v>80</v>
      </c>
      <c r="C37" s="19" t="str">
        <f t="shared" si="14"/>
        <v>96559251India</v>
      </c>
      <c r="D37" s="19">
        <v>96559251</v>
      </c>
      <c r="E37" s="19" t="s">
        <v>454</v>
      </c>
      <c r="F37" s="19" t="s">
        <v>261</v>
      </c>
      <c r="G37" s="20" t="s">
        <v>454</v>
      </c>
      <c r="H37" s="19"/>
      <c r="I37" s="19" t="s">
        <v>230</v>
      </c>
      <c r="J37" s="19" t="s">
        <v>231</v>
      </c>
      <c r="K37" s="19" t="s">
        <v>427</v>
      </c>
      <c r="L37" s="19" t="s">
        <v>279</v>
      </c>
      <c r="M37" s="19" t="s">
        <v>268</v>
      </c>
      <c r="N37" s="19" t="s">
        <v>247</v>
      </c>
      <c r="O37" s="19" t="s">
        <v>275</v>
      </c>
      <c r="P37" s="51" t="s">
        <v>237</v>
      </c>
      <c r="Q37" s="19" t="s">
        <v>428</v>
      </c>
      <c r="R37" s="19">
        <v>900</v>
      </c>
      <c r="S37" s="19" t="s">
        <v>272</v>
      </c>
      <c r="T37" s="19" t="s">
        <v>263</v>
      </c>
      <c r="U37" s="20" t="s">
        <v>263</v>
      </c>
      <c r="V37" s="19" t="s">
        <v>1560</v>
      </c>
      <c r="W37" s="19" t="s">
        <v>221</v>
      </c>
      <c r="X37" s="35">
        <v>2</v>
      </c>
      <c r="Y37" s="35">
        <v>2</v>
      </c>
      <c r="Z37" s="32"/>
      <c r="AA37" s="22"/>
      <c r="AB37" s="22"/>
      <c r="AC37" s="22"/>
      <c r="AD37" s="22"/>
      <c r="AE37" s="61">
        <f t="shared" si="12"/>
        <v>0</v>
      </c>
      <c r="AF37" s="22"/>
      <c r="AG37" s="40">
        <f t="shared" si="13"/>
        <v>0</v>
      </c>
      <c r="AH37" s="24"/>
      <c r="AI37" s="24">
        <v>1</v>
      </c>
      <c r="AJ37" s="23">
        <f t="shared" si="11"/>
        <v>1</v>
      </c>
      <c r="AK37" s="25"/>
      <c r="AL37" s="25">
        <v>1</v>
      </c>
      <c r="AM37" s="25"/>
      <c r="AN37" s="25"/>
      <c r="AO37" s="25">
        <f t="shared" si="16"/>
        <v>1</v>
      </c>
      <c r="AP37" s="13"/>
      <c r="AQ37" s="21"/>
      <c r="AR37" s="21"/>
      <c r="AS37" s="21"/>
      <c r="AT37" s="21"/>
      <c r="AU37" s="21"/>
      <c r="AV37" s="21"/>
      <c r="AW37" s="21"/>
      <c r="AX37" s="21"/>
      <c r="AY37" s="77"/>
      <c r="AZ37" s="21"/>
      <c r="BA37" s="21"/>
      <c r="BB37" s="21"/>
      <c r="BC37" s="21"/>
      <c r="BD37" s="21"/>
      <c r="BE37" s="21"/>
      <c r="BF37" s="77"/>
      <c r="BG37" s="21"/>
      <c r="BH37" s="21"/>
      <c r="BI37" s="21"/>
      <c r="BJ37" s="21"/>
      <c r="BK37" s="21"/>
      <c r="BL37" s="21"/>
      <c r="BM37" s="77"/>
      <c r="BN37" s="21"/>
      <c r="BO37" s="21"/>
      <c r="BP37" s="21"/>
      <c r="BQ37" s="21"/>
      <c r="BR37" s="21"/>
      <c r="BS37" s="21"/>
      <c r="BT37" s="96">
        <f t="shared" si="9"/>
        <v>0</v>
      </c>
      <c r="BU37" s="94">
        <f t="shared" si="10"/>
        <v>1</v>
      </c>
      <c r="BV37" s="26"/>
      <c r="BW37" s="27"/>
      <c r="BX37" s="19" t="s">
        <v>454</v>
      </c>
      <c r="BY37" s="19" t="b">
        <f t="shared" si="15"/>
        <v>1</v>
      </c>
      <c r="BZ37" s="53" t="s">
        <v>454</v>
      </c>
      <c r="CA37" s="19" t="s">
        <v>729</v>
      </c>
      <c r="CB37" s="19" t="s">
        <v>696</v>
      </c>
      <c r="CC37" s="19" t="s">
        <v>697</v>
      </c>
      <c r="CD37" s="19" t="s">
        <v>730</v>
      </c>
      <c r="CE37" s="19" t="s">
        <v>690</v>
      </c>
      <c r="CF37" s="19" t="s">
        <v>691</v>
      </c>
      <c r="CG37" s="19" t="s">
        <v>692</v>
      </c>
      <c r="CH37" s="19" t="s">
        <v>695</v>
      </c>
      <c r="CI37" s="19" t="s">
        <v>694</v>
      </c>
      <c r="CJ37" s="19" t="s">
        <v>725</v>
      </c>
      <c r="CK37" s="19" t="s">
        <v>726</v>
      </c>
      <c r="CL37" s="19" t="s">
        <v>731</v>
      </c>
      <c r="CM37" s="19" t="s">
        <v>732</v>
      </c>
      <c r="CN37" s="19"/>
      <c r="CO37" s="19"/>
      <c r="CP37" s="19" t="s">
        <v>686</v>
      </c>
      <c r="CQ37" s="19" t="s">
        <v>687</v>
      </c>
      <c r="CR37" s="19" t="s">
        <v>733</v>
      </c>
      <c r="CS37" s="19" t="s">
        <v>734</v>
      </c>
      <c r="CT37" s="19"/>
      <c r="CU37" s="19"/>
      <c r="CV37" s="19"/>
      <c r="CW37" s="19"/>
      <c r="CX37" s="19"/>
      <c r="CY37" s="19"/>
      <c r="CZ37" s="19"/>
      <c r="DA37" s="19"/>
      <c r="DB37" s="19"/>
      <c r="DC37" s="19"/>
    </row>
    <row r="38" spans="1:107" s="7" customFormat="1" x14ac:dyDescent="0.25">
      <c r="A38" s="19" t="s">
        <v>228</v>
      </c>
      <c r="B38" s="19" t="s">
        <v>80</v>
      </c>
      <c r="C38" s="19" t="str">
        <f t="shared" si="14"/>
        <v>96559420India</v>
      </c>
      <c r="D38" s="19">
        <v>96559420</v>
      </c>
      <c r="E38" s="19" t="s">
        <v>1845</v>
      </c>
      <c r="F38" s="19" t="s">
        <v>261</v>
      </c>
      <c r="G38" s="20" t="s">
        <v>1845</v>
      </c>
      <c r="H38" s="19"/>
      <c r="I38" s="19" t="s">
        <v>230</v>
      </c>
      <c r="J38" s="19" t="s">
        <v>286</v>
      </c>
      <c r="K38" s="19" t="s">
        <v>427</v>
      </c>
      <c r="L38" s="19" t="s">
        <v>279</v>
      </c>
      <c r="M38" s="19" t="s">
        <v>268</v>
      </c>
      <c r="N38" s="19" t="s">
        <v>269</v>
      </c>
      <c r="O38" s="19" t="s">
        <v>275</v>
      </c>
      <c r="P38" s="51" t="s">
        <v>237</v>
      </c>
      <c r="Q38" s="19" t="s">
        <v>428</v>
      </c>
      <c r="R38" s="19">
        <v>900</v>
      </c>
      <c r="S38" s="19" t="s">
        <v>272</v>
      </c>
      <c r="T38" s="19" t="s">
        <v>263</v>
      </c>
      <c r="U38" s="20" t="s">
        <v>263</v>
      </c>
      <c r="V38" s="19" t="s">
        <v>1801</v>
      </c>
      <c r="W38" s="19" t="s">
        <v>222</v>
      </c>
      <c r="X38" s="35">
        <v>1</v>
      </c>
      <c r="Y38" s="35">
        <v>1</v>
      </c>
      <c r="Z38" s="32"/>
      <c r="AA38" s="22"/>
      <c r="AB38" s="22"/>
      <c r="AC38" s="22"/>
      <c r="AD38" s="22">
        <v>1</v>
      </c>
      <c r="AE38" s="61">
        <f t="shared" si="12"/>
        <v>1</v>
      </c>
      <c r="AF38" s="22"/>
      <c r="AG38" s="40">
        <f t="shared" si="13"/>
        <v>1</v>
      </c>
      <c r="AH38" s="24"/>
      <c r="AI38" s="24">
        <v>1</v>
      </c>
      <c r="AJ38" s="23">
        <f t="shared" si="11"/>
        <v>2</v>
      </c>
      <c r="AK38" s="25"/>
      <c r="AL38" s="25">
        <v>2</v>
      </c>
      <c r="AM38" s="25"/>
      <c r="AN38" s="25"/>
      <c r="AO38" s="25">
        <f t="shared" si="16"/>
        <v>2</v>
      </c>
      <c r="AP38" s="13"/>
      <c r="AQ38" s="21"/>
      <c r="AR38" s="21"/>
      <c r="AS38" s="21"/>
      <c r="AT38" s="21"/>
      <c r="AU38" s="21"/>
      <c r="AV38" s="21"/>
      <c r="AW38" s="21"/>
      <c r="AX38" s="21"/>
      <c r="AY38" s="77"/>
      <c r="AZ38" s="21"/>
      <c r="BA38" s="21"/>
      <c r="BB38" s="21"/>
      <c r="BC38" s="21"/>
      <c r="BD38" s="21"/>
      <c r="BE38" s="21">
        <v>1</v>
      </c>
      <c r="BF38" s="77"/>
      <c r="BG38" s="21"/>
      <c r="BH38" s="21"/>
      <c r="BI38" s="21"/>
      <c r="BJ38" s="21"/>
      <c r="BK38" s="21"/>
      <c r="BL38" s="21"/>
      <c r="BM38" s="77"/>
      <c r="BN38" s="21"/>
      <c r="BO38" s="21"/>
      <c r="BP38" s="21"/>
      <c r="BQ38" s="21"/>
      <c r="BR38" s="21"/>
      <c r="BS38" s="21"/>
      <c r="BT38" s="96">
        <f t="shared" si="9"/>
        <v>1</v>
      </c>
      <c r="BU38" s="94">
        <f t="shared" si="10"/>
        <v>1</v>
      </c>
      <c r="BV38" s="26"/>
      <c r="BW38" s="27"/>
      <c r="BX38" s="19" t="s">
        <v>1845</v>
      </c>
      <c r="BY38" s="19" t="b">
        <f t="shared" si="15"/>
        <v>1</v>
      </c>
      <c r="BZ38" s="53" t="s">
        <v>1845</v>
      </c>
      <c r="CA38" s="19" t="s">
        <v>1891</v>
      </c>
      <c r="CB38" s="19" t="s">
        <v>696</v>
      </c>
      <c r="CC38" s="19" t="s">
        <v>697</v>
      </c>
      <c r="CD38" s="19" t="s">
        <v>718</v>
      </c>
      <c r="CE38" s="19" t="s">
        <v>719</v>
      </c>
      <c r="CF38" s="19" t="s">
        <v>619</v>
      </c>
      <c r="CG38" s="19" t="s">
        <v>620</v>
      </c>
      <c r="CH38" s="19" t="s">
        <v>700</v>
      </c>
      <c r="CI38" s="19" t="s">
        <v>701</v>
      </c>
      <c r="CJ38" s="19" t="s">
        <v>1892</v>
      </c>
      <c r="CK38" s="19" t="s">
        <v>1893</v>
      </c>
      <c r="CL38" s="19" t="s">
        <v>1894</v>
      </c>
      <c r="CM38" s="19" t="s">
        <v>1895</v>
      </c>
      <c r="CN38" s="19"/>
      <c r="CO38" s="19"/>
      <c r="CP38" s="19" t="s">
        <v>686</v>
      </c>
      <c r="CQ38" s="19" t="s">
        <v>687</v>
      </c>
      <c r="CR38" s="19" t="s">
        <v>722</v>
      </c>
      <c r="CS38" s="19" t="s">
        <v>723</v>
      </c>
      <c r="CT38" s="19"/>
      <c r="CU38" s="19"/>
      <c r="CV38" s="19"/>
      <c r="CW38" s="19"/>
      <c r="CX38" s="19"/>
      <c r="CY38" s="19"/>
      <c r="CZ38" s="19"/>
      <c r="DA38" s="19"/>
      <c r="DB38" s="19"/>
      <c r="DC38" s="19"/>
    </row>
    <row r="39" spans="1:107" s="7" customFormat="1" x14ac:dyDescent="0.25">
      <c r="A39" s="19" t="s">
        <v>228</v>
      </c>
      <c r="B39" s="19" t="s">
        <v>80</v>
      </c>
      <c r="C39" s="19" t="str">
        <f t="shared" si="14"/>
        <v>96559422India</v>
      </c>
      <c r="D39" s="19">
        <v>96559422</v>
      </c>
      <c r="E39" s="19" t="s">
        <v>486</v>
      </c>
      <c r="F39" s="19" t="s">
        <v>261</v>
      </c>
      <c r="G39" s="20" t="s">
        <v>486</v>
      </c>
      <c r="H39" s="19"/>
      <c r="I39" s="19" t="s">
        <v>230</v>
      </c>
      <c r="J39" s="19" t="s">
        <v>286</v>
      </c>
      <c r="K39" s="19" t="s">
        <v>427</v>
      </c>
      <c r="L39" s="19" t="s">
        <v>279</v>
      </c>
      <c r="M39" s="19" t="s">
        <v>268</v>
      </c>
      <c r="N39" s="19" t="s">
        <v>247</v>
      </c>
      <c r="O39" s="19" t="s">
        <v>275</v>
      </c>
      <c r="P39" s="51" t="s">
        <v>237</v>
      </c>
      <c r="Q39" s="19" t="s">
        <v>428</v>
      </c>
      <c r="R39" s="19">
        <v>900</v>
      </c>
      <c r="S39" s="19" t="s">
        <v>272</v>
      </c>
      <c r="T39" s="19" t="s">
        <v>263</v>
      </c>
      <c r="U39" s="20" t="s">
        <v>263</v>
      </c>
      <c r="V39" s="19" t="s">
        <v>211</v>
      </c>
      <c r="W39" s="19" t="s">
        <v>222</v>
      </c>
      <c r="X39" s="35">
        <v>1</v>
      </c>
      <c r="Y39" s="35">
        <v>1</v>
      </c>
      <c r="Z39" s="32"/>
      <c r="AA39" s="22"/>
      <c r="AB39" s="22"/>
      <c r="AC39" s="22"/>
      <c r="AD39" s="22">
        <v>2</v>
      </c>
      <c r="AE39" s="61">
        <f t="shared" si="12"/>
        <v>2</v>
      </c>
      <c r="AF39" s="22"/>
      <c r="AG39" s="40">
        <f t="shared" si="13"/>
        <v>2</v>
      </c>
      <c r="AH39" s="24">
        <v>2</v>
      </c>
      <c r="AI39" s="24">
        <v>1</v>
      </c>
      <c r="AJ39" s="23">
        <f t="shared" si="11"/>
        <v>1</v>
      </c>
      <c r="AK39" s="25"/>
      <c r="AL39" s="25">
        <v>1</v>
      </c>
      <c r="AM39" s="25"/>
      <c r="AN39" s="25"/>
      <c r="AO39" s="25">
        <f t="shared" si="16"/>
        <v>1</v>
      </c>
      <c r="AP39" s="13">
        <v>2</v>
      </c>
      <c r="AQ39" s="21">
        <v>2</v>
      </c>
      <c r="AR39" s="21"/>
      <c r="AS39" s="21"/>
      <c r="AT39" s="21"/>
      <c r="AU39" s="21"/>
      <c r="AV39" s="21"/>
      <c r="AW39" s="21"/>
      <c r="AX39" s="21"/>
      <c r="AY39" s="77"/>
      <c r="AZ39" s="21"/>
      <c r="BA39" s="21"/>
      <c r="BB39" s="21"/>
      <c r="BC39" s="21"/>
      <c r="BD39" s="21"/>
      <c r="BE39" s="21"/>
      <c r="BF39" s="77"/>
      <c r="BG39" s="21"/>
      <c r="BH39" s="21"/>
      <c r="BI39" s="21"/>
      <c r="BJ39" s="21"/>
      <c r="BK39" s="21"/>
      <c r="BL39" s="21"/>
      <c r="BM39" s="77"/>
      <c r="BN39" s="21"/>
      <c r="BO39" s="21"/>
      <c r="BP39" s="21"/>
      <c r="BQ39" s="21"/>
      <c r="BR39" s="21"/>
      <c r="BS39" s="21"/>
      <c r="BT39" s="96">
        <f t="shared" si="9"/>
        <v>2</v>
      </c>
      <c r="BU39" s="94">
        <f t="shared" si="10"/>
        <v>-1</v>
      </c>
      <c r="BV39" s="26"/>
      <c r="BW39" s="27"/>
      <c r="BX39" s="19" t="s">
        <v>486</v>
      </c>
      <c r="BY39" s="19" t="b">
        <f t="shared" si="15"/>
        <v>1</v>
      </c>
      <c r="BZ39" s="53" t="s">
        <v>486</v>
      </c>
      <c r="CA39" s="19" t="s">
        <v>751</v>
      </c>
      <c r="CB39" s="19" t="s">
        <v>696</v>
      </c>
      <c r="CC39" s="19" t="s">
        <v>697</v>
      </c>
      <c r="CD39" s="19" t="s">
        <v>752</v>
      </c>
      <c r="CE39" s="19" t="s">
        <v>753</v>
      </c>
      <c r="CF39" s="19" t="s">
        <v>619</v>
      </c>
      <c r="CG39" s="19" t="s">
        <v>620</v>
      </c>
      <c r="CH39" s="19" t="s">
        <v>754</v>
      </c>
      <c r="CI39" s="19" t="s">
        <v>694</v>
      </c>
      <c r="CJ39" s="19" t="s">
        <v>755</v>
      </c>
      <c r="CK39" s="19" t="s">
        <v>756</v>
      </c>
      <c r="CL39" s="19" t="s">
        <v>757</v>
      </c>
      <c r="CM39" s="19" t="s">
        <v>758</v>
      </c>
      <c r="CN39" s="19"/>
      <c r="CO39" s="19"/>
      <c r="CP39" s="19" t="s">
        <v>686</v>
      </c>
      <c r="CQ39" s="19" t="s">
        <v>687</v>
      </c>
      <c r="CR39" s="19" t="s">
        <v>759</v>
      </c>
      <c r="CS39" s="19" t="s">
        <v>760</v>
      </c>
      <c r="CT39" s="19"/>
      <c r="CU39" s="19"/>
      <c r="CV39" s="19"/>
      <c r="CW39" s="19"/>
      <c r="CX39" s="19"/>
      <c r="CY39" s="19"/>
      <c r="CZ39" s="19"/>
      <c r="DA39" s="19"/>
      <c r="DB39" s="19"/>
      <c r="DC39" s="19"/>
    </row>
    <row r="40" spans="1:107" s="7" customFormat="1" x14ac:dyDescent="0.25">
      <c r="A40" s="19" t="s">
        <v>228</v>
      </c>
      <c r="B40" s="19" t="s">
        <v>80</v>
      </c>
      <c r="C40" s="19" t="str">
        <f t="shared" si="14"/>
        <v>96559242India</v>
      </c>
      <c r="D40" s="19">
        <v>96559242</v>
      </c>
      <c r="E40" s="19" t="s">
        <v>426</v>
      </c>
      <c r="F40" s="19" t="s">
        <v>261</v>
      </c>
      <c r="G40" s="20" t="s">
        <v>426</v>
      </c>
      <c r="H40" s="19"/>
      <c r="I40" s="19" t="s">
        <v>230</v>
      </c>
      <c r="J40" s="19" t="s">
        <v>231</v>
      </c>
      <c r="K40" s="19" t="s">
        <v>427</v>
      </c>
      <c r="L40" s="19" t="s">
        <v>279</v>
      </c>
      <c r="M40" s="19" t="s">
        <v>268</v>
      </c>
      <c r="N40" s="19" t="s">
        <v>269</v>
      </c>
      <c r="O40" s="19" t="s">
        <v>275</v>
      </c>
      <c r="P40" s="51" t="s">
        <v>237</v>
      </c>
      <c r="Q40" s="19" t="s">
        <v>428</v>
      </c>
      <c r="R40" s="19">
        <v>900</v>
      </c>
      <c r="S40" s="19" t="s">
        <v>272</v>
      </c>
      <c r="T40" s="19" t="s">
        <v>263</v>
      </c>
      <c r="U40" s="20" t="s">
        <v>263</v>
      </c>
      <c r="V40" s="19" t="s">
        <v>212</v>
      </c>
      <c r="W40" s="19" t="s">
        <v>222</v>
      </c>
      <c r="X40" s="35">
        <v>5</v>
      </c>
      <c r="Y40" s="35">
        <v>5</v>
      </c>
      <c r="Z40" s="32"/>
      <c r="AA40" s="22"/>
      <c r="AB40" s="22"/>
      <c r="AC40" s="22"/>
      <c r="AD40" s="22">
        <v>4</v>
      </c>
      <c r="AE40" s="61">
        <f t="shared" si="12"/>
        <v>4</v>
      </c>
      <c r="AF40" s="22"/>
      <c r="AG40" s="40">
        <f t="shared" si="13"/>
        <v>4</v>
      </c>
      <c r="AH40" s="24"/>
      <c r="AI40" s="24">
        <v>5</v>
      </c>
      <c r="AJ40" s="23">
        <f t="shared" si="11"/>
        <v>9</v>
      </c>
      <c r="AK40" s="25"/>
      <c r="AL40" s="25">
        <v>4</v>
      </c>
      <c r="AM40" s="25">
        <v>5</v>
      </c>
      <c r="AN40" s="25"/>
      <c r="AO40" s="25">
        <f t="shared" si="16"/>
        <v>9</v>
      </c>
      <c r="AP40" s="13"/>
      <c r="AQ40" s="21"/>
      <c r="AR40" s="21"/>
      <c r="AS40" s="21"/>
      <c r="AT40" s="21"/>
      <c r="AU40" s="21"/>
      <c r="AV40" s="21"/>
      <c r="AW40" s="21"/>
      <c r="AX40" s="21"/>
      <c r="AY40" s="77"/>
      <c r="AZ40" s="21"/>
      <c r="BA40" s="21"/>
      <c r="BB40" s="21"/>
      <c r="BC40" s="21"/>
      <c r="BD40" s="21">
        <v>2</v>
      </c>
      <c r="BE40" s="21">
        <v>2</v>
      </c>
      <c r="BF40" s="77"/>
      <c r="BG40" s="21"/>
      <c r="BH40" s="21"/>
      <c r="BI40" s="21"/>
      <c r="BJ40" s="21"/>
      <c r="BK40" s="21"/>
      <c r="BL40" s="21"/>
      <c r="BM40" s="77"/>
      <c r="BN40" s="21"/>
      <c r="BO40" s="21"/>
      <c r="BP40" s="21"/>
      <c r="BQ40" s="21"/>
      <c r="BR40" s="21"/>
      <c r="BS40" s="21"/>
      <c r="BT40" s="96">
        <f t="shared" si="9"/>
        <v>4</v>
      </c>
      <c r="BU40" s="94">
        <f t="shared" si="10"/>
        <v>5</v>
      </c>
      <c r="BV40" s="26"/>
      <c r="BW40" s="27"/>
      <c r="BX40" s="19" t="s">
        <v>426</v>
      </c>
      <c r="BY40" s="19" t="b">
        <f t="shared" si="15"/>
        <v>1</v>
      </c>
      <c r="BZ40" s="53" t="s">
        <v>426</v>
      </c>
      <c r="CA40" s="19" t="s">
        <v>724</v>
      </c>
      <c r="CB40" s="19" t="s">
        <v>696</v>
      </c>
      <c r="CC40" s="19" t="s">
        <v>697</v>
      </c>
      <c r="CD40" s="19" t="s">
        <v>698</v>
      </c>
      <c r="CE40" s="19" t="s">
        <v>699</v>
      </c>
      <c r="CF40" s="19" t="s">
        <v>691</v>
      </c>
      <c r="CG40" s="19" t="s">
        <v>692</v>
      </c>
      <c r="CH40" s="19" t="s">
        <v>700</v>
      </c>
      <c r="CI40" s="19" t="s">
        <v>701</v>
      </c>
      <c r="CJ40" s="19" t="s">
        <v>725</v>
      </c>
      <c r="CK40" s="19" t="s">
        <v>726</v>
      </c>
      <c r="CL40" s="19" t="s">
        <v>727</v>
      </c>
      <c r="CM40" s="19" t="s">
        <v>728</v>
      </c>
      <c r="CN40" s="19"/>
      <c r="CO40" s="19"/>
      <c r="CP40" s="19" t="s">
        <v>686</v>
      </c>
      <c r="CQ40" s="19" t="s">
        <v>687</v>
      </c>
      <c r="CR40" s="19" t="s">
        <v>702</v>
      </c>
      <c r="CS40" s="19" t="s">
        <v>703</v>
      </c>
      <c r="CT40" s="19"/>
      <c r="CU40" s="19"/>
      <c r="CV40" s="19"/>
      <c r="CW40" s="19"/>
      <c r="CX40" s="19"/>
      <c r="CY40" s="19"/>
      <c r="CZ40" s="19"/>
      <c r="DA40" s="19"/>
      <c r="DB40" s="19"/>
      <c r="DC40" s="19"/>
    </row>
    <row r="41" spans="1:107" s="7" customFormat="1" x14ac:dyDescent="0.25">
      <c r="A41" s="19" t="s">
        <v>228</v>
      </c>
      <c r="B41" s="19" t="s">
        <v>80</v>
      </c>
      <c r="C41" s="19" t="str">
        <f t="shared" si="14"/>
        <v>96559421India</v>
      </c>
      <c r="D41" s="19">
        <v>96559421</v>
      </c>
      <c r="E41" s="19" t="s">
        <v>486</v>
      </c>
      <c r="F41" s="19" t="s">
        <v>261</v>
      </c>
      <c r="G41" s="20" t="s">
        <v>486</v>
      </c>
      <c r="H41" s="19"/>
      <c r="I41" s="19" t="s">
        <v>230</v>
      </c>
      <c r="J41" s="19" t="s">
        <v>286</v>
      </c>
      <c r="K41" s="19" t="s">
        <v>427</v>
      </c>
      <c r="L41" s="19" t="s">
        <v>279</v>
      </c>
      <c r="M41" s="19" t="s">
        <v>268</v>
      </c>
      <c r="N41" s="19" t="s">
        <v>269</v>
      </c>
      <c r="O41" s="19" t="s">
        <v>275</v>
      </c>
      <c r="P41" s="51" t="s">
        <v>237</v>
      </c>
      <c r="Q41" s="19" t="s">
        <v>428</v>
      </c>
      <c r="R41" s="19">
        <v>900</v>
      </c>
      <c r="S41" s="19" t="s">
        <v>272</v>
      </c>
      <c r="T41" s="19" t="s">
        <v>263</v>
      </c>
      <c r="U41" s="20" t="s">
        <v>263</v>
      </c>
      <c r="V41" s="19" t="s">
        <v>1806</v>
      </c>
      <c r="W41" s="19" t="s">
        <v>219</v>
      </c>
      <c r="X41" s="35"/>
      <c r="Y41" s="35"/>
      <c r="Z41" s="32"/>
      <c r="AA41" s="22"/>
      <c r="AB41" s="22"/>
      <c r="AC41" s="22"/>
      <c r="AD41" s="22">
        <v>1</v>
      </c>
      <c r="AE41" s="61">
        <f t="shared" si="12"/>
        <v>1</v>
      </c>
      <c r="AF41" s="22"/>
      <c r="AG41" s="40">
        <f t="shared" si="13"/>
        <v>1</v>
      </c>
      <c r="AH41" s="24"/>
      <c r="AI41" s="24"/>
      <c r="AJ41" s="23">
        <f t="shared" si="11"/>
        <v>1</v>
      </c>
      <c r="AK41" s="25"/>
      <c r="AL41" s="25">
        <v>1</v>
      </c>
      <c r="AM41" s="25"/>
      <c r="AN41" s="25"/>
      <c r="AO41" s="25">
        <f t="shared" si="16"/>
        <v>1</v>
      </c>
      <c r="AP41" s="13"/>
      <c r="AQ41" s="21"/>
      <c r="AR41" s="21"/>
      <c r="AS41" s="21"/>
      <c r="AT41" s="21"/>
      <c r="AU41" s="21"/>
      <c r="AV41" s="21"/>
      <c r="AW41" s="21"/>
      <c r="AX41" s="21"/>
      <c r="AY41" s="77"/>
      <c r="AZ41" s="21"/>
      <c r="BA41" s="21"/>
      <c r="BB41" s="21"/>
      <c r="BC41" s="21"/>
      <c r="BD41" s="21">
        <v>1</v>
      </c>
      <c r="BE41" s="21"/>
      <c r="BF41" s="77"/>
      <c r="BG41" s="21"/>
      <c r="BH41" s="21"/>
      <c r="BI41" s="21"/>
      <c r="BJ41" s="21"/>
      <c r="BK41" s="21"/>
      <c r="BL41" s="21"/>
      <c r="BM41" s="77"/>
      <c r="BN41" s="21"/>
      <c r="BO41" s="21"/>
      <c r="BP41" s="21"/>
      <c r="BQ41" s="21"/>
      <c r="BR41" s="21"/>
      <c r="BS41" s="21"/>
      <c r="BT41" s="96">
        <f t="shared" si="9"/>
        <v>1</v>
      </c>
      <c r="BU41" s="94">
        <f t="shared" si="10"/>
        <v>0</v>
      </c>
      <c r="BV41" s="26"/>
      <c r="BW41" s="27"/>
      <c r="BX41" s="19" t="s">
        <v>486</v>
      </c>
      <c r="BY41" s="19" t="b">
        <f t="shared" si="15"/>
        <v>1</v>
      </c>
      <c r="BZ41" s="53" t="s">
        <v>486</v>
      </c>
      <c r="CA41" s="19" t="s">
        <v>751</v>
      </c>
      <c r="CB41" s="19" t="s">
        <v>696</v>
      </c>
      <c r="CC41" s="19" t="s">
        <v>697</v>
      </c>
      <c r="CD41" s="19" t="s">
        <v>752</v>
      </c>
      <c r="CE41" s="19" t="s">
        <v>753</v>
      </c>
      <c r="CF41" s="19" t="s">
        <v>619</v>
      </c>
      <c r="CG41" s="19" t="s">
        <v>620</v>
      </c>
      <c r="CH41" s="19" t="s">
        <v>754</v>
      </c>
      <c r="CI41" s="19" t="s">
        <v>694</v>
      </c>
      <c r="CJ41" s="19" t="s">
        <v>755</v>
      </c>
      <c r="CK41" s="19" t="s">
        <v>756</v>
      </c>
      <c r="CL41" s="19" t="s">
        <v>757</v>
      </c>
      <c r="CM41" s="19" t="s">
        <v>758</v>
      </c>
      <c r="CN41" s="19"/>
      <c r="CO41" s="19"/>
      <c r="CP41" s="19" t="s">
        <v>686</v>
      </c>
      <c r="CQ41" s="19" t="s">
        <v>687</v>
      </c>
      <c r="CR41" s="19" t="s">
        <v>759</v>
      </c>
      <c r="CS41" s="19" t="s">
        <v>760</v>
      </c>
      <c r="CT41" s="19"/>
      <c r="CU41" s="19"/>
      <c r="CV41" s="19"/>
      <c r="CW41" s="19"/>
      <c r="CX41" s="19"/>
      <c r="CY41" s="19"/>
      <c r="CZ41" s="19"/>
      <c r="DA41" s="19"/>
      <c r="DB41" s="19"/>
      <c r="DC41" s="19"/>
    </row>
    <row r="42" spans="1:107" s="7" customFormat="1" x14ac:dyDescent="0.25">
      <c r="A42" s="19" t="s">
        <v>228</v>
      </c>
      <c r="B42" s="19" t="s">
        <v>80</v>
      </c>
      <c r="C42" s="19" t="str">
        <f t="shared" si="14"/>
        <v>96559244India</v>
      </c>
      <c r="D42" s="19">
        <v>96559244</v>
      </c>
      <c r="E42" s="19" t="s">
        <v>1849</v>
      </c>
      <c r="F42" s="19" t="s">
        <v>261</v>
      </c>
      <c r="G42" s="20" t="s">
        <v>1849</v>
      </c>
      <c r="H42" s="19"/>
      <c r="I42" s="19" t="s">
        <v>230</v>
      </c>
      <c r="J42" s="19" t="s">
        <v>231</v>
      </c>
      <c r="K42" s="19" t="s">
        <v>427</v>
      </c>
      <c r="L42" s="19" t="s">
        <v>279</v>
      </c>
      <c r="M42" s="19" t="s">
        <v>268</v>
      </c>
      <c r="N42" s="19" t="s">
        <v>269</v>
      </c>
      <c r="O42" s="19" t="s">
        <v>275</v>
      </c>
      <c r="P42" s="51" t="s">
        <v>237</v>
      </c>
      <c r="Q42" s="19" t="s">
        <v>428</v>
      </c>
      <c r="R42" s="19">
        <v>900</v>
      </c>
      <c r="S42" s="19" t="s">
        <v>272</v>
      </c>
      <c r="T42" s="19" t="s">
        <v>263</v>
      </c>
      <c r="U42" s="20" t="s">
        <v>263</v>
      </c>
      <c r="V42" s="19" t="s">
        <v>1808</v>
      </c>
      <c r="W42" s="19" t="s">
        <v>222</v>
      </c>
      <c r="X42" s="35"/>
      <c r="Y42" s="35"/>
      <c r="Z42" s="32"/>
      <c r="AA42" s="22"/>
      <c r="AB42" s="22"/>
      <c r="AC42" s="22">
        <v>1</v>
      </c>
      <c r="AD42" s="22"/>
      <c r="AE42" s="61">
        <f t="shared" si="12"/>
        <v>1</v>
      </c>
      <c r="AF42" s="22"/>
      <c r="AG42" s="40">
        <f t="shared" si="13"/>
        <v>1</v>
      </c>
      <c r="AH42" s="24"/>
      <c r="AI42" s="24"/>
      <c r="AJ42" s="23">
        <f t="shared" si="11"/>
        <v>1</v>
      </c>
      <c r="AK42" s="25"/>
      <c r="AL42" s="25"/>
      <c r="AM42" s="25">
        <v>1</v>
      </c>
      <c r="AN42" s="25"/>
      <c r="AO42" s="25">
        <f t="shared" si="16"/>
        <v>1</v>
      </c>
      <c r="AP42" s="13"/>
      <c r="AQ42" s="21"/>
      <c r="AR42" s="21"/>
      <c r="AS42" s="21"/>
      <c r="AT42" s="21"/>
      <c r="AU42" s="21"/>
      <c r="AV42" s="21"/>
      <c r="AW42" s="21"/>
      <c r="AX42" s="21"/>
      <c r="AY42" s="77"/>
      <c r="AZ42" s="21"/>
      <c r="BA42" s="21"/>
      <c r="BB42" s="21"/>
      <c r="BC42" s="21"/>
      <c r="BD42" s="21"/>
      <c r="BE42" s="21"/>
      <c r="BF42" s="77"/>
      <c r="BG42" s="21"/>
      <c r="BH42" s="21">
        <v>1</v>
      </c>
      <c r="BI42" s="21"/>
      <c r="BJ42" s="21"/>
      <c r="BK42" s="21"/>
      <c r="BL42" s="21"/>
      <c r="BM42" s="77"/>
      <c r="BN42" s="21"/>
      <c r="BO42" s="21"/>
      <c r="BP42" s="21"/>
      <c r="BQ42" s="21"/>
      <c r="BR42" s="21"/>
      <c r="BS42" s="21"/>
      <c r="BT42" s="96">
        <f t="shared" si="9"/>
        <v>1</v>
      </c>
      <c r="BU42" s="94">
        <f t="shared" si="10"/>
        <v>0</v>
      </c>
      <c r="BV42" s="26"/>
      <c r="BW42" s="27"/>
      <c r="BX42" s="19" t="s">
        <v>1849</v>
      </c>
      <c r="BY42" s="19" t="b">
        <f t="shared" si="15"/>
        <v>1</v>
      </c>
      <c r="BZ42" s="53" t="s">
        <v>1849</v>
      </c>
      <c r="CA42" s="19" t="s">
        <v>724</v>
      </c>
      <c r="CB42" s="19" t="s">
        <v>696</v>
      </c>
      <c r="CC42" s="19" t="s">
        <v>697</v>
      </c>
      <c r="CD42" s="19" t="s">
        <v>698</v>
      </c>
      <c r="CE42" s="19" t="s">
        <v>699</v>
      </c>
      <c r="CF42" s="19" t="s">
        <v>691</v>
      </c>
      <c r="CG42" s="19" t="s">
        <v>692</v>
      </c>
      <c r="CH42" s="19" t="s">
        <v>700</v>
      </c>
      <c r="CI42" s="19" t="s">
        <v>701</v>
      </c>
      <c r="CJ42" s="19" t="s">
        <v>736</v>
      </c>
      <c r="CK42" s="19" t="s">
        <v>726</v>
      </c>
      <c r="CL42" s="19" t="s">
        <v>727</v>
      </c>
      <c r="CM42" s="19" t="s">
        <v>728</v>
      </c>
      <c r="CN42" s="19"/>
      <c r="CO42" s="19"/>
      <c r="CP42" s="19" t="s">
        <v>686</v>
      </c>
      <c r="CQ42" s="19" t="s">
        <v>687</v>
      </c>
      <c r="CR42" s="19" t="s">
        <v>702</v>
      </c>
      <c r="CS42" s="19" t="s">
        <v>703</v>
      </c>
      <c r="CT42" s="19"/>
      <c r="CU42" s="19"/>
      <c r="CV42" s="19"/>
      <c r="CW42" s="19"/>
      <c r="CX42" s="19"/>
      <c r="CY42" s="19"/>
      <c r="CZ42" s="19"/>
      <c r="DA42" s="19"/>
      <c r="DB42" s="19"/>
      <c r="DC42" s="19"/>
    </row>
    <row r="43" spans="1:107" s="7" customFormat="1" x14ac:dyDescent="0.25">
      <c r="A43" s="19" t="s">
        <v>228</v>
      </c>
      <c r="B43" s="19" t="s">
        <v>80</v>
      </c>
      <c r="C43" s="19" t="str">
        <f t="shared" si="14"/>
        <v>96559423India</v>
      </c>
      <c r="D43" s="19">
        <v>96559423</v>
      </c>
      <c r="E43" s="19" t="s">
        <v>485</v>
      </c>
      <c r="F43" s="19" t="s">
        <v>261</v>
      </c>
      <c r="G43" s="20" t="s">
        <v>485</v>
      </c>
      <c r="H43" s="19"/>
      <c r="I43" s="19" t="s">
        <v>230</v>
      </c>
      <c r="J43" s="19" t="s">
        <v>286</v>
      </c>
      <c r="K43" s="19" t="s">
        <v>427</v>
      </c>
      <c r="L43" s="19" t="s">
        <v>279</v>
      </c>
      <c r="M43" s="19" t="s">
        <v>268</v>
      </c>
      <c r="N43" s="19" t="s">
        <v>269</v>
      </c>
      <c r="O43" s="19" t="s">
        <v>275</v>
      </c>
      <c r="P43" s="51" t="s">
        <v>237</v>
      </c>
      <c r="Q43" s="19" t="s">
        <v>428</v>
      </c>
      <c r="R43" s="19">
        <v>900</v>
      </c>
      <c r="S43" s="19" t="s">
        <v>272</v>
      </c>
      <c r="T43" s="19" t="s">
        <v>263</v>
      </c>
      <c r="U43" s="20" t="s">
        <v>263</v>
      </c>
      <c r="V43" s="19" t="s">
        <v>217</v>
      </c>
      <c r="W43" s="19" t="s">
        <v>219</v>
      </c>
      <c r="X43" s="35">
        <v>1</v>
      </c>
      <c r="Y43" s="35">
        <v>1</v>
      </c>
      <c r="Z43" s="32"/>
      <c r="AA43" s="22"/>
      <c r="AB43" s="22">
        <v>1</v>
      </c>
      <c r="AC43" s="22"/>
      <c r="AD43" s="22"/>
      <c r="AE43" s="61">
        <f t="shared" si="12"/>
        <v>1</v>
      </c>
      <c r="AF43" s="22"/>
      <c r="AG43" s="40">
        <f t="shared" si="13"/>
        <v>1</v>
      </c>
      <c r="AH43" s="24">
        <v>4</v>
      </c>
      <c r="AI43" s="24"/>
      <c r="AJ43" s="23">
        <v>0</v>
      </c>
      <c r="AK43" s="25"/>
      <c r="AL43" s="25"/>
      <c r="AM43" s="25"/>
      <c r="AN43" s="25"/>
      <c r="AO43" s="25">
        <f t="shared" si="16"/>
        <v>0</v>
      </c>
      <c r="AP43" s="13">
        <v>4</v>
      </c>
      <c r="AQ43" s="21">
        <v>2</v>
      </c>
      <c r="AR43" s="21">
        <v>2</v>
      </c>
      <c r="AS43" s="21"/>
      <c r="AT43" s="21"/>
      <c r="AU43" s="21"/>
      <c r="AV43" s="21"/>
      <c r="AW43" s="21"/>
      <c r="AX43" s="21"/>
      <c r="AY43" s="77"/>
      <c r="AZ43" s="21"/>
      <c r="BA43" s="21"/>
      <c r="BB43" s="21"/>
      <c r="BC43" s="21"/>
      <c r="BD43" s="21"/>
      <c r="BE43" s="21"/>
      <c r="BF43" s="77"/>
      <c r="BG43" s="21"/>
      <c r="BH43" s="21"/>
      <c r="BI43" s="21"/>
      <c r="BJ43" s="21"/>
      <c r="BK43" s="21"/>
      <c r="BL43" s="21"/>
      <c r="BM43" s="77"/>
      <c r="BN43" s="21"/>
      <c r="BO43" s="21"/>
      <c r="BP43" s="21"/>
      <c r="BQ43" s="21"/>
      <c r="BR43" s="21"/>
      <c r="BS43" s="21"/>
      <c r="BT43" s="96">
        <f t="shared" si="9"/>
        <v>4</v>
      </c>
      <c r="BU43" s="94">
        <f t="shared" si="10"/>
        <v>-4</v>
      </c>
      <c r="BV43" s="26"/>
      <c r="BW43" s="27"/>
      <c r="BX43" s="19" t="s">
        <v>485</v>
      </c>
      <c r="BY43" s="19" t="b">
        <f t="shared" si="15"/>
        <v>1</v>
      </c>
      <c r="BZ43" s="53" t="s">
        <v>485</v>
      </c>
      <c r="CA43" s="19" t="s">
        <v>747</v>
      </c>
      <c r="CB43" s="19" t="s">
        <v>696</v>
      </c>
      <c r="CC43" s="19" t="s">
        <v>697</v>
      </c>
      <c r="CD43" s="19" t="s">
        <v>718</v>
      </c>
      <c r="CE43" s="19" t="s">
        <v>719</v>
      </c>
      <c r="CF43" s="19" t="s">
        <v>619</v>
      </c>
      <c r="CG43" s="19" t="s">
        <v>620</v>
      </c>
      <c r="CH43" s="19" t="s">
        <v>720</v>
      </c>
      <c r="CI43" s="19" t="s">
        <v>721</v>
      </c>
      <c r="CJ43" s="19" t="s">
        <v>748</v>
      </c>
      <c r="CK43" s="19" t="s">
        <v>749</v>
      </c>
      <c r="CL43" s="19" t="s">
        <v>750</v>
      </c>
      <c r="CM43" s="19" t="s">
        <v>746</v>
      </c>
      <c r="CN43" s="19"/>
      <c r="CO43" s="19"/>
      <c r="CP43" s="19" t="s">
        <v>686</v>
      </c>
      <c r="CQ43" s="19" t="s">
        <v>687</v>
      </c>
      <c r="CR43" s="19" t="s">
        <v>722</v>
      </c>
      <c r="CS43" s="19" t="s">
        <v>723</v>
      </c>
      <c r="CT43" s="19"/>
      <c r="CU43" s="19"/>
      <c r="CV43" s="19"/>
      <c r="CW43" s="19"/>
      <c r="CX43" s="19"/>
      <c r="CY43" s="19"/>
      <c r="CZ43" s="19"/>
      <c r="DA43" s="19"/>
      <c r="DB43" s="19"/>
      <c r="DC43" s="19"/>
    </row>
    <row r="44" spans="1:107" s="7" customFormat="1" x14ac:dyDescent="0.25">
      <c r="A44" s="19" t="s">
        <v>74</v>
      </c>
      <c r="B44" s="19" t="s">
        <v>1735</v>
      </c>
      <c r="C44" s="19" t="str">
        <f t="shared" si="14"/>
        <v>96051543CRPF (31)</v>
      </c>
      <c r="D44" s="19">
        <v>96051543</v>
      </c>
      <c r="E44" s="19" t="s">
        <v>477</v>
      </c>
      <c r="F44" s="19" t="s">
        <v>261</v>
      </c>
      <c r="G44" s="20" t="s">
        <v>477</v>
      </c>
      <c r="H44" s="19"/>
      <c r="I44" s="19" t="s">
        <v>230</v>
      </c>
      <c r="J44" s="19" t="s">
        <v>243</v>
      </c>
      <c r="K44" s="19" t="s">
        <v>278</v>
      </c>
      <c r="L44" s="19" t="s">
        <v>279</v>
      </c>
      <c r="M44" s="19" t="s">
        <v>268</v>
      </c>
      <c r="N44" s="19" t="s">
        <v>247</v>
      </c>
      <c r="O44" s="19" t="s">
        <v>275</v>
      </c>
      <c r="P44" s="51" t="s">
        <v>237</v>
      </c>
      <c r="Q44" s="19" t="s">
        <v>280</v>
      </c>
      <c r="R44" s="19">
        <v>1000</v>
      </c>
      <c r="S44" s="19" t="s">
        <v>272</v>
      </c>
      <c r="T44" s="19" t="s">
        <v>263</v>
      </c>
      <c r="U44" s="20" t="s">
        <v>263</v>
      </c>
      <c r="V44" s="19" t="s">
        <v>1754</v>
      </c>
      <c r="W44" s="19" t="s">
        <v>219</v>
      </c>
      <c r="X44" s="35"/>
      <c r="Y44" s="35"/>
      <c r="Z44" s="32"/>
      <c r="AA44" s="22">
        <v>31</v>
      </c>
      <c r="AB44" s="22"/>
      <c r="AC44" s="22"/>
      <c r="AD44" s="22"/>
      <c r="AE44" s="61">
        <f t="shared" si="12"/>
        <v>31</v>
      </c>
      <c r="AF44" s="22"/>
      <c r="AG44" s="40">
        <f t="shared" si="13"/>
        <v>31</v>
      </c>
      <c r="AH44" s="24"/>
      <c r="AI44" s="24"/>
      <c r="AJ44" s="23">
        <f t="shared" ref="AJ44:AJ49" si="17">AG44-AH44+AI44</f>
        <v>31</v>
      </c>
      <c r="AK44" s="25"/>
      <c r="AL44" s="25">
        <v>16</v>
      </c>
      <c r="AM44" s="25">
        <v>15</v>
      </c>
      <c r="AN44" s="25"/>
      <c r="AO44" s="25">
        <f t="shared" si="16"/>
        <v>31</v>
      </c>
      <c r="AP44" s="13"/>
      <c r="AQ44" s="21"/>
      <c r="AR44" s="21"/>
      <c r="AS44" s="21"/>
      <c r="AT44" s="21"/>
      <c r="AU44" s="21"/>
      <c r="AV44" s="21"/>
      <c r="AW44" s="21"/>
      <c r="AX44" s="21"/>
      <c r="AY44" s="77"/>
      <c r="AZ44" s="21">
        <v>4</v>
      </c>
      <c r="BA44" s="21">
        <v>4</v>
      </c>
      <c r="BB44" s="21">
        <v>4</v>
      </c>
      <c r="BC44" s="21">
        <v>4</v>
      </c>
      <c r="BD44" s="21"/>
      <c r="BE44" s="21"/>
      <c r="BF44" s="77"/>
      <c r="BG44" s="21">
        <v>5</v>
      </c>
      <c r="BH44" s="21">
        <v>5</v>
      </c>
      <c r="BI44" s="21">
        <v>5</v>
      </c>
      <c r="BJ44" s="21"/>
      <c r="BK44" s="21"/>
      <c r="BL44" s="21"/>
      <c r="BM44" s="77"/>
      <c r="BN44" s="21"/>
      <c r="BO44" s="21"/>
      <c r="BP44" s="21"/>
      <c r="BQ44" s="21"/>
      <c r="BR44" s="21"/>
      <c r="BS44" s="21"/>
      <c r="BT44" s="96">
        <f t="shared" si="9"/>
        <v>31</v>
      </c>
      <c r="BU44" s="94">
        <f t="shared" si="10"/>
        <v>0</v>
      </c>
      <c r="BV44" s="26"/>
      <c r="BW44" s="27"/>
      <c r="BX44" s="19" t="s">
        <v>477</v>
      </c>
      <c r="BY44" s="19" t="b">
        <f t="shared" si="15"/>
        <v>1</v>
      </c>
      <c r="BZ44" s="53" t="s">
        <v>477</v>
      </c>
      <c r="CA44" s="19" t="s">
        <v>793</v>
      </c>
      <c r="CB44" s="19" t="s">
        <v>762</v>
      </c>
      <c r="CC44" s="19" t="s">
        <v>763</v>
      </c>
      <c r="CD44" s="19" t="s">
        <v>706</v>
      </c>
      <c r="CE44" s="19" t="s">
        <v>707</v>
      </c>
      <c r="CF44" s="19" t="s">
        <v>708</v>
      </c>
      <c r="CG44" s="19" t="s">
        <v>709</v>
      </c>
      <c r="CH44" s="19" t="s">
        <v>695</v>
      </c>
      <c r="CI44" s="19" t="s">
        <v>694</v>
      </c>
      <c r="CJ44" s="19" t="s">
        <v>794</v>
      </c>
      <c r="CK44" s="19" t="s">
        <v>795</v>
      </c>
      <c r="CL44" s="19" t="s">
        <v>796</v>
      </c>
      <c r="CM44" s="19" t="s">
        <v>767</v>
      </c>
      <c r="CN44" s="19"/>
      <c r="CO44" s="19"/>
      <c r="CP44" s="19" t="s">
        <v>715</v>
      </c>
      <c r="CQ44" s="19" t="s">
        <v>687</v>
      </c>
      <c r="CR44" s="19" t="s">
        <v>716</v>
      </c>
      <c r="CS44" s="19" t="s">
        <v>717</v>
      </c>
      <c r="CT44" s="19"/>
      <c r="CU44" s="19"/>
      <c r="CV44" s="19"/>
      <c r="CW44" s="19"/>
      <c r="CX44" s="19"/>
      <c r="CY44" s="19"/>
      <c r="CZ44" s="19"/>
      <c r="DA44" s="19"/>
      <c r="DB44" s="19"/>
      <c r="DC44" s="19"/>
    </row>
    <row r="45" spans="1:107" s="7" customFormat="1" x14ac:dyDescent="0.25">
      <c r="A45" s="19" t="s">
        <v>228</v>
      </c>
      <c r="B45" s="19" t="s">
        <v>80</v>
      </c>
      <c r="C45" s="19" t="str">
        <f t="shared" si="14"/>
        <v>96059616India</v>
      </c>
      <c r="D45" s="19">
        <v>96059616</v>
      </c>
      <c r="E45" s="19" t="s">
        <v>277</v>
      </c>
      <c r="F45" s="19" t="s">
        <v>261</v>
      </c>
      <c r="G45" s="20" t="s">
        <v>277</v>
      </c>
      <c r="H45" s="19"/>
      <c r="I45" s="19" t="s">
        <v>230</v>
      </c>
      <c r="J45" s="19" t="s">
        <v>231</v>
      </c>
      <c r="K45" s="19" t="s">
        <v>278</v>
      </c>
      <c r="L45" s="19" t="s">
        <v>279</v>
      </c>
      <c r="M45" s="19" t="s">
        <v>268</v>
      </c>
      <c r="N45" s="19" t="s">
        <v>247</v>
      </c>
      <c r="O45" s="19" t="s">
        <v>275</v>
      </c>
      <c r="P45" s="51" t="s">
        <v>237</v>
      </c>
      <c r="Q45" s="19" t="s">
        <v>280</v>
      </c>
      <c r="R45" s="19">
        <v>1000</v>
      </c>
      <c r="S45" s="19" t="s">
        <v>272</v>
      </c>
      <c r="T45" s="19" t="s">
        <v>263</v>
      </c>
      <c r="U45" s="20" t="s">
        <v>263</v>
      </c>
      <c r="V45" s="19" t="s">
        <v>162</v>
      </c>
      <c r="W45" s="19" t="s">
        <v>221</v>
      </c>
      <c r="X45" s="35">
        <v>2</v>
      </c>
      <c r="Y45" s="35">
        <v>1</v>
      </c>
      <c r="Z45" s="32"/>
      <c r="AA45" s="22">
        <v>2</v>
      </c>
      <c r="AB45" s="22">
        <v>3</v>
      </c>
      <c r="AC45" s="22"/>
      <c r="AD45" s="22"/>
      <c r="AE45" s="61">
        <f t="shared" si="12"/>
        <v>5</v>
      </c>
      <c r="AF45" s="22"/>
      <c r="AG45" s="40">
        <f t="shared" si="13"/>
        <v>5</v>
      </c>
      <c r="AH45" s="24">
        <v>5</v>
      </c>
      <c r="AI45" s="24">
        <v>2</v>
      </c>
      <c r="AJ45" s="23">
        <f t="shared" si="17"/>
        <v>2</v>
      </c>
      <c r="AK45" s="25"/>
      <c r="AL45" s="25">
        <v>2</v>
      </c>
      <c r="AM45" s="25"/>
      <c r="AN45" s="25"/>
      <c r="AO45" s="25">
        <f t="shared" si="16"/>
        <v>2</v>
      </c>
      <c r="AP45" s="13">
        <v>5</v>
      </c>
      <c r="AQ45" s="21">
        <v>2</v>
      </c>
      <c r="AR45" s="21">
        <v>3</v>
      </c>
      <c r="AS45" s="21"/>
      <c r="AT45" s="21"/>
      <c r="AU45" s="21"/>
      <c r="AV45" s="21"/>
      <c r="AW45" s="21"/>
      <c r="AX45" s="21"/>
      <c r="AY45" s="77"/>
      <c r="AZ45" s="21"/>
      <c r="BA45" s="21"/>
      <c r="BB45" s="21"/>
      <c r="BC45" s="21"/>
      <c r="BD45" s="21"/>
      <c r="BE45" s="21"/>
      <c r="BF45" s="77"/>
      <c r="BG45" s="21"/>
      <c r="BH45" s="21"/>
      <c r="BI45" s="21"/>
      <c r="BJ45" s="21"/>
      <c r="BK45" s="21"/>
      <c r="BL45" s="21"/>
      <c r="BM45" s="77"/>
      <c r="BN45" s="21"/>
      <c r="BO45" s="21"/>
      <c r="BP45" s="21"/>
      <c r="BQ45" s="21"/>
      <c r="BR45" s="21"/>
      <c r="BS45" s="21"/>
      <c r="BT45" s="96">
        <f t="shared" si="9"/>
        <v>5</v>
      </c>
      <c r="BU45" s="94">
        <f t="shared" si="10"/>
        <v>-3</v>
      </c>
      <c r="BV45" s="26"/>
      <c r="BW45" s="27"/>
      <c r="BX45" s="19" t="s">
        <v>277</v>
      </c>
      <c r="BY45" s="19" t="b">
        <f t="shared" si="15"/>
        <v>1</v>
      </c>
      <c r="BZ45" s="53" t="s">
        <v>277</v>
      </c>
      <c r="CA45" s="19" t="s">
        <v>768</v>
      </c>
      <c r="CB45" s="19" t="s">
        <v>769</v>
      </c>
      <c r="CC45" s="19" t="s">
        <v>770</v>
      </c>
      <c r="CD45" s="19" t="s">
        <v>771</v>
      </c>
      <c r="CE45" s="19" t="s">
        <v>772</v>
      </c>
      <c r="CF45" s="19" t="s">
        <v>691</v>
      </c>
      <c r="CG45" s="19" t="s">
        <v>692</v>
      </c>
      <c r="CH45" s="19" t="s">
        <v>695</v>
      </c>
      <c r="CI45" s="19" t="s">
        <v>694</v>
      </c>
      <c r="CJ45" s="19" t="s">
        <v>773</v>
      </c>
      <c r="CK45" s="19" t="s">
        <v>774</v>
      </c>
      <c r="CL45" s="19" t="s">
        <v>775</v>
      </c>
      <c r="CM45" s="19" t="s">
        <v>776</v>
      </c>
      <c r="CN45" s="19"/>
      <c r="CO45" s="19"/>
      <c r="CP45" s="19" t="s">
        <v>686</v>
      </c>
      <c r="CQ45" s="19" t="s">
        <v>687</v>
      </c>
      <c r="CR45" s="19" t="s">
        <v>777</v>
      </c>
      <c r="CS45" s="19" t="s">
        <v>778</v>
      </c>
      <c r="CT45" s="19"/>
      <c r="CU45" s="19"/>
      <c r="CV45" s="19"/>
      <c r="CW45" s="19"/>
      <c r="CX45" s="19"/>
      <c r="CY45" s="19"/>
      <c r="CZ45" s="19"/>
      <c r="DA45" s="19"/>
      <c r="DB45" s="19"/>
      <c r="DC45" s="19"/>
    </row>
    <row r="46" spans="1:107" s="7" customFormat="1" x14ac:dyDescent="0.25">
      <c r="A46" s="19" t="s">
        <v>228</v>
      </c>
      <c r="B46" s="19" t="s">
        <v>80</v>
      </c>
      <c r="C46" s="19" t="str">
        <f t="shared" si="14"/>
        <v>96059628India</v>
      </c>
      <c r="D46" s="19">
        <v>96059628</v>
      </c>
      <c r="E46" s="19" t="s">
        <v>429</v>
      </c>
      <c r="F46" s="19" t="s">
        <v>261</v>
      </c>
      <c r="G46" s="20" t="s">
        <v>429</v>
      </c>
      <c r="H46" s="19"/>
      <c r="I46" s="19" t="s">
        <v>230</v>
      </c>
      <c r="J46" s="19" t="s">
        <v>243</v>
      </c>
      <c r="K46" s="19" t="s">
        <v>278</v>
      </c>
      <c r="L46" s="19" t="s">
        <v>279</v>
      </c>
      <c r="M46" s="19" t="s">
        <v>268</v>
      </c>
      <c r="N46" s="19" t="s">
        <v>247</v>
      </c>
      <c r="O46" s="19" t="s">
        <v>275</v>
      </c>
      <c r="P46" s="51" t="s">
        <v>237</v>
      </c>
      <c r="Q46" s="19" t="s">
        <v>280</v>
      </c>
      <c r="R46" s="19">
        <v>1000</v>
      </c>
      <c r="S46" s="19" t="s">
        <v>272</v>
      </c>
      <c r="T46" s="19" t="s">
        <v>263</v>
      </c>
      <c r="U46" s="20" t="s">
        <v>263</v>
      </c>
      <c r="V46" s="19" t="s">
        <v>163</v>
      </c>
      <c r="W46" s="19" t="s">
        <v>221</v>
      </c>
      <c r="X46" s="35">
        <v>26</v>
      </c>
      <c r="Y46" s="35">
        <v>12</v>
      </c>
      <c r="Z46" s="32"/>
      <c r="AA46" s="22"/>
      <c r="AB46" s="22">
        <v>10</v>
      </c>
      <c r="AC46" s="22">
        <v>10</v>
      </c>
      <c r="AD46" s="22">
        <v>20</v>
      </c>
      <c r="AE46" s="61">
        <f t="shared" si="12"/>
        <v>40</v>
      </c>
      <c r="AF46" s="22">
        <v>15</v>
      </c>
      <c r="AG46" s="40">
        <f t="shared" si="13"/>
        <v>55</v>
      </c>
      <c r="AH46" s="24"/>
      <c r="AI46" s="24">
        <v>10</v>
      </c>
      <c r="AJ46" s="23">
        <f t="shared" si="17"/>
        <v>65</v>
      </c>
      <c r="AK46" s="25">
        <v>10</v>
      </c>
      <c r="AL46" s="25">
        <v>20</v>
      </c>
      <c r="AM46" s="25">
        <v>20</v>
      </c>
      <c r="AN46" s="25">
        <v>15</v>
      </c>
      <c r="AO46" s="25">
        <f t="shared" si="16"/>
        <v>65</v>
      </c>
      <c r="AP46" s="13"/>
      <c r="AQ46" s="21"/>
      <c r="AR46" s="21"/>
      <c r="AS46" s="21"/>
      <c r="AT46" s="21"/>
      <c r="AU46" s="21">
        <v>2</v>
      </c>
      <c r="AV46" s="21">
        <v>2</v>
      </c>
      <c r="AW46" s="21">
        <v>3</v>
      </c>
      <c r="AX46" s="21">
        <v>3</v>
      </c>
      <c r="AY46" s="77"/>
      <c r="AZ46" s="21">
        <v>4</v>
      </c>
      <c r="BA46" s="21">
        <v>4</v>
      </c>
      <c r="BB46" s="21">
        <v>4</v>
      </c>
      <c r="BC46" s="21">
        <v>4</v>
      </c>
      <c r="BD46" s="21">
        <v>4</v>
      </c>
      <c r="BE46" s="21"/>
      <c r="BF46" s="77"/>
      <c r="BG46" s="21">
        <v>5</v>
      </c>
      <c r="BH46" s="21">
        <v>5</v>
      </c>
      <c r="BI46" s="21"/>
      <c r="BJ46" s="21"/>
      <c r="BK46" s="21"/>
      <c r="BL46" s="21"/>
      <c r="BM46" s="77"/>
      <c r="BN46" s="21"/>
      <c r="BO46" s="21"/>
      <c r="BP46" s="21"/>
      <c r="BQ46" s="21"/>
      <c r="BR46" s="21"/>
      <c r="BS46" s="21"/>
      <c r="BT46" s="96">
        <f t="shared" si="9"/>
        <v>40</v>
      </c>
      <c r="BU46" s="94">
        <f t="shared" si="10"/>
        <v>25</v>
      </c>
      <c r="BV46" s="26"/>
      <c r="BW46" s="27"/>
      <c r="BX46" s="19" t="s">
        <v>429</v>
      </c>
      <c r="BY46" s="19" t="b">
        <f t="shared" si="15"/>
        <v>1</v>
      </c>
      <c r="BZ46" s="53" t="s">
        <v>429</v>
      </c>
      <c r="CA46" s="19" t="s">
        <v>785</v>
      </c>
      <c r="CB46" s="19" t="s">
        <v>762</v>
      </c>
      <c r="CC46" s="19" t="s">
        <v>763</v>
      </c>
      <c r="CD46" s="19" t="s">
        <v>706</v>
      </c>
      <c r="CE46" s="19" t="s">
        <v>707</v>
      </c>
      <c r="CF46" s="19" t="s">
        <v>708</v>
      </c>
      <c r="CG46" s="19" t="s">
        <v>709</v>
      </c>
      <c r="CH46" s="19" t="s">
        <v>710</v>
      </c>
      <c r="CI46" s="19" t="s">
        <v>667</v>
      </c>
      <c r="CJ46" s="19" t="s">
        <v>786</v>
      </c>
      <c r="CK46" s="19" t="s">
        <v>787</v>
      </c>
      <c r="CL46" s="19" t="s">
        <v>788</v>
      </c>
      <c r="CM46" s="19" t="s">
        <v>789</v>
      </c>
      <c r="CN46" s="19"/>
      <c r="CO46" s="19"/>
      <c r="CP46" s="19" t="s">
        <v>715</v>
      </c>
      <c r="CQ46" s="19" t="s">
        <v>687</v>
      </c>
      <c r="CR46" s="19" t="s">
        <v>716</v>
      </c>
      <c r="CS46" s="19" t="s">
        <v>717</v>
      </c>
      <c r="CT46" s="19"/>
      <c r="CU46" s="19"/>
      <c r="CV46" s="19"/>
      <c r="CW46" s="19"/>
      <c r="CX46" s="19"/>
      <c r="CY46" s="19"/>
      <c r="CZ46" s="19"/>
      <c r="DA46" s="19"/>
      <c r="DB46" s="19"/>
      <c r="DC46" s="19"/>
    </row>
    <row r="47" spans="1:107" s="7" customFormat="1" x14ac:dyDescent="0.25">
      <c r="A47" s="19" t="s">
        <v>228</v>
      </c>
      <c r="B47" s="19" t="s">
        <v>80</v>
      </c>
      <c r="C47" s="19" t="str">
        <f t="shared" si="14"/>
        <v>96059613India</v>
      </c>
      <c r="D47" s="19">
        <v>96059613</v>
      </c>
      <c r="E47" s="19" t="s">
        <v>430</v>
      </c>
      <c r="F47" s="19" t="s">
        <v>261</v>
      </c>
      <c r="G47" s="20" t="s">
        <v>430</v>
      </c>
      <c r="H47" s="19"/>
      <c r="I47" s="19" t="s">
        <v>230</v>
      </c>
      <c r="J47" s="19" t="s">
        <v>243</v>
      </c>
      <c r="K47" s="19" t="s">
        <v>278</v>
      </c>
      <c r="L47" s="19" t="s">
        <v>267</v>
      </c>
      <c r="M47" s="19" t="s">
        <v>268</v>
      </c>
      <c r="N47" s="19" t="s">
        <v>247</v>
      </c>
      <c r="O47" s="19" t="s">
        <v>275</v>
      </c>
      <c r="P47" s="51" t="s">
        <v>237</v>
      </c>
      <c r="Q47" s="19" t="s">
        <v>280</v>
      </c>
      <c r="R47" s="19">
        <v>1000</v>
      </c>
      <c r="S47" s="19" t="s">
        <v>272</v>
      </c>
      <c r="T47" s="19" t="s">
        <v>263</v>
      </c>
      <c r="U47" s="20" t="s">
        <v>263</v>
      </c>
      <c r="V47" s="19" t="s">
        <v>164</v>
      </c>
      <c r="W47" s="19" t="s">
        <v>221</v>
      </c>
      <c r="X47" s="35">
        <v>25</v>
      </c>
      <c r="Y47" s="35">
        <v>19</v>
      </c>
      <c r="Z47" s="32"/>
      <c r="AA47" s="22">
        <v>15</v>
      </c>
      <c r="AB47" s="22">
        <v>10</v>
      </c>
      <c r="AC47" s="22">
        <v>5</v>
      </c>
      <c r="AD47" s="22"/>
      <c r="AE47" s="61">
        <f t="shared" si="12"/>
        <v>30</v>
      </c>
      <c r="AF47" s="22">
        <v>20</v>
      </c>
      <c r="AG47" s="40">
        <f t="shared" si="13"/>
        <v>50</v>
      </c>
      <c r="AH47" s="24">
        <v>33</v>
      </c>
      <c r="AI47" s="24">
        <v>10</v>
      </c>
      <c r="AJ47" s="23">
        <f t="shared" si="17"/>
        <v>27</v>
      </c>
      <c r="AK47" s="25"/>
      <c r="AL47" s="25"/>
      <c r="AM47" s="25">
        <v>9</v>
      </c>
      <c r="AN47" s="25">
        <v>18</v>
      </c>
      <c r="AO47" s="25">
        <f t="shared" si="16"/>
        <v>27</v>
      </c>
      <c r="AP47" s="13">
        <v>33</v>
      </c>
      <c r="AQ47" s="21">
        <v>11</v>
      </c>
      <c r="AR47" s="21">
        <v>11</v>
      </c>
      <c r="AS47" s="21">
        <v>11</v>
      </c>
      <c r="AT47" s="21"/>
      <c r="AU47" s="21"/>
      <c r="AV47" s="21"/>
      <c r="AW47" s="21"/>
      <c r="AX47" s="21"/>
      <c r="AY47" s="77"/>
      <c r="AZ47" s="21"/>
      <c r="BA47" s="21"/>
      <c r="BB47" s="21"/>
      <c r="BC47" s="21"/>
      <c r="BD47" s="21"/>
      <c r="BE47" s="21"/>
      <c r="BF47" s="77"/>
      <c r="BG47" s="21"/>
      <c r="BH47" s="21"/>
      <c r="BI47" s="21"/>
      <c r="BJ47" s="21"/>
      <c r="BK47" s="21"/>
      <c r="BL47" s="21"/>
      <c r="BM47" s="77"/>
      <c r="BN47" s="21"/>
      <c r="BO47" s="21"/>
      <c r="BP47" s="21"/>
      <c r="BQ47" s="21"/>
      <c r="BR47" s="21"/>
      <c r="BS47" s="21"/>
      <c r="BT47" s="96">
        <f t="shared" si="9"/>
        <v>33</v>
      </c>
      <c r="BU47" s="94">
        <f t="shared" si="10"/>
        <v>-6</v>
      </c>
      <c r="BV47" s="26"/>
      <c r="BW47" s="27"/>
      <c r="BX47" s="19" t="s">
        <v>430</v>
      </c>
      <c r="BY47" s="19" t="b">
        <f t="shared" si="15"/>
        <v>1</v>
      </c>
      <c r="BZ47" s="53" t="s">
        <v>430</v>
      </c>
      <c r="CA47" s="19" t="s">
        <v>761</v>
      </c>
      <c r="CB47" s="19" t="s">
        <v>762</v>
      </c>
      <c r="CC47" s="19" t="s">
        <v>763</v>
      </c>
      <c r="CD47" s="19" t="s">
        <v>706</v>
      </c>
      <c r="CE47" s="19" t="s">
        <v>707</v>
      </c>
      <c r="CF47" s="19" t="s">
        <v>708</v>
      </c>
      <c r="CG47" s="19" t="s">
        <v>709</v>
      </c>
      <c r="CH47" s="19" t="s">
        <v>695</v>
      </c>
      <c r="CI47" s="19" t="s">
        <v>694</v>
      </c>
      <c r="CJ47" s="19" t="s">
        <v>764</v>
      </c>
      <c r="CK47" s="19" t="s">
        <v>765</v>
      </c>
      <c r="CL47" s="19" t="s">
        <v>766</v>
      </c>
      <c r="CM47" s="19" t="s">
        <v>767</v>
      </c>
      <c r="CN47" s="19"/>
      <c r="CO47" s="19"/>
      <c r="CP47" s="19" t="s">
        <v>715</v>
      </c>
      <c r="CQ47" s="19" t="s">
        <v>687</v>
      </c>
      <c r="CR47" s="19" t="s">
        <v>716</v>
      </c>
      <c r="CS47" s="19" t="s">
        <v>717</v>
      </c>
      <c r="CT47" s="19"/>
      <c r="CU47" s="19"/>
      <c r="CV47" s="19"/>
      <c r="CW47" s="19"/>
      <c r="CX47" s="19"/>
      <c r="CY47" s="19"/>
      <c r="CZ47" s="19"/>
      <c r="DA47" s="19"/>
      <c r="DB47" s="19"/>
      <c r="DC47" s="19"/>
    </row>
    <row r="48" spans="1:107" s="7" customFormat="1" x14ac:dyDescent="0.25">
      <c r="A48" s="19" t="s">
        <v>228</v>
      </c>
      <c r="B48" s="19" t="s">
        <v>80</v>
      </c>
      <c r="C48" s="19" t="str">
        <f t="shared" si="14"/>
        <v>96059620India</v>
      </c>
      <c r="D48" s="19">
        <v>96059620</v>
      </c>
      <c r="E48" s="19" t="s">
        <v>432</v>
      </c>
      <c r="F48" s="19" t="s">
        <v>261</v>
      </c>
      <c r="G48" s="20" t="s">
        <v>432</v>
      </c>
      <c r="H48" s="19"/>
      <c r="I48" s="19" t="s">
        <v>230</v>
      </c>
      <c r="J48" s="19" t="s">
        <v>231</v>
      </c>
      <c r="K48" s="19" t="s">
        <v>278</v>
      </c>
      <c r="L48" s="19" t="s">
        <v>279</v>
      </c>
      <c r="M48" s="19" t="s">
        <v>268</v>
      </c>
      <c r="N48" s="19" t="s">
        <v>247</v>
      </c>
      <c r="O48" s="19" t="s">
        <v>275</v>
      </c>
      <c r="P48" s="51" t="s">
        <v>237</v>
      </c>
      <c r="Q48" s="19" t="s">
        <v>280</v>
      </c>
      <c r="R48" s="19">
        <v>1000</v>
      </c>
      <c r="S48" s="19" t="s">
        <v>272</v>
      </c>
      <c r="T48" s="19" t="s">
        <v>263</v>
      </c>
      <c r="U48" s="20" t="s">
        <v>263</v>
      </c>
      <c r="V48" s="19" t="s">
        <v>166</v>
      </c>
      <c r="W48" s="19" t="s">
        <v>222</v>
      </c>
      <c r="X48" s="35">
        <v>10</v>
      </c>
      <c r="Y48" s="35">
        <v>4</v>
      </c>
      <c r="Z48" s="32"/>
      <c r="AA48" s="22">
        <v>9</v>
      </c>
      <c r="AB48" s="22">
        <v>6</v>
      </c>
      <c r="AC48" s="22"/>
      <c r="AD48" s="22"/>
      <c r="AE48" s="61">
        <f t="shared" si="12"/>
        <v>15</v>
      </c>
      <c r="AF48" s="22"/>
      <c r="AG48" s="40">
        <f t="shared" si="13"/>
        <v>15</v>
      </c>
      <c r="AH48" s="24"/>
      <c r="AI48" s="24">
        <v>10</v>
      </c>
      <c r="AJ48" s="23">
        <f t="shared" si="17"/>
        <v>25</v>
      </c>
      <c r="AK48" s="25">
        <v>5</v>
      </c>
      <c r="AL48" s="25">
        <v>10</v>
      </c>
      <c r="AM48" s="25">
        <v>10</v>
      </c>
      <c r="AN48" s="25"/>
      <c r="AO48" s="25">
        <f t="shared" si="16"/>
        <v>25</v>
      </c>
      <c r="AP48" s="13"/>
      <c r="AQ48" s="21"/>
      <c r="AR48" s="21"/>
      <c r="AS48" s="21">
        <v>5</v>
      </c>
      <c r="AT48" s="21"/>
      <c r="AU48" s="21"/>
      <c r="AV48" s="21"/>
      <c r="AW48" s="21"/>
      <c r="AX48" s="21"/>
      <c r="AY48" s="77"/>
      <c r="AZ48" s="21">
        <v>5</v>
      </c>
      <c r="BA48" s="21">
        <v>5</v>
      </c>
      <c r="BB48" s="21"/>
      <c r="BC48" s="21"/>
      <c r="BD48" s="21"/>
      <c r="BE48" s="21"/>
      <c r="BF48" s="77"/>
      <c r="BG48" s="21"/>
      <c r="BH48" s="21"/>
      <c r="BI48" s="21"/>
      <c r="BJ48" s="21"/>
      <c r="BK48" s="21"/>
      <c r="BL48" s="21"/>
      <c r="BM48" s="77"/>
      <c r="BN48" s="21"/>
      <c r="BO48" s="21"/>
      <c r="BP48" s="21"/>
      <c r="BQ48" s="21"/>
      <c r="BR48" s="21"/>
      <c r="BS48" s="21"/>
      <c r="BT48" s="96">
        <f t="shared" si="9"/>
        <v>15</v>
      </c>
      <c r="BU48" s="94">
        <f t="shared" si="10"/>
        <v>10</v>
      </c>
      <c r="BV48" s="26"/>
      <c r="BW48" s="27"/>
      <c r="BX48" s="19" t="s">
        <v>432</v>
      </c>
      <c r="BY48" s="19" t="b">
        <f t="shared" si="15"/>
        <v>1</v>
      </c>
      <c r="BZ48" s="53" t="s">
        <v>432</v>
      </c>
      <c r="CA48" s="19" t="s">
        <v>790</v>
      </c>
      <c r="CB48" s="19" t="s">
        <v>769</v>
      </c>
      <c r="CC48" s="19" t="s">
        <v>770</v>
      </c>
      <c r="CD48" s="19" t="s">
        <v>698</v>
      </c>
      <c r="CE48" s="19" t="s">
        <v>699</v>
      </c>
      <c r="CF48" s="19" t="s">
        <v>691</v>
      </c>
      <c r="CG48" s="19" t="s">
        <v>692</v>
      </c>
      <c r="CH48" s="19" t="s">
        <v>695</v>
      </c>
      <c r="CI48" s="19" t="s">
        <v>694</v>
      </c>
      <c r="CJ48" s="19" t="s">
        <v>773</v>
      </c>
      <c r="CK48" s="19" t="s">
        <v>774</v>
      </c>
      <c r="CL48" s="19" t="s">
        <v>791</v>
      </c>
      <c r="CM48" s="19" t="s">
        <v>767</v>
      </c>
      <c r="CN48" s="19"/>
      <c r="CO48" s="19"/>
      <c r="CP48" s="19" t="s">
        <v>686</v>
      </c>
      <c r="CQ48" s="19" t="s">
        <v>687</v>
      </c>
      <c r="CR48" s="19" t="s">
        <v>792</v>
      </c>
      <c r="CS48" s="19" t="s">
        <v>703</v>
      </c>
      <c r="CT48" s="19"/>
      <c r="CU48" s="19"/>
      <c r="CV48" s="19"/>
      <c r="CW48" s="19"/>
      <c r="CX48" s="19"/>
      <c r="CY48" s="19"/>
      <c r="CZ48" s="19"/>
      <c r="DA48" s="19"/>
      <c r="DB48" s="19"/>
      <c r="DC48" s="19"/>
    </row>
    <row r="49" spans="1:107" s="7" customFormat="1" x14ac:dyDescent="0.25">
      <c r="A49" s="19" t="s">
        <v>228</v>
      </c>
      <c r="B49" s="19" t="s">
        <v>80</v>
      </c>
      <c r="C49" s="19" t="str">
        <f t="shared" si="14"/>
        <v>96059610India</v>
      </c>
      <c r="D49" s="19">
        <v>96059610</v>
      </c>
      <c r="E49" s="19" t="s">
        <v>477</v>
      </c>
      <c r="F49" s="19" t="s">
        <v>261</v>
      </c>
      <c r="G49" s="20" t="s">
        <v>477</v>
      </c>
      <c r="H49" s="19"/>
      <c r="I49" s="19" t="s">
        <v>230</v>
      </c>
      <c r="J49" s="19" t="s">
        <v>243</v>
      </c>
      <c r="K49" s="19" t="s">
        <v>278</v>
      </c>
      <c r="L49" s="19" t="s">
        <v>279</v>
      </c>
      <c r="M49" s="19" t="s">
        <v>268</v>
      </c>
      <c r="N49" s="19" t="s">
        <v>247</v>
      </c>
      <c r="O49" s="19" t="s">
        <v>275</v>
      </c>
      <c r="P49" s="51" t="s">
        <v>237</v>
      </c>
      <c r="Q49" s="19" t="s">
        <v>280</v>
      </c>
      <c r="R49" s="19">
        <v>1000</v>
      </c>
      <c r="S49" s="19" t="s">
        <v>272</v>
      </c>
      <c r="T49" s="19" t="s">
        <v>263</v>
      </c>
      <c r="U49" s="20" t="s">
        <v>263</v>
      </c>
      <c r="V49" s="19" t="s">
        <v>1553</v>
      </c>
      <c r="W49" s="19" t="s">
        <v>221</v>
      </c>
      <c r="X49" s="35">
        <v>2</v>
      </c>
      <c r="Y49" s="35">
        <v>2</v>
      </c>
      <c r="Z49" s="32"/>
      <c r="AA49" s="22"/>
      <c r="AB49" s="22"/>
      <c r="AC49" s="22"/>
      <c r="AD49" s="22">
        <v>5</v>
      </c>
      <c r="AE49" s="61">
        <f t="shared" si="12"/>
        <v>5</v>
      </c>
      <c r="AF49" s="22">
        <v>2</v>
      </c>
      <c r="AG49" s="40">
        <f t="shared" si="13"/>
        <v>7</v>
      </c>
      <c r="AH49" s="24">
        <v>7</v>
      </c>
      <c r="AI49" s="24"/>
      <c r="AJ49" s="23">
        <f t="shared" si="17"/>
        <v>0</v>
      </c>
      <c r="AK49" s="25"/>
      <c r="AL49" s="25"/>
      <c r="AM49" s="25"/>
      <c r="AN49" s="25"/>
      <c r="AO49" s="25">
        <f t="shared" si="16"/>
        <v>0</v>
      </c>
      <c r="AP49" s="13">
        <v>7</v>
      </c>
      <c r="AQ49" s="21">
        <v>2</v>
      </c>
      <c r="AR49" s="21">
        <v>2</v>
      </c>
      <c r="AS49" s="21">
        <v>3</v>
      </c>
      <c r="AT49" s="21"/>
      <c r="AU49" s="21"/>
      <c r="AV49" s="21"/>
      <c r="AW49" s="21"/>
      <c r="AX49" s="21"/>
      <c r="AY49" s="77"/>
      <c r="AZ49" s="21"/>
      <c r="BA49" s="21"/>
      <c r="BB49" s="21"/>
      <c r="BC49" s="21"/>
      <c r="BD49" s="21"/>
      <c r="BE49" s="21"/>
      <c r="BF49" s="77"/>
      <c r="BG49" s="21"/>
      <c r="BH49" s="21"/>
      <c r="BI49" s="21"/>
      <c r="BJ49" s="21"/>
      <c r="BK49" s="21"/>
      <c r="BL49" s="21"/>
      <c r="BM49" s="77"/>
      <c r="BN49" s="21"/>
      <c r="BO49" s="21"/>
      <c r="BP49" s="21"/>
      <c r="BQ49" s="21"/>
      <c r="BR49" s="21"/>
      <c r="BS49" s="21"/>
      <c r="BT49" s="96">
        <f t="shared" si="9"/>
        <v>7</v>
      </c>
      <c r="BU49" s="94">
        <f t="shared" si="10"/>
        <v>-7</v>
      </c>
      <c r="BV49" s="26"/>
      <c r="BW49" s="27"/>
      <c r="BX49" s="19" t="s">
        <v>477</v>
      </c>
      <c r="BY49" s="19" t="b">
        <f t="shared" si="15"/>
        <v>1</v>
      </c>
      <c r="BZ49" s="53" t="s">
        <v>477</v>
      </c>
      <c r="CA49" s="19" t="s">
        <v>793</v>
      </c>
      <c r="CB49" s="19" t="s">
        <v>762</v>
      </c>
      <c r="CC49" s="19" t="s">
        <v>763</v>
      </c>
      <c r="CD49" s="19" t="s">
        <v>706</v>
      </c>
      <c r="CE49" s="19" t="s">
        <v>707</v>
      </c>
      <c r="CF49" s="19" t="s">
        <v>708</v>
      </c>
      <c r="CG49" s="19" t="s">
        <v>709</v>
      </c>
      <c r="CH49" s="19" t="s">
        <v>695</v>
      </c>
      <c r="CI49" s="19" t="s">
        <v>694</v>
      </c>
      <c r="CJ49" s="19" t="s">
        <v>794</v>
      </c>
      <c r="CK49" s="19" t="s">
        <v>795</v>
      </c>
      <c r="CL49" s="19" t="s">
        <v>796</v>
      </c>
      <c r="CM49" s="19" t="s">
        <v>767</v>
      </c>
      <c r="CN49" s="19"/>
      <c r="CO49" s="19"/>
      <c r="CP49" s="19" t="s">
        <v>715</v>
      </c>
      <c r="CQ49" s="19" t="s">
        <v>687</v>
      </c>
      <c r="CR49" s="19" t="s">
        <v>716</v>
      </c>
      <c r="CS49" s="19" t="s">
        <v>717</v>
      </c>
      <c r="CT49" s="19"/>
      <c r="CU49" s="19"/>
      <c r="CV49" s="19"/>
      <c r="CW49" s="19"/>
      <c r="CX49" s="19"/>
      <c r="CY49" s="19"/>
      <c r="CZ49" s="19"/>
      <c r="DA49" s="19"/>
      <c r="DB49" s="19"/>
      <c r="DC49" s="19"/>
    </row>
    <row r="50" spans="1:107" s="7" customFormat="1" x14ac:dyDescent="0.25">
      <c r="A50" s="19" t="s">
        <v>228</v>
      </c>
      <c r="B50" s="19" t="s">
        <v>80</v>
      </c>
      <c r="C50" s="19" t="str">
        <f t="shared" si="14"/>
        <v>96051650India</v>
      </c>
      <c r="D50" s="19">
        <v>96051650</v>
      </c>
      <c r="E50" s="19" t="s">
        <v>277</v>
      </c>
      <c r="F50" s="19" t="s">
        <v>261</v>
      </c>
      <c r="G50" s="20" t="s">
        <v>277</v>
      </c>
      <c r="H50" s="19"/>
      <c r="I50" s="19" t="s">
        <v>230</v>
      </c>
      <c r="J50" s="19" t="s">
        <v>231</v>
      </c>
      <c r="K50" s="19" t="s">
        <v>278</v>
      </c>
      <c r="L50" s="19" t="s">
        <v>279</v>
      </c>
      <c r="M50" s="19" t="s">
        <v>268</v>
      </c>
      <c r="N50" s="19" t="s">
        <v>247</v>
      </c>
      <c r="O50" s="19" t="s">
        <v>275</v>
      </c>
      <c r="P50" s="51" t="s">
        <v>237</v>
      </c>
      <c r="Q50" s="19" t="s">
        <v>280</v>
      </c>
      <c r="R50" s="19">
        <v>1000</v>
      </c>
      <c r="S50" s="19" t="s">
        <v>272</v>
      </c>
      <c r="T50" s="19" t="s">
        <v>263</v>
      </c>
      <c r="U50" s="20" t="s">
        <v>263</v>
      </c>
      <c r="V50" s="19" t="s">
        <v>187</v>
      </c>
      <c r="W50" s="19" t="s">
        <v>219</v>
      </c>
      <c r="X50" s="35">
        <v>1</v>
      </c>
      <c r="Y50" s="35">
        <v>1</v>
      </c>
      <c r="Z50" s="32"/>
      <c r="AA50" s="22"/>
      <c r="AB50" s="22"/>
      <c r="AC50" s="22"/>
      <c r="AD50" s="22"/>
      <c r="AE50" s="61">
        <f t="shared" si="12"/>
        <v>0</v>
      </c>
      <c r="AF50" s="22"/>
      <c r="AG50" s="40">
        <f t="shared" si="13"/>
        <v>0</v>
      </c>
      <c r="AH50" s="24">
        <v>13</v>
      </c>
      <c r="AI50" s="24"/>
      <c r="AJ50" s="23">
        <v>0</v>
      </c>
      <c r="AK50" s="25"/>
      <c r="AL50" s="25"/>
      <c r="AM50" s="25"/>
      <c r="AN50" s="25"/>
      <c r="AO50" s="25">
        <f t="shared" si="16"/>
        <v>0</v>
      </c>
      <c r="AP50" s="13">
        <v>13</v>
      </c>
      <c r="AQ50" s="21">
        <v>4</v>
      </c>
      <c r="AR50" s="21">
        <v>4</v>
      </c>
      <c r="AS50" s="21">
        <v>5</v>
      </c>
      <c r="AT50" s="21"/>
      <c r="AU50" s="21"/>
      <c r="AV50" s="21"/>
      <c r="AW50" s="21"/>
      <c r="AX50" s="21"/>
      <c r="AY50" s="77"/>
      <c r="AZ50" s="21"/>
      <c r="BA50" s="21"/>
      <c r="BB50" s="21"/>
      <c r="BC50" s="21"/>
      <c r="BD50" s="21"/>
      <c r="BE50" s="21"/>
      <c r="BF50" s="77"/>
      <c r="BG50" s="21"/>
      <c r="BH50" s="21"/>
      <c r="BI50" s="21"/>
      <c r="BJ50" s="21"/>
      <c r="BK50" s="21"/>
      <c r="BL50" s="21"/>
      <c r="BM50" s="77"/>
      <c r="BN50" s="21"/>
      <c r="BO50" s="21"/>
      <c r="BP50" s="21"/>
      <c r="BQ50" s="21"/>
      <c r="BR50" s="21"/>
      <c r="BS50" s="21"/>
      <c r="BT50" s="96">
        <f t="shared" si="9"/>
        <v>13</v>
      </c>
      <c r="BU50" s="94">
        <f t="shared" si="10"/>
        <v>-13</v>
      </c>
      <c r="BV50" s="26"/>
      <c r="BW50" s="27"/>
      <c r="BX50" s="19" t="s">
        <v>277</v>
      </c>
      <c r="BY50" s="19" t="b">
        <f t="shared" si="15"/>
        <v>1</v>
      </c>
      <c r="BZ50" s="53" t="s">
        <v>277</v>
      </c>
      <c r="CA50" s="19" t="s">
        <v>768</v>
      </c>
      <c r="CB50" s="19" t="s">
        <v>769</v>
      </c>
      <c r="CC50" s="19" t="s">
        <v>770</v>
      </c>
      <c r="CD50" s="19" t="s">
        <v>771</v>
      </c>
      <c r="CE50" s="19" t="s">
        <v>772</v>
      </c>
      <c r="CF50" s="19" t="s">
        <v>691</v>
      </c>
      <c r="CG50" s="19" t="s">
        <v>692</v>
      </c>
      <c r="CH50" s="19" t="s">
        <v>695</v>
      </c>
      <c r="CI50" s="19" t="s">
        <v>694</v>
      </c>
      <c r="CJ50" s="19" t="s">
        <v>773</v>
      </c>
      <c r="CK50" s="19" t="s">
        <v>774</v>
      </c>
      <c r="CL50" s="19" t="s">
        <v>775</v>
      </c>
      <c r="CM50" s="19" t="s">
        <v>776</v>
      </c>
      <c r="CN50" s="19"/>
      <c r="CO50" s="19"/>
      <c r="CP50" s="19" t="s">
        <v>686</v>
      </c>
      <c r="CQ50" s="19" t="s">
        <v>687</v>
      </c>
      <c r="CR50" s="19" t="s">
        <v>777</v>
      </c>
      <c r="CS50" s="19" t="s">
        <v>778</v>
      </c>
      <c r="CT50" s="19"/>
      <c r="CU50" s="19"/>
      <c r="CV50" s="19"/>
      <c r="CW50" s="19"/>
      <c r="CX50" s="19"/>
      <c r="CY50" s="19"/>
      <c r="CZ50" s="19"/>
      <c r="DA50" s="19"/>
      <c r="DB50" s="19"/>
      <c r="DC50" s="19"/>
    </row>
    <row r="51" spans="1:107" s="7" customFormat="1" x14ac:dyDescent="0.25">
      <c r="A51" s="19" t="s">
        <v>228</v>
      </c>
      <c r="B51" s="19" t="s">
        <v>80</v>
      </c>
      <c r="C51" s="19" t="str">
        <f t="shared" si="14"/>
        <v>96059612India</v>
      </c>
      <c r="D51" s="19">
        <v>96059612</v>
      </c>
      <c r="E51" s="19" t="s">
        <v>477</v>
      </c>
      <c r="F51" s="19" t="s">
        <v>261</v>
      </c>
      <c r="G51" s="20" t="s">
        <v>477</v>
      </c>
      <c r="H51" s="19"/>
      <c r="I51" s="19" t="s">
        <v>230</v>
      </c>
      <c r="J51" s="19" t="s">
        <v>243</v>
      </c>
      <c r="K51" s="19" t="s">
        <v>278</v>
      </c>
      <c r="L51" s="19" t="s">
        <v>279</v>
      </c>
      <c r="M51" s="19" t="s">
        <v>268</v>
      </c>
      <c r="N51" s="19" t="s">
        <v>247</v>
      </c>
      <c r="O51" s="19" t="s">
        <v>275</v>
      </c>
      <c r="P51" s="51" t="s">
        <v>237</v>
      </c>
      <c r="Q51" s="19" t="s">
        <v>280</v>
      </c>
      <c r="R51" s="19">
        <v>1000</v>
      </c>
      <c r="S51" s="19" t="s">
        <v>272</v>
      </c>
      <c r="T51" s="19" t="s">
        <v>263</v>
      </c>
      <c r="U51" s="20" t="s">
        <v>263</v>
      </c>
      <c r="V51" s="19" t="s">
        <v>202</v>
      </c>
      <c r="W51" s="19" t="s">
        <v>221</v>
      </c>
      <c r="X51" s="35">
        <v>8</v>
      </c>
      <c r="Y51" s="35">
        <v>4</v>
      </c>
      <c r="Z51" s="32"/>
      <c r="AA51" s="22">
        <v>10</v>
      </c>
      <c r="AB51" s="22"/>
      <c r="AC51" s="22"/>
      <c r="AD51" s="22">
        <v>2</v>
      </c>
      <c r="AE51" s="61">
        <f t="shared" si="12"/>
        <v>12</v>
      </c>
      <c r="AF51" s="22">
        <v>5</v>
      </c>
      <c r="AG51" s="40">
        <f t="shared" si="13"/>
        <v>17</v>
      </c>
      <c r="AH51" s="24">
        <v>17</v>
      </c>
      <c r="AI51" s="24"/>
      <c r="AJ51" s="23">
        <f t="shared" ref="AJ51:AJ55" si="18">AG51-AH51+AI51</f>
        <v>0</v>
      </c>
      <c r="AK51" s="25"/>
      <c r="AL51" s="25"/>
      <c r="AM51" s="25"/>
      <c r="AN51" s="25"/>
      <c r="AO51" s="25">
        <f t="shared" si="16"/>
        <v>0</v>
      </c>
      <c r="AP51" s="13">
        <v>17</v>
      </c>
      <c r="AQ51" s="21">
        <v>6</v>
      </c>
      <c r="AR51" s="21">
        <v>6</v>
      </c>
      <c r="AS51" s="21">
        <v>5</v>
      </c>
      <c r="AT51" s="21"/>
      <c r="AU51" s="21"/>
      <c r="AV51" s="21"/>
      <c r="AW51" s="21"/>
      <c r="AX51" s="21"/>
      <c r="AY51" s="77"/>
      <c r="AZ51" s="21"/>
      <c r="BA51" s="21"/>
      <c r="BB51" s="21"/>
      <c r="BC51" s="21"/>
      <c r="BD51" s="21"/>
      <c r="BE51" s="21"/>
      <c r="BF51" s="77"/>
      <c r="BG51" s="21"/>
      <c r="BH51" s="21"/>
      <c r="BI51" s="21"/>
      <c r="BJ51" s="21"/>
      <c r="BK51" s="21"/>
      <c r="BL51" s="21"/>
      <c r="BM51" s="77"/>
      <c r="BN51" s="21"/>
      <c r="BO51" s="21"/>
      <c r="BP51" s="21"/>
      <c r="BQ51" s="21"/>
      <c r="BR51" s="21"/>
      <c r="BS51" s="21"/>
      <c r="BT51" s="96">
        <f t="shared" si="9"/>
        <v>17</v>
      </c>
      <c r="BU51" s="94">
        <f t="shared" si="10"/>
        <v>-17</v>
      </c>
      <c r="BV51" s="26"/>
      <c r="BW51" s="27"/>
      <c r="BX51" s="19" t="s">
        <v>477</v>
      </c>
      <c r="BY51" s="19" t="b">
        <f t="shared" si="15"/>
        <v>1</v>
      </c>
      <c r="BZ51" s="53" t="s">
        <v>477</v>
      </c>
      <c r="CA51" s="19" t="s">
        <v>793</v>
      </c>
      <c r="CB51" s="19" t="s">
        <v>762</v>
      </c>
      <c r="CC51" s="19" t="s">
        <v>763</v>
      </c>
      <c r="CD51" s="19" t="s">
        <v>706</v>
      </c>
      <c r="CE51" s="19" t="s">
        <v>707</v>
      </c>
      <c r="CF51" s="19" t="s">
        <v>708</v>
      </c>
      <c r="CG51" s="19" t="s">
        <v>709</v>
      </c>
      <c r="CH51" s="19" t="s">
        <v>695</v>
      </c>
      <c r="CI51" s="19" t="s">
        <v>694</v>
      </c>
      <c r="CJ51" s="19" t="s">
        <v>794</v>
      </c>
      <c r="CK51" s="19" t="s">
        <v>795</v>
      </c>
      <c r="CL51" s="19" t="s">
        <v>796</v>
      </c>
      <c r="CM51" s="19" t="s">
        <v>767</v>
      </c>
      <c r="CN51" s="19"/>
      <c r="CO51" s="19"/>
      <c r="CP51" s="19" t="s">
        <v>715</v>
      </c>
      <c r="CQ51" s="19" t="s">
        <v>687</v>
      </c>
      <c r="CR51" s="19" t="s">
        <v>716</v>
      </c>
      <c r="CS51" s="19" t="s">
        <v>717</v>
      </c>
      <c r="CT51" s="19"/>
      <c r="CU51" s="19"/>
      <c r="CV51" s="19"/>
      <c r="CW51" s="19"/>
      <c r="CX51" s="19"/>
      <c r="CY51" s="19"/>
      <c r="CZ51" s="19"/>
      <c r="DA51" s="19"/>
      <c r="DB51" s="19"/>
      <c r="DC51" s="19"/>
    </row>
    <row r="52" spans="1:107" s="7" customFormat="1" x14ac:dyDescent="0.25">
      <c r="A52" s="19" t="s">
        <v>228</v>
      </c>
      <c r="B52" s="19" t="s">
        <v>80</v>
      </c>
      <c r="C52" s="19" t="str">
        <f t="shared" si="14"/>
        <v>96059619India</v>
      </c>
      <c r="D52" s="19">
        <v>96059619</v>
      </c>
      <c r="E52" s="19" t="s">
        <v>432</v>
      </c>
      <c r="F52" s="19" t="s">
        <v>261</v>
      </c>
      <c r="G52" s="20" t="s">
        <v>432</v>
      </c>
      <c r="H52" s="19"/>
      <c r="I52" s="19" t="s">
        <v>230</v>
      </c>
      <c r="J52" s="19" t="s">
        <v>231</v>
      </c>
      <c r="K52" s="19" t="s">
        <v>278</v>
      </c>
      <c r="L52" s="19" t="s">
        <v>279</v>
      </c>
      <c r="M52" s="19" t="s">
        <v>268</v>
      </c>
      <c r="N52" s="19" t="s">
        <v>247</v>
      </c>
      <c r="O52" s="19" t="s">
        <v>275</v>
      </c>
      <c r="P52" s="51" t="s">
        <v>237</v>
      </c>
      <c r="Q52" s="19" t="s">
        <v>280</v>
      </c>
      <c r="R52" s="19">
        <v>1000</v>
      </c>
      <c r="S52" s="19" t="s">
        <v>272</v>
      </c>
      <c r="T52" s="19" t="s">
        <v>263</v>
      </c>
      <c r="U52" s="20" t="s">
        <v>263</v>
      </c>
      <c r="V52" s="19" t="s">
        <v>203</v>
      </c>
      <c r="W52" s="19" t="s">
        <v>222</v>
      </c>
      <c r="X52" s="35">
        <v>3</v>
      </c>
      <c r="Y52" s="35">
        <v>3</v>
      </c>
      <c r="Z52" s="32"/>
      <c r="AA52" s="22">
        <v>3</v>
      </c>
      <c r="AB52" s="22"/>
      <c r="AC52" s="22"/>
      <c r="AD52" s="22"/>
      <c r="AE52" s="61">
        <f t="shared" si="12"/>
        <v>3</v>
      </c>
      <c r="AF52" s="22"/>
      <c r="AG52" s="40">
        <f t="shared" si="13"/>
        <v>3</v>
      </c>
      <c r="AH52" s="24"/>
      <c r="AI52" s="24">
        <v>3</v>
      </c>
      <c r="AJ52" s="23">
        <f t="shared" si="18"/>
        <v>6</v>
      </c>
      <c r="AK52" s="25"/>
      <c r="AL52" s="25"/>
      <c r="AM52" s="25">
        <v>6</v>
      </c>
      <c r="AN52" s="25"/>
      <c r="AO52" s="25">
        <f t="shared" si="16"/>
        <v>6</v>
      </c>
      <c r="AP52" s="13"/>
      <c r="AQ52" s="21"/>
      <c r="AR52" s="21"/>
      <c r="AS52" s="21"/>
      <c r="AT52" s="21"/>
      <c r="AU52" s="21"/>
      <c r="AV52" s="21"/>
      <c r="AW52" s="21"/>
      <c r="AX52" s="21"/>
      <c r="AY52" s="77"/>
      <c r="AZ52" s="21"/>
      <c r="BA52" s="21"/>
      <c r="BB52" s="21"/>
      <c r="BC52" s="21"/>
      <c r="BD52" s="21"/>
      <c r="BE52" s="21"/>
      <c r="BF52" s="77"/>
      <c r="BG52" s="21">
        <v>1</v>
      </c>
      <c r="BH52" s="21">
        <v>2</v>
      </c>
      <c r="BI52" s="21"/>
      <c r="BJ52" s="21"/>
      <c r="BK52" s="21"/>
      <c r="BL52" s="21"/>
      <c r="BM52" s="77"/>
      <c r="BN52" s="21"/>
      <c r="BO52" s="21"/>
      <c r="BP52" s="21"/>
      <c r="BQ52" s="21"/>
      <c r="BR52" s="21"/>
      <c r="BS52" s="21"/>
      <c r="BT52" s="96">
        <f t="shared" si="9"/>
        <v>3</v>
      </c>
      <c r="BU52" s="94">
        <f t="shared" si="10"/>
        <v>3</v>
      </c>
      <c r="BV52" s="26"/>
      <c r="BW52" s="27"/>
      <c r="BX52" s="19" t="s">
        <v>432</v>
      </c>
      <c r="BY52" s="19" t="b">
        <f t="shared" si="15"/>
        <v>1</v>
      </c>
      <c r="BZ52" s="53" t="s">
        <v>432</v>
      </c>
      <c r="CA52" s="19" t="s">
        <v>790</v>
      </c>
      <c r="CB52" s="19" t="s">
        <v>769</v>
      </c>
      <c r="CC52" s="19" t="s">
        <v>770</v>
      </c>
      <c r="CD52" s="19" t="s">
        <v>698</v>
      </c>
      <c r="CE52" s="19" t="s">
        <v>699</v>
      </c>
      <c r="CF52" s="19" t="s">
        <v>691</v>
      </c>
      <c r="CG52" s="19" t="s">
        <v>692</v>
      </c>
      <c r="CH52" s="19" t="s">
        <v>695</v>
      </c>
      <c r="CI52" s="19" t="s">
        <v>694</v>
      </c>
      <c r="CJ52" s="19" t="s">
        <v>773</v>
      </c>
      <c r="CK52" s="19" t="s">
        <v>774</v>
      </c>
      <c r="CL52" s="19" t="s">
        <v>791</v>
      </c>
      <c r="CM52" s="19" t="s">
        <v>767</v>
      </c>
      <c r="CN52" s="19"/>
      <c r="CO52" s="19"/>
      <c r="CP52" s="19" t="s">
        <v>686</v>
      </c>
      <c r="CQ52" s="19" t="s">
        <v>687</v>
      </c>
      <c r="CR52" s="19" t="s">
        <v>792</v>
      </c>
      <c r="CS52" s="19" t="s">
        <v>703</v>
      </c>
      <c r="CT52" s="19"/>
      <c r="CU52" s="19"/>
      <c r="CV52" s="19"/>
      <c r="CW52" s="19"/>
      <c r="CX52" s="19"/>
      <c r="CY52" s="19"/>
      <c r="CZ52" s="19"/>
      <c r="DA52" s="19"/>
      <c r="DB52" s="19"/>
      <c r="DC52" s="19"/>
    </row>
    <row r="53" spans="1:107" s="7" customFormat="1" x14ac:dyDescent="0.25">
      <c r="A53" s="19" t="s">
        <v>228</v>
      </c>
      <c r="B53" s="19" t="s">
        <v>80</v>
      </c>
      <c r="C53" s="19" t="str">
        <f t="shared" si="14"/>
        <v>96059618India</v>
      </c>
      <c r="D53" s="19">
        <v>96059618</v>
      </c>
      <c r="E53" s="19" t="s">
        <v>432</v>
      </c>
      <c r="F53" s="19" t="s">
        <v>261</v>
      </c>
      <c r="G53" s="20" t="s">
        <v>432</v>
      </c>
      <c r="H53" s="19"/>
      <c r="I53" s="19" t="s">
        <v>230</v>
      </c>
      <c r="J53" s="19" t="s">
        <v>231</v>
      </c>
      <c r="K53" s="19" t="s">
        <v>278</v>
      </c>
      <c r="L53" s="19" t="s">
        <v>279</v>
      </c>
      <c r="M53" s="19" t="s">
        <v>268</v>
      </c>
      <c r="N53" s="19" t="s">
        <v>247</v>
      </c>
      <c r="O53" s="19" t="s">
        <v>275</v>
      </c>
      <c r="P53" s="51" t="s">
        <v>237</v>
      </c>
      <c r="Q53" s="19" t="s">
        <v>280</v>
      </c>
      <c r="R53" s="19">
        <v>1000</v>
      </c>
      <c r="S53" s="19" t="s">
        <v>272</v>
      </c>
      <c r="T53" s="19" t="s">
        <v>263</v>
      </c>
      <c r="U53" s="20" t="s">
        <v>263</v>
      </c>
      <c r="V53" s="19" t="s">
        <v>1807</v>
      </c>
      <c r="W53" s="19" t="s">
        <v>219</v>
      </c>
      <c r="X53" s="35"/>
      <c r="Y53" s="35"/>
      <c r="Z53" s="32"/>
      <c r="AA53" s="22"/>
      <c r="AB53" s="22"/>
      <c r="AC53" s="22">
        <v>1</v>
      </c>
      <c r="AD53" s="22"/>
      <c r="AE53" s="61">
        <f t="shared" si="12"/>
        <v>1</v>
      </c>
      <c r="AF53" s="22"/>
      <c r="AG53" s="40">
        <f t="shared" si="13"/>
        <v>1</v>
      </c>
      <c r="AH53" s="24"/>
      <c r="AI53" s="24"/>
      <c r="AJ53" s="23">
        <f t="shared" si="18"/>
        <v>1</v>
      </c>
      <c r="AK53" s="25"/>
      <c r="AL53" s="25">
        <v>1</v>
      </c>
      <c r="AM53" s="25"/>
      <c r="AN53" s="25"/>
      <c r="AO53" s="25">
        <f t="shared" si="16"/>
        <v>1</v>
      </c>
      <c r="AP53" s="13"/>
      <c r="AQ53" s="21"/>
      <c r="AR53" s="21"/>
      <c r="AS53" s="21"/>
      <c r="AT53" s="21"/>
      <c r="AU53" s="21"/>
      <c r="AV53" s="21"/>
      <c r="AW53" s="21"/>
      <c r="AX53" s="21"/>
      <c r="AY53" s="77"/>
      <c r="AZ53" s="21"/>
      <c r="BA53" s="21"/>
      <c r="BB53" s="21"/>
      <c r="BC53" s="21"/>
      <c r="BD53" s="21"/>
      <c r="BE53" s="21">
        <v>1</v>
      </c>
      <c r="BF53" s="77"/>
      <c r="BG53" s="21"/>
      <c r="BH53" s="21"/>
      <c r="BI53" s="21"/>
      <c r="BJ53" s="21"/>
      <c r="BK53" s="21"/>
      <c r="BL53" s="21"/>
      <c r="BM53" s="77"/>
      <c r="BN53" s="21"/>
      <c r="BO53" s="21"/>
      <c r="BP53" s="21"/>
      <c r="BQ53" s="21"/>
      <c r="BR53" s="21"/>
      <c r="BS53" s="21"/>
      <c r="BT53" s="96">
        <f t="shared" si="9"/>
        <v>1</v>
      </c>
      <c r="BU53" s="94">
        <f t="shared" si="10"/>
        <v>0</v>
      </c>
      <c r="BV53" s="26"/>
      <c r="BW53" s="27"/>
      <c r="BX53" s="19" t="s">
        <v>432</v>
      </c>
      <c r="BY53" s="19" t="b">
        <f t="shared" si="15"/>
        <v>1</v>
      </c>
      <c r="BZ53" s="53" t="s">
        <v>432</v>
      </c>
      <c r="CA53" s="19" t="s">
        <v>790</v>
      </c>
      <c r="CB53" s="19" t="s">
        <v>769</v>
      </c>
      <c r="CC53" s="19" t="s">
        <v>770</v>
      </c>
      <c r="CD53" s="19" t="s">
        <v>698</v>
      </c>
      <c r="CE53" s="19" t="s">
        <v>699</v>
      </c>
      <c r="CF53" s="19" t="s">
        <v>691</v>
      </c>
      <c r="CG53" s="19" t="s">
        <v>692</v>
      </c>
      <c r="CH53" s="19" t="s">
        <v>695</v>
      </c>
      <c r="CI53" s="19" t="s">
        <v>694</v>
      </c>
      <c r="CJ53" s="19" t="s">
        <v>773</v>
      </c>
      <c r="CK53" s="19" t="s">
        <v>774</v>
      </c>
      <c r="CL53" s="19" t="s">
        <v>791</v>
      </c>
      <c r="CM53" s="19" t="s">
        <v>767</v>
      </c>
      <c r="CN53" s="19"/>
      <c r="CO53" s="19"/>
      <c r="CP53" s="19" t="s">
        <v>686</v>
      </c>
      <c r="CQ53" s="19" t="s">
        <v>687</v>
      </c>
      <c r="CR53" s="19" t="s">
        <v>792</v>
      </c>
      <c r="CS53" s="19" t="s">
        <v>703</v>
      </c>
      <c r="CT53" s="19"/>
      <c r="CU53" s="19"/>
      <c r="CV53" s="19"/>
      <c r="CW53" s="19"/>
      <c r="CX53" s="19"/>
      <c r="CY53" s="19"/>
      <c r="CZ53" s="19"/>
      <c r="DA53" s="19"/>
      <c r="DB53" s="19"/>
      <c r="DC53" s="19"/>
    </row>
    <row r="54" spans="1:107" s="7" customFormat="1" x14ac:dyDescent="0.25">
      <c r="A54" s="19" t="s">
        <v>228</v>
      </c>
      <c r="B54" s="19" t="s">
        <v>80</v>
      </c>
      <c r="C54" s="19" t="str">
        <f t="shared" si="14"/>
        <v>96059624India</v>
      </c>
      <c r="D54" s="19">
        <v>96059624</v>
      </c>
      <c r="E54" s="19" t="s">
        <v>481</v>
      </c>
      <c r="F54" s="19" t="s">
        <v>261</v>
      </c>
      <c r="G54" s="20" t="s">
        <v>481</v>
      </c>
      <c r="H54" s="19"/>
      <c r="I54" s="19" t="s">
        <v>230</v>
      </c>
      <c r="J54" s="19" t="s">
        <v>243</v>
      </c>
      <c r="K54" s="19" t="s">
        <v>278</v>
      </c>
      <c r="L54" s="19" t="s">
        <v>282</v>
      </c>
      <c r="M54" s="19" t="s">
        <v>268</v>
      </c>
      <c r="N54" s="19" t="s">
        <v>247</v>
      </c>
      <c r="O54" s="19" t="s">
        <v>275</v>
      </c>
      <c r="P54" s="51" t="s">
        <v>237</v>
      </c>
      <c r="Q54" s="19" t="s">
        <v>280</v>
      </c>
      <c r="R54" s="19">
        <v>1000</v>
      </c>
      <c r="S54" s="19" t="s">
        <v>272</v>
      </c>
      <c r="T54" s="19" t="s">
        <v>263</v>
      </c>
      <c r="U54" s="20" t="s">
        <v>263</v>
      </c>
      <c r="V54" s="19" t="s">
        <v>1564</v>
      </c>
      <c r="W54" s="19" t="s">
        <v>222</v>
      </c>
      <c r="X54" s="35">
        <v>2</v>
      </c>
      <c r="Y54" s="35">
        <v>1</v>
      </c>
      <c r="Z54" s="32"/>
      <c r="AA54" s="22">
        <v>2</v>
      </c>
      <c r="AB54" s="22"/>
      <c r="AC54" s="22"/>
      <c r="AD54" s="22">
        <v>2</v>
      </c>
      <c r="AE54" s="61">
        <f t="shared" si="12"/>
        <v>4</v>
      </c>
      <c r="AF54" s="22"/>
      <c r="AG54" s="40">
        <f t="shared" si="13"/>
        <v>4</v>
      </c>
      <c r="AH54" s="24">
        <v>2</v>
      </c>
      <c r="AI54" s="24">
        <v>2</v>
      </c>
      <c r="AJ54" s="23">
        <f t="shared" si="18"/>
        <v>4</v>
      </c>
      <c r="AK54" s="25"/>
      <c r="AL54" s="25">
        <v>4</v>
      </c>
      <c r="AM54" s="25"/>
      <c r="AN54" s="25"/>
      <c r="AO54" s="25">
        <f t="shared" si="16"/>
        <v>4</v>
      </c>
      <c r="AP54" s="13">
        <v>2</v>
      </c>
      <c r="AQ54" s="21">
        <v>2</v>
      </c>
      <c r="AR54" s="21"/>
      <c r="AS54" s="21"/>
      <c r="AT54" s="21"/>
      <c r="AU54" s="21"/>
      <c r="AV54" s="21"/>
      <c r="AW54" s="21"/>
      <c r="AX54" s="21"/>
      <c r="AY54" s="77"/>
      <c r="AZ54" s="21"/>
      <c r="BA54" s="21"/>
      <c r="BB54" s="21"/>
      <c r="BC54" s="21"/>
      <c r="BD54" s="21"/>
      <c r="BE54" s="21">
        <v>2</v>
      </c>
      <c r="BF54" s="77"/>
      <c r="BG54" s="21"/>
      <c r="BH54" s="21"/>
      <c r="BI54" s="21"/>
      <c r="BJ54" s="21"/>
      <c r="BK54" s="21"/>
      <c r="BL54" s="21"/>
      <c r="BM54" s="77"/>
      <c r="BN54" s="21"/>
      <c r="BO54" s="21"/>
      <c r="BP54" s="21"/>
      <c r="BQ54" s="21"/>
      <c r="BR54" s="21"/>
      <c r="BS54" s="21"/>
      <c r="BT54" s="96">
        <f t="shared" si="9"/>
        <v>4</v>
      </c>
      <c r="BU54" s="94">
        <f t="shared" si="10"/>
        <v>0</v>
      </c>
      <c r="BV54" s="26"/>
      <c r="BW54" s="27"/>
      <c r="BX54" s="19" t="s">
        <v>481</v>
      </c>
      <c r="BY54" s="19" t="b">
        <f t="shared" si="15"/>
        <v>1</v>
      </c>
      <c r="BZ54" s="53" t="s">
        <v>481</v>
      </c>
      <c r="CA54" s="19" t="s">
        <v>797</v>
      </c>
      <c r="CB54" s="19" t="s">
        <v>762</v>
      </c>
      <c r="CC54" s="19" t="s">
        <v>763</v>
      </c>
      <c r="CD54" s="19" t="s">
        <v>706</v>
      </c>
      <c r="CE54" s="19" t="s">
        <v>707</v>
      </c>
      <c r="CF54" s="19" t="s">
        <v>708</v>
      </c>
      <c r="CG54" s="19" t="s">
        <v>709</v>
      </c>
      <c r="CH54" s="19" t="s">
        <v>695</v>
      </c>
      <c r="CI54" s="19" t="s">
        <v>694</v>
      </c>
      <c r="CJ54" s="19" t="s">
        <v>798</v>
      </c>
      <c r="CK54" s="19" t="s">
        <v>799</v>
      </c>
      <c r="CL54" s="19" t="s">
        <v>800</v>
      </c>
      <c r="CM54" s="19" t="s">
        <v>801</v>
      </c>
      <c r="CN54" s="19"/>
      <c r="CO54" s="19"/>
      <c r="CP54" s="19" t="s">
        <v>715</v>
      </c>
      <c r="CQ54" s="19" t="s">
        <v>687</v>
      </c>
      <c r="CR54" s="19" t="s">
        <v>716</v>
      </c>
      <c r="CS54" s="19" t="s">
        <v>717</v>
      </c>
      <c r="CT54" s="19"/>
      <c r="CU54" s="19"/>
      <c r="CV54" s="19"/>
      <c r="CW54" s="19"/>
      <c r="CX54" s="19"/>
      <c r="CY54" s="19"/>
      <c r="CZ54" s="19"/>
      <c r="DA54" s="19"/>
      <c r="DB54" s="19"/>
      <c r="DC54" s="19"/>
    </row>
    <row r="55" spans="1:107" s="7" customFormat="1" x14ac:dyDescent="0.25">
      <c r="A55" s="19" t="s">
        <v>228</v>
      </c>
      <c r="B55" s="19" t="s">
        <v>80</v>
      </c>
      <c r="C55" s="19" t="str">
        <f t="shared" si="14"/>
        <v>96051739India</v>
      </c>
      <c r="D55" s="19">
        <v>96051739</v>
      </c>
      <c r="E55" s="19" t="s">
        <v>429</v>
      </c>
      <c r="F55" s="19" t="s">
        <v>261</v>
      </c>
      <c r="G55" s="20" t="s">
        <v>429</v>
      </c>
      <c r="H55" s="19"/>
      <c r="I55" s="19" t="s">
        <v>230</v>
      </c>
      <c r="J55" s="19" t="s">
        <v>243</v>
      </c>
      <c r="K55" s="19" t="s">
        <v>278</v>
      </c>
      <c r="L55" s="19" t="s">
        <v>279</v>
      </c>
      <c r="M55" s="19" t="s">
        <v>268</v>
      </c>
      <c r="N55" s="19" t="s">
        <v>247</v>
      </c>
      <c r="O55" s="19" t="s">
        <v>275</v>
      </c>
      <c r="P55" s="51" t="s">
        <v>237</v>
      </c>
      <c r="Q55" s="19" t="s">
        <v>280</v>
      </c>
      <c r="R55" s="19">
        <v>1000</v>
      </c>
      <c r="S55" s="19" t="s">
        <v>272</v>
      </c>
      <c r="T55" s="19" t="s">
        <v>263</v>
      </c>
      <c r="U55" s="20" t="s">
        <v>263</v>
      </c>
      <c r="V55" s="19" t="s">
        <v>218</v>
      </c>
      <c r="W55" s="19" t="s">
        <v>219</v>
      </c>
      <c r="X55" s="35">
        <v>7</v>
      </c>
      <c r="Y55" s="35">
        <v>7</v>
      </c>
      <c r="Z55" s="32"/>
      <c r="AA55" s="22"/>
      <c r="AB55" s="22">
        <v>4</v>
      </c>
      <c r="AC55" s="22">
        <v>4</v>
      </c>
      <c r="AD55" s="22"/>
      <c r="AE55" s="61">
        <f t="shared" si="12"/>
        <v>8</v>
      </c>
      <c r="AF55" s="22"/>
      <c r="AG55" s="40">
        <f t="shared" si="13"/>
        <v>8</v>
      </c>
      <c r="AH55" s="24">
        <v>5</v>
      </c>
      <c r="AI55" s="24">
        <v>7</v>
      </c>
      <c r="AJ55" s="23">
        <f t="shared" si="18"/>
        <v>10</v>
      </c>
      <c r="AK55" s="25"/>
      <c r="AL55" s="25">
        <v>5</v>
      </c>
      <c r="AM55" s="25">
        <v>5</v>
      </c>
      <c r="AN55" s="25"/>
      <c r="AO55" s="25">
        <f t="shared" si="16"/>
        <v>10</v>
      </c>
      <c r="AP55" s="13">
        <v>5</v>
      </c>
      <c r="AQ55" s="21">
        <v>1</v>
      </c>
      <c r="AR55" s="21">
        <v>2</v>
      </c>
      <c r="AS55" s="21">
        <v>2</v>
      </c>
      <c r="AT55" s="21"/>
      <c r="AU55" s="21"/>
      <c r="AV55" s="21"/>
      <c r="AW55" s="21"/>
      <c r="AX55" s="21"/>
      <c r="AY55" s="77"/>
      <c r="AZ55" s="21"/>
      <c r="BA55" s="21"/>
      <c r="BB55" s="21"/>
      <c r="BC55" s="21"/>
      <c r="BD55" s="21"/>
      <c r="BE55" s="21">
        <v>3</v>
      </c>
      <c r="BF55" s="77"/>
      <c r="BG55" s="21"/>
      <c r="BH55" s="21"/>
      <c r="BI55" s="21"/>
      <c r="BJ55" s="21"/>
      <c r="BK55" s="21"/>
      <c r="BL55" s="21"/>
      <c r="BM55" s="77"/>
      <c r="BN55" s="21"/>
      <c r="BO55" s="21"/>
      <c r="BP55" s="21"/>
      <c r="BQ55" s="21"/>
      <c r="BR55" s="21"/>
      <c r="BS55" s="21"/>
      <c r="BT55" s="96">
        <f t="shared" si="9"/>
        <v>8</v>
      </c>
      <c r="BU55" s="94">
        <f t="shared" si="10"/>
        <v>2</v>
      </c>
      <c r="BV55" s="26"/>
      <c r="BW55" s="27"/>
      <c r="BX55" s="19" t="s">
        <v>429</v>
      </c>
      <c r="BY55" s="19" t="b">
        <f t="shared" si="15"/>
        <v>1</v>
      </c>
      <c r="BZ55" s="53" t="s">
        <v>429</v>
      </c>
      <c r="CA55" s="19" t="s">
        <v>785</v>
      </c>
      <c r="CB55" s="19" t="s">
        <v>762</v>
      </c>
      <c r="CC55" s="19" t="s">
        <v>763</v>
      </c>
      <c r="CD55" s="19" t="s">
        <v>706</v>
      </c>
      <c r="CE55" s="19" t="s">
        <v>707</v>
      </c>
      <c r="CF55" s="19" t="s">
        <v>708</v>
      </c>
      <c r="CG55" s="19" t="s">
        <v>709</v>
      </c>
      <c r="CH55" s="19" t="s">
        <v>710</v>
      </c>
      <c r="CI55" s="19" t="s">
        <v>667</v>
      </c>
      <c r="CJ55" s="19" t="s">
        <v>786</v>
      </c>
      <c r="CK55" s="19" t="s">
        <v>787</v>
      </c>
      <c r="CL55" s="19" t="s">
        <v>788</v>
      </c>
      <c r="CM55" s="19" t="s">
        <v>789</v>
      </c>
      <c r="CN55" s="19"/>
      <c r="CO55" s="19"/>
      <c r="CP55" s="19" t="s">
        <v>715</v>
      </c>
      <c r="CQ55" s="19" t="s">
        <v>687</v>
      </c>
      <c r="CR55" s="19" t="s">
        <v>716</v>
      </c>
      <c r="CS55" s="19" t="s">
        <v>717</v>
      </c>
      <c r="CT55" s="19"/>
      <c r="CU55" s="19"/>
      <c r="CV55" s="19"/>
      <c r="CW55" s="19"/>
      <c r="CX55" s="19"/>
      <c r="CY55" s="19"/>
      <c r="CZ55" s="19"/>
      <c r="DA55" s="19"/>
      <c r="DB55" s="19"/>
      <c r="DC55" s="19"/>
    </row>
    <row r="56" spans="1:107" s="7" customFormat="1" x14ac:dyDescent="0.25">
      <c r="A56" s="19" t="s">
        <v>81</v>
      </c>
      <c r="B56" s="19" t="s">
        <v>1740</v>
      </c>
      <c r="C56" s="19" t="str">
        <f t="shared" ref="C56:C60" si="19">D56&amp;B56</f>
        <v>86002197UGANDA</v>
      </c>
      <c r="D56" s="19">
        <v>86002197</v>
      </c>
      <c r="E56" s="19" t="s">
        <v>241</v>
      </c>
      <c r="F56" s="19" t="s">
        <v>1836</v>
      </c>
      <c r="G56" s="20" t="s">
        <v>1836</v>
      </c>
      <c r="H56" s="19"/>
      <c r="I56" s="19" t="s">
        <v>230</v>
      </c>
      <c r="J56" s="19" t="s">
        <v>337</v>
      </c>
      <c r="K56" s="19" t="s">
        <v>331</v>
      </c>
      <c r="L56" s="19" t="s">
        <v>332</v>
      </c>
      <c r="M56" s="19" t="s">
        <v>234</v>
      </c>
      <c r="N56" s="19" t="s">
        <v>254</v>
      </c>
      <c r="O56" s="19" t="s">
        <v>335</v>
      </c>
      <c r="P56" s="51" t="s">
        <v>237</v>
      </c>
      <c r="Q56" s="19" t="s">
        <v>333</v>
      </c>
      <c r="R56" s="19">
        <v>3100</v>
      </c>
      <c r="S56" s="19" t="s">
        <v>239</v>
      </c>
      <c r="T56" s="19" t="s">
        <v>240</v>
      </c>
      <c r="U56" s="20" t="s">
        <v>240</v>
      </c>
      <c r="V56" s="19" t="s">
        <v>1778</v>
      </c>
      <c r="W56" s="19" t="s">
        <v>219</v>
      </c>
      <c r="X56" s="35"/>
      <c r="Y56" s="35"/>
      <c r="Z56" s="32"/>
      <c r="AA56" s="22"/>
      <c r="AB56" s="22">
        <v>1</v>
      </c>
      <c r="AC56" s="22"/>
      <c r="AD56" s="22"/>
      <c r="AE56" s="61">
        <v>1</v>
      </c>
      <c r="AF56" s="22"/>
      <c r="AG56" s="40">
        <v>1</v>
      </c>
      <c r="AH56" s="24">
        <v>1</v>
      </c>
      <c r="AI56" s="24"/>
      <c r="AJ56" s="23">
        <v>0</v>
      </c>
      <c r="AK56" s="25"/>
      <c r="AL56" s="25"/>
      <c r="AM56" s="25"/>
      <c r="AN56" s="25"/>
      <c r="AO56" s="25">
        <f t="shared" ref="AO56:AO60" si="20">SUM(AK56:AN56)</f>
        <v>0</v>
      </c>
      <c r="AP56" s="13">
        <v>1</v>
      </c>
      <c r="AQ56" s="21"/>
      <c r="AR56" s="21"/>
      <c r="AS56" s="21">
        <v>1</v>
      </c>
      <c r="AT56" s="21"/>
      <c r="AU56" s="21"/>
      <c r="AV56" s="21"/>
      <c r="AW56" s="21"/>
      <c r="AX56" s="21"/>
      <c r="AY56" s="77"/>
      <c r="AZ56" s="21"/>
      <c r="BA56" s="21"/>
      <c r="BB56" s="21"/>
      <c r="BC56" s="21"/>
      <c r="BD56" s="21"/>
      <c r="BE56" s="21"/>
      <c r="BF56" s="77"/>
      <c r="BG56" s="21"/>
      <c r="BH56" s="21"/>
      <c r="BI56" s="21"/>
      <c r="BJ56" s="21"/>
      <c r="BK56" s="21"/>
      <c r="BL56" s="21"/>
      <c r="BM56" s="77"/>
      <c r="BN56" s="21"/>
      <c r="BO56" s="21"/>
      <c r="BP56" s="21"/>
      <c r="BQ56" s="21"/>
      <c r="BR56" s="21"/>
      <c r="BS56" s="21"/>
      <c r="BT56" s="96">
        <f t="shared" si="9"/>
        <v>1</v>
      </c>
      <c r="BU56" s="94">
        <f t="shared" si="10"/>
        <v>-1</v>
      </c>
      <c r="BV56" s="26"/>
      <c r="BW56" s="27"/>
      <c r="BX56" s="19" t="s">
        <v>1836</v>
      </c>
      <c r="BY56" s="19" t="b">
        <f t="shared" ref="BY56:BY60" si="21">BZ56=BX56</f>
        <v>1</v>
      </c>
      <c r="BZ56" s="53" t="s">
        <v>1836</v>
      </c>
      <c r="CA56" s="19" t="s">
        <v>1963</v>
      </c>
      <c r="CB56" s="19" t="s">
        <v>1961</v>
      </c>
      <c r="CC56" s="19" t="s">
        <v>1962</v>
      </c>
      <c r="CD56" s="19" t="s">
        <v>1964</v>
      </c>
      <c r="CE56" s="19" t="s">
        <v>1870</v>
      </c>
      <c r="CF56" s="19" t="s">
        <v>1965</v>
      </c>
      <c r="CG56" s="19" t="s">
        <v>1966</v>
      </c>
      <c r="CH56" s="19" t="s">
        <v>1394</v>
      </c>
      <c r="CI56" s="19" t="s">
        <v>1395</v>
      </c>
      <c r="CJ56" s="19" t="s">
        <v>1967</v>
      </c>
      <c r="CK56" s="19" t="s">
        <v>1968</v>
      </c>
      <c r="CL56" s="19" t="s">
        <v>1969</v>
      </c>
      <c r="CM56" s="19" t="s">
        <v>1970</v>
      </c>
      <c r="CN56" s="19" t="s">
        <v>1383</v>
      </c>
      <c r="CO56" s="19" t="s">
        <v>1384</v>
      </c>
      <c r="CP56" s="19" t="s">
        <v>1388</v>
      </c>
      <c r="CQ56" s="19" t="s">
        <v>1389</v>
      </c>
      <c r="CR56" s="19" t="s">
        <v>1971</v>
      </c>
      <c r="CS56" s="19" t="s">
        <v>1972</v>
      </c>
      <c r="CT56" s="19"/>
      <c r="CU56" s="19"/>
      <c r="CV56" s="19"/>
      <c r="CW56" s="19"/>
      <c r="CX56" s="19"/>
      <c r="CY56" s="19"/>
      <c r="CZ56" s="19"/>
      <c r="DA56" s="19"/>
      <c r="DB56" s="19"/>
      <c r="DC56" s="19"/>
    </row>
    <row r="57" spans="1:107" s="7" customFormat="1" x14ac:dyDescent="0.25">
      <c r="A57" s="19" t="s">
        <v>228</v>
      </c>
      <c r="B57" s="19" t="s">
        <v>80</v>
      </c>
      <c r="C57" s="19" t="str">
        <f t="shared" si="19"/>
        <v>94550293India</v>
      </c>
      <c r="D57" s="19">
        <v>94550293</v>
      </c>
      <c r="E57" s="19" t="s">
        <v>241</v>
      </c>
      <c r="F57" s="19" t="s">
        <v>414</v>
      </c>
      <c r="G57" s="20" t="s">
        <v>414</v>
      </c>
      <c r="H57" s="19"/>
      <c r="I57" s="19" t="s">
        <v>230</v>
      </c>
      <c r="J57" s="19" t="s">
        <v>243</v>
      </c>
      <c r="K57" s="19" t="s">
        <v>331</v>
      </c>
      <c r="L57" s="19" t="s">
        <v>332</v>
      </c>
      <c r="M57" s="19" t="s">
        <v>298</v>
      </c>
      <c r="N57" s="19" t="s">
        <v>254</v>
      </c>
      <c r="O57" s="19" t="s">
        <v>395</v>
      </c>
      <c r="P57" s="51" t="s">
        <v>237</v>
      </c>
      <c r="Q57" s="19" t="s">
        <v>333</v>
      </c>
      <c r="R57" s="19">
        <v>3100</v>
      </c>
      <c r="S57" s="19" t="s">
        <v>239</v>
      </c>
      <c r="T57" s="19" t="s">
        <v>240</v>
      </c>
      <c r="U57" s="20" t="s">
        <v>240</v>
      </c>
      <c r="V57" s="19" t="s">
        <v>150</v>
      </c>
      <c r="W57" s="19" t="s">
        <v>1814</v>
      </c>
      <c r="X57" s="35">
        <v>2</v>
      </c>
      <c r="Y57" s="35">
        <v>2</v>
      </c>
      <c r="Z57" s="32"/>
      <c r="AA57" s="22"/>
      <c r="AB57" s="22"/>
      <c r="AC57" s="22"/>
      <c r="AD57" s="22"/>
      <c r="AE57" s="61">
        <v>0</v>
      </c>
      <c r="AF57" s="22"/>
      <c r="AG57" s="40">
        <v>0</v>
      </c>
      <c r="AH57" s="24"/>
      <c r="AI57" s="24"/>
      <c r="AJ57" s="23">
        <v>0</v>
      </c>
      <c r="AK57" s="25"/>
      <c r="AL57" s="25"/>
      <c r="AM57" s="25"/>
      <c r="AN57" s="25"/>
      <c r="AO57" s="25">
        <f t="shared" si="20"/>
        <v>0</v>
      </c>
      <c r="AP57" s="13"/>
      <c r="AQ57" s="21"/>
      <c r="AR57" s="21"/>
      <c r="AS57" s="21"/>
      <c r="AT57" s="21"/>
      <c r="AU57" s="21"/>
      <c r="AV57" s="21"/>
      <c r="AW57" s="21"/>
      <c r="AX57" s="21"/>
      <c r="AY57" s="77"/>
      <c r="AZ57" s="21"/>
      <c r="BA57" s="21"/>
      <c r="BB57" s="21"/>
      <c r="BC57" s="21"/>
      <c r="BD57" s="21"/>
      <c r="BE57" s="21"/>
      <c r="BF57" s="77"/>
      <c r="BG57" s="21"/>
      <c r="BH57" s="21"/>
      <c r="BI57" s="21"/>
      <c r="BJ57" s="21"/>
      <c r="BK57" s="21"/>
      <c r="BL57" s="21"/>
      <c r="BM57" s="77"/>
      <c r="BN57" s="21"/>
      <c r="BO57" s="21"/>
      <c r="BP57" s="21"/>
      <c r="BQ57" s="21"/>
      <c r="BR57" s="21"/>
      <c r="BS57" s="21"/>
      <c r="BT57" s="96">
        <f t="shared" si="9"/>
        <v>0</v>
      </c>
      <c r="BU57" s="94">
        <f t="shared" si="10"/>
        <v>0</v>
      </c>
      <c r="BV57" s="26"/>
      <c r="BW57" s="27"/>
      <c r="BX57" s="19" t="s">
        <v>414</v>
      </c>
      <c r="BY57" s="19" t="b">
        <f t="shared" si="21"/>
        <v>1</v>
      </c>
      <c r="BZ57" s="53" t="s">
        <v>414</v>
      </c>
      <c r="CA57" s="19" t="s">
        <v>1398</v>
      </c>
      <c r="CB57" s="19" t="s">
        <v>1961</v>
      </c>
      <c r="CC57" s="19" t="s">
        <v>1962</v>
      </c>
      <c r="CD57" s="19" t="s">
        <v>1396</v>
      </c>
      <c r="CE57" s="19" t="s">
        <v>1397</v>
      </c>
      <c r="CF57" s="19" t="s">
        <v>1399</v>
      </c>
      <c r="CG57" s="19" t="s">
        <v>1400</v>
      </c>
      <c r="CH57" s="19" t="s">
        <v>1394</v>
      </c>
      <c r="CI57" s="19" t="s">
        <v>1395</v>
      </c>
      <c r="CJ57" s="19" t="s">
        <v>1401</v>
      </c>
      <c r="CK57" s="19" t="s">
        <v>1402</v>
      </c>
      <c r="CL57" s="19" t="s">
        <v>1403</v>
      </c>
      <c r="CM57" s="19" t="s">
        <v>1404</v>
      </c>
      <c r="CN57" s="19" t="s">
        <v>1383</v>
      </c>
      <c r="CO57" s="19" t="s">
        <v>1384</v>
      </c>
      <c r="CP57" s="19" t="s">
        <v>1388</v>
      </c>
      <c r="CQ57" s="19" t="s">
        <v>1389</v>
      </c>
      <c r="CR57" s="19" t="s">
        <v>1405</v>
      </c>
      <c r="CS57" s="19" t="s">
        <v>1406</v>
      </c>
      <c r="CT57" s="19"/>
      <c r="CU57" s="19"/>
      <c r="CV57" s="19"/>
      <c r="CW57" s="19"/>
      <c r="CX57" s="19"/>
      <c r="CY57" s="19"/>
      <c r="CZ57" s="19"/>
      <c r="DA57" s="19"/>
      <c r="DB57" s="19"/>
      <c r="DC57" s="19"/>
    </row>
    <row r="58" spans="1:107" s="7" customFormat="1" x14ac:dyDescent="0.25">
      <c r="A58" s="19" t="s">
        <v>228</v>
      </c>
      <c r="B58" s="19" t="s">
        <v>80</v>
      </c>
      <c r="C58" s="19" t="str">
        <f t="shared" si="19"/>
        <v>94550291India</v>
      </c>
      <c r="D58" s="19">
        <v>94550291</v>
      </c>
      <c r="E58" s="19" t="s">
        <v>241</v>
      </c>
      <c r="F58" s="19" t="s">
        <v>414</v>
      </c>
      <c r="G58" s="20" t="s">
        <v>414</v>
      </c>
      <c r="H58" s="19"/>
      <c r="I58" s="19" t="s">
        <v>230</v>
      </c>
      <c r="J58" s="19" t="s">
        <v>243</v>
      </c>
      <c r="K58" s="19" t="s">
        <v>331</v>
      </c>
      <c r="L58" s="19" t="s">
        <v>332</v>
      </c>
      <c r="M58" s="19" t="s">
        <v>298</v>
      </c>
      <c r="N58" s="19" t="s">
        <v>254</v>
      </c>
      <c r="O58" s="19" t="s">
        <v>335</v>
      </c>
      <c r="P58" s="51" t="s">
        <v>237</v>
      </c>
      <c r="Q58" s="19" t="s">
        <v>333</v>
      </c>
      <c r="R58" s="19">
        <v>3100</v>
      </c>
      <c r="S58" s="19" t="s">
        <v>239</v>
      </c>
      <c r="T58" s="19" t="s">
        <v>240</v>
      </c>
      <c r="U58" s="20" t="s">
        <v>240</v>
      </c>
      <c r="V58" s="19" t="s">
        <v>152</v>
      </c>
      <c r="W58" s="19" t="s">
        <v>1814</v>
      </c>
      <c r="X58" s="35">
        <v>9</v>
      </c>
      <c r="Y58" s="35">
        <v>9</v>
      </c>
      <c r="Z58" s="32"/>
      <c r="AA58" s="22">
        <v>2</v>
      </c>
      <c r="AB58" s="22">
        <v>4</v>
      </c>
      <c r="AC58" s="22"/>
      <c r="AD58" s="22"/>
      <c r="AE58" s="61">
        <v>6</v>
      </c>
      <c r="AF58" s="22"/>
      <c r="AG58" s="40">
        <v>6</v>
      </c>
      <c r="AH58" s="24"/>
      <c r="AI58" s="24"/>
      <c r="AJ58" s="23">
        <v>6</v>
      </c>
      <c r="AK58" s="25"/>
      <c r="AL58" s="25">
        <v>6</v>
      </c>
      <c r="AM58" s="25"/>
      <c r="AN58" s="25"/>
      <c r="AO58" s="25">
        <f t="shared" si="20"/>
        <v>6</v>
      </c>
      <c r="AP58" s="13"/>
      <c r="AQ58" s="21"/>
      <c r="AR58" s="21"/>
      <c r="AS58" s="21"/>
      <c r="AT58" s="21"/>
      <c r="AU58" s="21"/>
      <c r="AV58" s="21"/>
      <c r="AW58" s="21"/>
      <c r="AX58" s="21"/>
      <c r="AY58" s="77"/>
      <c r="AZ58" s="21"/>
      <c r="BA58" s="21"/>
      <c r="BB58" s="21"/>
      <c r="BC58" s="21">
        <v>3</v>
      </c>
      <c r="BD58" s="21">
        <v>3</v>
      </c>
      <c r="BE58" s="21"/>
      <c r="BF58" s="77"/>
      <c r="BG58" s="21"/>
      <c r="BH58" s="21"/>
      <c r="BI58" s="21"/>
      <c r="BJ58" s="21"/>
      <c r="BK58" s="21"/>
      <c r="BL58" s="21"/>
      <c r="BM58" s="77"/>
      <c r="BN58" s="21"/>
      <c r="BO58" s="21"/>
      <c r="BP58" s="21"/>
      <c r="BQ58" s="21"/>
      <c r="BR58" s="21"/>
      <c r="BS58" s="21"/>
      <c r="BT58" s="96">
        <f t="shared" si="9"/>
        <v>6</v>
      </c>
      <c r="BU58" s="94">
        <f t="shared" si="10"/>
        <v>0</v>
      </c>
      <c r="BV58" s="26"/>
      <c r="BW58" s="27"/>
      <c r="BX58" s="19" t="s">
        <v>414</v>
      </c>
      <c r="BY58" s="19" t="b">
        <f t="shared" si="21"/>
        <v>1</v>
      </c>
      <c r="BZ58" s="53" t="s">
        <v>414</v>
      </c>
      <c r="CA58" s="19" t="s">
        <v>1398</v>
      </c>
      <c r="CB58" s="19" t="s">
        <v>1961</v>
      </c>
      <c r="CC58" s="19" t="s">
        <v>1962</v>
      </c>
      <c r="CD58" s="19" t="s">
        <v>1396</v>
      </c>
      <c r="CE58" s="19" t="s">
        <v>1397</v>
      </c>
      <c r="CF58" s="19" t="s">
        <v>1399</v>
      </c>
      <c r="CG58" s="19" t="s">
        <v>1400</v>
      </c>
      <c r="CH58" s="19" t="s">
        <v>1394</v>
      </c>
      <c r="CI58" s="19" t="s">
        <v>1395</v>
      </c>
      <c r="CJ58" s="19" t="s">
        <v>1401</v>
      </c>
      <c r="CK58" s="19" t="s">
        <v>1402</v>
      </c>
      <c r="CL58" s="19" t="s">
        <v>1403</v>
      </c>
      <c r="CM58" s="19" t="s">
        <v>1404</v>
      </c>
      <c r="CN58" s="19" t="s">
        <v>1383</v>
      </c>
      <c r="CO58" s="19" t="s">
        <v>1384</v>
      </c>
      <c r="CP58" s="19" t="s">
        <v>1388</v>
      </c>
      <c r="CQ58" s="19" t="s">
        <v>1389</v>
      </c>
      <c r="CR58" s="19" t="s">
        <v>1405</v>
      </c>
      <c r="CS58" s="19" t="s">
        <v>1406</v>
      </c>
      <c r="CT58" s="19"/>
      <c r="CU58" s="19"/>
      <c r="CV58" s="19"/>
      <c r="CW58" s="19"/>
      <c r="CX58" s="19"/>
      <c r="CY58" s="19"/>
      <c r="CZ58" s="19"/>
      <c r="DA58" s="19"/>
      <c r="DB58" s="19"/>
      <c r="DC58" s="19"/>
    </row>
    <row r="59" spans="1:107" s="7" customFormat="1" x14ac:dyDescent="0.25">
      <c r="A59" s="19" t="s">
        <v>74</v>
      </c>
      <c r="B59" s="19" t="s">
        <v>78</v>
      </c>
      <c r="C59" s="19" t="str">
        <f t="shared" si="19"/>
        <v>94303150The Commissioner</v>
      </c>
      <c r="D59" s="19">
        <v>94303150</v>
      </c>
      <c r="E59" s="19" t="s">
        <v>241</v>
      </c>
      <c r="F59" s="19" t="s">
        <v>249</v>
      </c>
      <c r="G59" s="20" t="s">
        <v>249</v>
      </c>
      <c r="H59" s="19"/>
      <c r="I59" s="19" t="s">
        <v>230</v>
      </c>
      <c r="J59" s="19" t="s">
        <v>250</v>
      </c>
      <c r="K59" s="19" t="s">
        <v>251</v>
      </c>
      <c r="L59" s="19" t="s">
        <v>252</v>
      </c>
      <c r="M59" s="19" t="s">
        <v>253</v>
      </c>
      <c r="N59" s="19" t="s">
        <v>254</v>
      </c>
      <c r="O59" s="19" t="s">
        <v>255</v>
      </c>
      <c r="P59" s="51" t="s">
        <v>237</v>
      </c>
      <c r="Q59" s="19" t="s">
        <v>256</v>
      </c>
      <c r="R59" s="19">
        <v>3200</v>
      </c>
      <c r="S59" s="19" t="s">
        <v>239</v>
      </c>
      <c r="T59" s="19" t="s">
        <v>240</v>
      </c>
      <c r="U59" s="20" t="s">
        <v>240</v>
      </c>
      <c r="V59" s="19" t="s">
        <v>1749</v>
      </c>
      <c r="W59" s="19" t="s">
        <v>219</v>
      </c>
      <c r="X59" s="35"/>
      <c r="Y59" s="35"/>
      <c r="Z59" s="32"/>
      <c r="AA59" s="22">
        <v>1</v>
      </c>
      <c r="AB59" s="22"/>
      <c r="AC59" s="22"/>
      <c r="AD59" s="22"/>
      <c r="AE59" s="61">
        <v>1</v>
      </c>
      <c r="AF59" s="22"/>
      <c r="AG59" s="40">
        <v>1</v>
      </c>
      <c r="AH59" s="24">
        <v>1</v>
      </c>
      <c r="AI59" s="24"/>
      <c r="AJ59" s="23">
        <v>0</v>
      </c>
      <c r="AK59" s="25"/>
      <c r="AL59" s="25"/>
      <c r="AM59" s="25"/>
      <c r="AN59" s="25"/>
      <c r="AO59" s="25">
        <f t="shared" si="20"/>
        <v>0</v>
      </c>
      <c r="AP59" s="13">
        <v>1</v>
      </c>
      <c r="AQ59" s="21"/>
      <c r="AR59" s="21"/>
      <c r="AS59" s="21">
        <v>1</v>
      </c>
      <c r="AT59" s="21"/>
      <c r="AU59" s="21"/>
      <c r="AV59" s="21"/>
      <c r="AW59" s="21"/>
      <c r="AX59" s="21"/>
      <c r="AY59" s="77"/>
      <c r="AZ59" s="21"/>
      <c r="BA59" s="21"/>
      <c r="BB59" s="21"/>
      <c r="BC59" s="21"/>
      <c r="BD59" s="21"/>
      <c r="BE59" s="21"/>
      <c r="BF59" s="77"/>
      <c r="BG59" s="21"/>
      <c r="BH59" s="21"/>
      <c r="BI59" s="21"/>
      <c r="BJ59" s="21"/>
      <c r="BK59" s="21"/>
      <c r="BL59" s="21"/>
      <c r="BM59" s="77"/>
      <c r="BN59" s="21"/>
      <c r="BO59" s="21"/>
      <c r="BP59" s="21"/>
      <c r="BQ59" s="21"/>
      <c r="BR59" s="21"/>
      <c r="BS59" s="21"/>
      <c r="BT59" s="96">
        <f t="shared" si="9"/>
        <v>1</v>
      </c>
      <c r="BU59" s="94">
        <f t="shared" si="10"/>
        <v>-1</v>
      </c>
      <c r="BV59" s="26"/>
      <c r="BW59" s="27"/>
      <c r="BX59" s="19" t="s">
        <v>249</v>
      </c>
      <c r="BY59" s="19" t="b">
        <f t="shared" si="21"/>
        <v>1</v>
      </c>
      <c r="BZ59" s="53" t="s">
        <v>249</v>
      </c>
      <c r="CA59" s="19" t="s">
        <v>1407</v>
      </c>
      <c r="CB59" s="19" t="s">
        <v>1961</v>
      </c>
      <c r="CC59" s="19" t="s">
        <v>1962</v>
      </c>
      <c r="CD59" s="19" t="s">
        <v>1385</v>
      </c>
      <c r="CE59" s="19" t="s">
        <v>1382</v>
      </c>
      <c r="CF59" s="19" t="s">
        <v>839</v>
      </c>
      <c r="CG59" s="19" t="s">
        <v>840</v>
      </c>
      <c r="CH59" s="19" t="s">
        <v>1386</v>
      </c>
      <c r="CI59" s="19" t="s">
        <v>1387</v>
      </c>
      <c r="CJ59" s="19" t="s">
        <v>1408</v>
      </c>
      <c r="CK59" s="19" t="s">
        <v>1409</v>
      </c>
      <c r="CL59" s="19" t="s">
        <v>1392</v>
      </c>
      <c r="CM59" s="19" t="s">
        <v>1393</v>
      </c>
      <c r="CN59" s="19" t="s">
        <v>1383</v>
      </c>
      <c r="CO59" s="19" t="s">
        <v>1384</v>
      </c>
      <c r="CP59" s="19" t="s">
        <v>1388</v>
      </c>
      <c r="CQ59" s="19" t="s">
        <v>1389</v>
      </c>
      <c r="CR59" s="19" t="s">
        <v>1390</v>
      </c>
      <c r="CS59" s="19" t="s">
        <v>1391</v>
      </c>
      <c r="CT59" s="19"/>
      <c r="CU59" s="19"/>
      <c r="CV59" s="19"/>
      <c r="CW59" s="19"/>
      <c r="CX59" s="19"/>
      <c r="CY59" s="19"/>
      <c r="CZ59" s="19"/>
      <c r="DA59" s="19"/>
      <c r="DB59" s="19"/>
      <c r="DC59" s="19"/>
    </row>
    <row r="60" spans="1:107" s="7" customFormat="1" x14ac:dyDescent="0.25">
      <c r="A60" s="19" t="s">
        <v>74</v>
      </c>
      <c r="B60" s="19" t="s">
        <v>1529</v>
      </c>
      <c r="C60" s="19" t="str">
        <f t="shared" si="19"/>
        <v>94301733Post Office UP</v>
      </c>
      <c r="D60" s="19">
        <v>94301733</v>
      </c>
      <c r="E60" s="19" t="s">
        <v>241</v>
      </c>
      <c r="F60" s="19" t="s">
        <v>1574</v>
      </c>
      <c r="G60" s="20" t="s">
        <v>1574</v>
      </c>
      <c r="H60" s="19"/>
      <c r="I60" s="19" t="s">
        <v>230</v>
      </c>
      <c r="J60" s="19" t="s">
        <v>250</v>
      </c>
      <c r="K60" s="19" t="s">
        <v>405</v>
      </c>
      <c r="L60" s="19" t="s">
        <v>260</v>
      </c>
      <c r="M60" s="19" t="s">
        <v>253</v>
      </c>
      <c r="N60" s="19" t="s">
        <v>254</v>
      </c>
      <c r="O60" s="19" t="s">
        <v>255</v>
      </c>
      <c r="P60" s="51" t="s">
        <v>237</v>
      </c>
      <c r="Q60" s="19" t="s">
        <v>256</v>
      </c>
      <c r="R60" s="19">
        <v>3200</v>
      </c>
      <c r="S60" s="19" t="s">
        <v>239</v>
      </c>
      <c r="T60" s="19" t="s">
        <v>240</v>
      </c>
      <c r="U60" s="20" t="s">
        <v>240</v>
      </c>
      <c r="V60" s="19" t="s">
        <v>1750</v>
      </c>
      <c r="W60" s="19" t="s">
        <v>219</v>
      </c>
      <c r="X60" s="35"/>
      <c r="Y60" s="35"/>
      <c r="Z60" s="32"/>
      <c r="AA60" s="22">
        <v>1</v>
      </c>
      <c r="AB60" s="22"/>
      <c r="AC60" s="22"/>
      <c r="AD60" s="22"/>
      <c r="AE60" s="61">
        <v>1</v>
      </c>
      <c r="AF60" s="22"/>
      <c r="AG60" s="40">
        <v>1</v>
      </c>
      <c r="AH60" s="24">
        <v>1</v>
      </c>
      <c r="AI60" s="24"/>
      <c r="AJ60" s="23">
        <v>0</v>
      </c>
      <c r="AK60" s="25"/>
      <c r="AL60" s="25"/>
      <c r="AM60" s="25"/>
      <c r="AN60" s="25"/>
      <c r="AO60" s="25">
        <f t="shared" si="20"/>
        <v>0</v>
      </c>
      <c r="AP60" s="13">
        <v>1</v>
      </c>
      <c r="AQ60" s="21"/>
      <c r="AR60" s="21"/>
      <c r="AS60" s="21">
        <v>1</v>
      </c>
      <c r="AT60" s="21"/>
      <c r="AU60" s="21"/>
      <c r="AV60" s="21"/>
      <c r="AW60" s="21"/>
      <c r="AX60" s="21"/>
      <c r="AY60" s="77"/>
      <c r="AZ60" s="21"/>
      <c r="BA60" s="21"/>
      <c r="BB60" s="21"/>
      <c r="BC60" s="21"/>
      <c r="BD60" s="21"/>
      <c r="BE60" s="21"/>
      <c r="BF60" s="77"/>
      <c r="BG60" s="21"/>
      <c r="BH60" s="21"/>
      <c r="BI60" s="21"/>
      <c r="BJ60" s="21"/>
      <c r="BK60" s="21"/>
      <c r="BL60" s="21"/>
      <c r="BM60" s="77"/>
      <c r="BN60" s="21"/>
      <c r="BO60" s="21"/>
      <c r="BP60" s="21"/>
      <c r="BQ60" s="21"/>
      <c r="BR60" s="21"/>
      <c r="BS60" s="21"/>
      <c r="BT60" s="96">
        <f t="shared" si="9"/>
        <v>1</v>
      </c>
      <c r="BU60" s="94">
        <f t="shared" si="10"/>
        <v>-1</v>
      </c>
      <c r="BV60" s="26"/>
      <c r="BW60" s="27"/>
      <c r="BX60" s="19" t="s">
        <v>1574</v>
      </c>
      <c r="BY60" s="19" t="b">
        <f t="shared" si="21"/>
        <v>1</v>
      </c>
      <c r="BZ60" s="53" t="s">
        <v>1574</v>
      </c>
      <c r="CA60" s="19" t="s">
        <v>1687</v>
      </c>
      <c r="CB60" s="19" t="s">
        <v>1961</v>
      </c>
      <c r="CC60" s="19" t="s">
        <v>1962</v>
      </c>
      <c r="CD60" s="19" t="s">
        <v>1385</v>
      </c>
      <c r="CE60" s="19" t="s">
        <v>1382</v>
      </c>
      <c r="CF60" s="19" t="s">
        <v>839</v>
      </c>
      <c r="CG60" s="19" t="s">
        <v>840</v>
      </c>
      <c r="CH60" s="19" t="s">
        <v>1386</v>
      </c>
      <c r="CI60" s="19" t="s">
        <v>1387</v>
      </c>
      <c r="CJ60" s="19" t="s">
        <v>1411</v>
      </c>
      <c r="CK60" s="19" t="s">
        <v>1412</v>
      </c>
      <c r="CL60" s="19" t="s">
        <v>1688</v>
      </c>
      <c r="CM60" s="19" t="s">
        <v>1689</v>
      </c>
      <c r="CN60" s="19" t="s">
        <v>1383</v>
      </c>
      <c r="CO60" s="19" t="s">
        <v>1384</v>
      </c>
      <c r="CP60" s="19" t="s">
        <v>1388</v>
      </c>
      <c r="CQ60" s="19" t="s">
        <v>1389</v>
      </c>
      <c r="CR60" s="19" t="s">
        <v>1390</v>
      </c>
      <c r="CS60" s="19" t="s">
        <v>1391</v>
      </c>
      <c r="CT60" s="19"/>
      <c r="CU60" s="19"/>
      <c r="CV60" s="19"/>
      <c r="CW60" s="19"/>
      <c r="CX60" s="19"/>
      <c r="CY60" s="19"/>
      <c r="CZ60" s="19"/>
      <c r="DA60" s="19"/>
      <c r="DB60" s="19"/>
      <c r="DC60" s="19"/>
    </row>
    <row r="61" spans="1:107" s="7" customFormat="1" x14ac:dyDescent="0.25">
      <c r="A61" s="19" t="s">
        <v>74</v>
      </c>
      <c r="B61" s="19" t="s">
        <v>1733</v>
      </c>
      <c r="C61" s="19" t="str">
        <f t="shared" ref="C61:C70" si="22">D61&amp;B61</f>
        <v xml:space="preserve">94758561MP Police </v>
      </c>
      <c r="D61" s="19">
        <v>94758561</v>
      </c>
      <c r="E61" s="19" t="s">
        <v>241</v>
      </c>
      <c r="F61" s="19" t="s">
        <v>1864</v>
      </c>
      <c r="G61" s="20" t="s">
        <v>1864</v>
      </c>
      <c r="H61" s="19"/>
      <c r="I61" s="19" t="s">
        <v>230</v>
      </c>
      <c r="J61" s="19" t="s">
        <v>243</v>
      </c>
      <c r="K61" s="89" t="s">
        <v>1577</v>
      </c>
      <c r="L61" s="19" t="s">
        <v>245</v>
      </c>
      <c r="M61" s="19" t="s">
        <v>1578</v>
      </c>
      <c r="N61" s="19" t="s">
        <v>247</v>
      </c>
      <c r="O61" s="19" t="s">
        <v>1862</v>
      </c>
      <c r="P61" s="51" t="s">
        <v>237</v>
      </c>
      <c r="Q61" s="19" t="s">
        <v>259</v>
      </c>
      <c r="R61" s="19">
        <v>3600</v>
      </c>
      <c r="S61" s="19" t="s">
        <v>239</v>
      </c>
      <c r="T61" s="19" t="s">
        <v>240</v>
      </c>
      <c r="U61" s="20" t="s">
        <v>240</v>
      </c>
      <c r="V61" s="19" t="s">
        <v>1752</v>
      </c>
      <c r="W61" s="19" t="s">
        <v>219</v>
      </c>
      <c r="X61" s="35"/>
      <c r="Y61" s="35"/>
      <c r="Z61" s="32"/>
      <c r="AA61" s="22">
        <v>7</v>
      </c>
      <c r="AB61" s="22"/>
      <c r="AC61" s="22"/>
      <c r="AD61" s="22"/>
      <c r="AE61" s="61">
        <v>7</v>
      </c>
      <c r="AF61" s="22"/>
      <c r="AG61" s="40">
        <v>7</v>
      </c>
      <c r="AH61" s="24">
        <v>7</v>
      </c>
      <c r="AI61" s="24"/>
      <c r="AJ61" s="23">
        <v>0</v>
      </c>
      <c r="AK61" s="25"/>
      <c r="AL61" s="25"/>
      <c r="AM61" s="25"/>
      <c r="AN61" s="25"/>
      <c r="AO61" s="25">
        <f t="shared" ref="AO61:AO70" si="23">SUM(AK61:AN61)</f>
        <v>0</v>
      </c>
      <c r="AP61" s="13">
        <v>7</v>
      </c>
      <c r="AQ61" s="21">
        <v>2</v>
      </c>
      <c r="AR61" s="21">
        <v>2</v>
      </c>
      <c r="AS61" s="21">
        <v>3</v>
      </c>
      <c r="AT61" s="21"/>
      <c r="AU61" s="21"/>
      <c r="AV61" s="21"/>
      <c r="AW61" s="21"/>
      <c r="AX61" s="21"/>
      <c r="AY61" s="77"/>
      <c r="AZ61" s="21"/>
      <c r="BA61" s="21"/>
      <c r="BB61" s="21"/>
      <c r="BC61" s="21"/>
      <c r="BD61" s="21"/>
      <c r="BE61" s="21"/>
      <c r="BF61" s="77"/>
      <c r="BG61" s="21"/>
      <c r="BH61" s="21"/>
      <c r="BI61" s="21"/>
      <c r="BJ61" s="21"/>
      <c r="BK61" s="21"/>
      <c r="BL61" s="21"/>
      <c r="BM61" s="77"/>
      <c r="BN61" s="21"/>
      <c r="BO61" s="21"/>
      <c r="BP61" s="21"/>
      <c r="BQ61" s="21"/>
      <c r="BR61" s="21"/>
      <c r="BS61" s="21"/>
      <c r="BT61" s="96">
        <f t="shared" si="9"/>
        <v>7</v>
      </c>
      <c r="BU61" s="94">
        <f t="shared" si="10"/>
        <v>-7</v>
      </c>
      <c r="BV61" s="26"/>
      <c r="BW61" s="27"/>
      <c r="BX61" s="19" t="s">
        <v>1864</v>
      </c>
      <c r="BY61" s="19" t="b">
        <f t="shared" ref="BY61:BY70" si="24">BZ61=BX61</f>
        <v>1</v>
      </c>
      <c r="BZ61" s="53" t="s">
        <v>1864</v>
      </c>
      <c r="CA61" s="19" t="s">
        <v>1974</v>
      </c>
      <c r="CB61" s="19" t="s">
        <v>809</v>
      </c>
      <c r="CC61" s="19" t="s">
        <v>1973</v>
      </c>
      <c r="CD61" s="19" t="s">
        <v>1695</v>
      </c>
      <c r="CE61" s="19" t="s">
        <v>1696</v>
      </c>
      <c r="CF61" s="19" t="s">
        <v>898</v>
      </c>
      <c r="CG61" s="19" t="s">
        <v>899</v>
      </c>
      <c r="CH61" s="19" t="s">
        <v>1697</v>
      </c>
      <c r="CI61" s="19" t="s">
        <v>1698</v>
      </c>
      <c r="CJ61" s="19" t="s">
        <v>1699</v>
      </c>
      <c r="CK61" s="19" t="s">
        <v>1432</v>
      </c>
      <c r="CL61" s="19" t="s">
        <v>1975</v>
      </c>
      <c r="CM61" s="19" t="s">
        <v>1976</v>
      </c>
      <c r="CN61" s="19" t="s">
        <v>820</v>
      </c>
      <c r="CO61" s="19" t="s">
        <v>821</v>
      </c>
      <c r="CP61" s="19" t="s">
        <v>1702</v>
      </c>
      <c r="CQ61" s="19" t="s">
        <v>1703</v>
      </c>
      <c r="CR61" s="19" t="s">
        <v>1704</v>
      </c>
      <c r="CS61" s="19" t="s">
        <v>1705</v>
      </c>
      <c r="CT61" s="19"/>
      <c r="CU61" s="19"/>
      <c r="CV61" s="19"/>
      <c r="CW61" s="19"/>
      <c r="CX61" s="19"/>
      <c r="CY61" s="19"/>
      <c r="CZ61" s="19"/>
      <c r="DA61" s="19"/>
      <c r="DB61" s="19"/>
      <c r="DC61" s="19"/>
    </row>
    <row r="62" spans="1:107" s="7" customFormat="1" x14ac:dyDescent="0.25">
      <c r="A62" s="19" t="s">
        <v>74</v>
      </c>
      <c r="B62" s="19" t="s">
        <v>1737</v>
      </c>
      <c r="C62" s="19" t="str">
        <f t="shared" si="22"/>
        <v>94703635CRPF (43)</v>
      </c>
      <c r="D62" s="19">
        <v>94703635</v>
      </c>
      <c r="E62" s="19" t="s">
        <v>241</v>
      </c>
      <c r="F62" s="19" t="s">
        <v>229</v>
      </c>
      <c r="G62" s="101" t="s">
        <v>2024</v>
      </c>
      <c r="H62" s="19"/>
      <c r="I62" s="19" t="s">
        <v>230</v>
      </c>
      <c r="J62" s="19" t="s">
        <v>243</v>
      </c>
      <c r="K62" s="90" t="s">
        <v>1863</v>
      </c>
      <c r="L62" s="19" t="s">
        <v>252</v>
      </c>
      <c r="M62" s="19" t="s">
        <v>246</v>
      </c>
      <c r="N62" s="19" t="s">
        <v>247</v>
      </c>
      <c r="O62" s="19" t="s">
        <v>1583</v>
      </c>
      <c r="P62" s="51" t="s">
        <v>237</v>
      </c>
      <c r="Q62" s="19" t="s">
        <v>259</v>
      </c>
      <c r="R62" s="19">
        <v>3600</v>
      </c>
      <c r="S62" s="19" t="s">
        <v>239</v>
      </c>
      <c r="T62" s="19" t="s">
        <v>240</v>
      </c>
      <c r="U62" s="20" t="s">
        <v>240</v>
      </c>
      <c r="V62" s="19" t="s">
        <v>2014</v>
      </c>
      <c r="W62" s="19" t="s">
        <v>219</v>
      </c>
      <c r="X62" s="35"/>
      <c r="Y62" s="35"/>
      <c r="Z62" s="32"/>
      <c r="AA62" s="22">
        <v>43</v>
      </c>
      <c r="AB62" s="22"/>
      <c r="AC62" s="22"/>
      <c r="AD62" s="22"/>
      <c r="AE62" s="61">
        <v>43</v>
      </c>
      <c r="AF62" s="22"/>
      <c r="AG62" s="40">
        <v>43</v>
      </c>
      <c r="AH62" s="24"/>
      <c r="AI62" s="24"/>
      <c r="AJ62" s="23">
        <v>43</v>
      </c>
      <c r="AK62" s="25"/>
      <c r="AL62" s="25"/>
      <c r="AM62" s="25"/>
      <c r="AN62" s="25"/>
      <c r="AO62" s="25">
        <f t="shared" si="23"/>
        <v>0</v>
      </c>
      <c r="AP62" s="13"/>
      <c r="AQ62" s="21"/>
      <c r="AR62" s="21"/>
      <c r="AS62" s="21"/>
      <c r="AT62" s="21"/>
      <c r="AU62" s="21"/>
      <c r="AV62" s="21"/>
      <c r="AW62" s="21"/>
      <c r="AX62" s="21"/>
      <c r="AY62" s="77"/>
      <c r="AZ62" s="21"/>
      <c r="BA62" s="21"/>
      <c r="BB62" s="21"/>
      <c r="BC62" s="21"/>
      <c r="BD62" s="21">
        <v>8</v>
      </c>
      <c r="BE62" s="21">
        <v>8</v>
      </c>
      <c r="BF62" s="77"/>
      <c r="BG62" s="21">
        <v>8</v>
      </c>
      <c r="BH62" s="21">
        <v>8</v>
      </c>
      <c r="BI62" s="21">
        <v>8</v>
      </c>
      <c r="BJ62" s="21">
        <v>3</v>
      </c>
      <c r="BK62" s="21"/>
      <c r="BL62" s="21"/>
      <c r="BM62" s="77"/>
      <c r="BN62" s="21"/>
      <c r="BO62" s="21"/>
      <c r="BP62" s="21"/>
      <c r="BQ62" s="21"/>
      <c r="BR62" s="21"/>
      <c r="BS62" s="21"/>
      <c r="BT62" s="96">
        <f t="shared" si="9"/>
        <v>43</v>
      </c>
      <c r="BU62" s="94">
        <f t="shared" si="10"/>
        <v>-43</v>
      </c>
      <c r="BV62" s="26"/>
      <c r="BW62" s="27"/>
      <c r="BX62" s="19" t="s">
        <v>229</v>
      </c>
      <c r="BY62" s="19" t="b">
        <f t="shared" si="24"/>
        <v>0</v>
      </c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</row>
    <row r="63" spans="1:107" s="7" customFormat="1" x14ac:dyDescent="0.25">
      <c r="A63" s="19" t="s">
        <v>228</v>
      </c>
      <c r="B63" s="19" t="s">
        <v>80</v>
      </c>
      <c r="C63" s="19" t="str">
        <f t="shared" si="22"/>
        <v>94959450India</v>
      </c>
      <c r="D63" s="19">
        <v>94959450</v>
      </c>
      <c r="E63" s="19" t="s">
        <v>241</v>
      </c>
      <c r="F63" s="19" t="s">
        <v>394</v>
      </c>
      <c r="G63" s="20" t="s">
        <v>394</v>
      </c>
      <c r="H63" s="19"/>
      <c r="I63" s="19" t="s">
        <v>230</v>
      </c>
      <c r="J63" s="19" t="s">
        <v>243</v>
      </c>
      <c r="K63" s="19" t="s">
        <v>393</v>
      </c>
      <c r="L63" s="19" t="s">
        <v>264</v>
      </c>
      <c r="M63" s="19" t="s">
        <v>298</v>
      </c>
      <c r="N63" s="19" t="s">
        <v>247</v>
      </c>
      <c r="O63" s="19" t="s">
        <v>395</v>
      </c>
      <c r="P63" s="51" t="s">
        <v>237</v>
      </c>
      <c r="Q63" s="19" t="s">
        <v>259</v>
      </c>
      <c r="R63" s="19">
        <v>3600</v>
      </c>
      <c r="S63" s="19" t="s">
        <v>239</v>
      </c>
      <c r="T63" s="19" t="s">
        <v>240</v>
      </c>
      <c r="U63" s="20" t="s">
        <v>240</v>
      </c>
      <c r="V63" s="19" t="s">
        <v>143</v>
      </c>
      <c r="W63" s="19" t="s">
        <v>219</v>
      </c>
      <c r="X63" s="35">
        <v>12</v>
      </c>
      <c r="Y63" s="35">
        <v>12</v>
      </c>
      <c r="Z63" s="32"/>
      <c r="AA63" s="22"/>
      <c r="AB63" s="22"/>
      <c r="AC63" s="22"/>
      <c r="AD63" s="22">
        <v>3</v>
      </c>
      <c r="AE63" s="61">
        <v>3</v>
      </c>
      <c r="AF63" s="22"/>
      <c r="AG63" s="40">
        <v>3</v>
      </c>
      <c r="AH63" s="24"/>
      <c r="AI63" s="24"/>
      <c r="AJ63" s="23">
        <v>3</v>
      </c>
      <c r="AK63" s="25"/>
      <c r="AL63" s="25">
        <v>3</v>
      </c>
      <c r="AM63" s="25"/>
      <c r="AN63" s="25"/>
      <c r="AO63" s="25">
        <f t="shared" si="23"/>
        <v>3</v>
      </c>
      <c r="AP63" s="13"/>
      <c r="AQ63" s="21"/>
      <c r="AR63" s="21"/>
      <c r="AS63" s="21"/>
      <c r="AT63" s="21"/>
      <c r="AU63" s="21"/>
      <c r="AV63" s="21"/>
      <c r="AW63" s="21"/>
      <c r="AX63" s="21"/>
      <c r="AY63" s="77"/>
      <c r="AZ63" s="21"/>
      <c r="BA63" s="21"/>
      <c r="BB63" s="21"/>
      <c r="BC63" s="21">
        <v>1</v>
      </c>
      <c r="BD63" s="21">
        <v>2</v>
      </c>
      <c r="BE63" s="21"/>
      <c r="BF63" s="77"/>
      <c r="BG63" s="21"/>
      <c r="BH63" s="21"/>
      <c r="BI63" s="21"/>
      <c r="BJ63" s="21"/>
      <c r="BK63" s="21"/>
      <c r="BL63" s="21"/>
      <c r="BM63" s="77"/>
      <c r="BN63" s="21"/>
      <c r="BO63" s="21"/>
      <c r="BP63" s="21"/>
      <c r="BQ63" s="21"/>
      <c r="BR63" s="21"/>
      <c r="BS63" s="21"/>
      <c r="BT63" s="96">
        <f t="shared" si="9"/>
        <v>3</v>
      </c>
      <c r="BU63" s="94">
        <f t="shared" si="10"/>
        <v>0</v>
      </c>
      <c r="BV63" s="26"/>
      <c r="BW63" s="27"/>
      <c r="BX63" s="19" t="s">
        <v>394</v>
      </c>
      <c r="BY63" s="19" t="b">
        <f t="shared" si="24"/>
        <v>1</v>
      </c>
      <c r="BZ63" s="53" t="s">
        <v>394</v>
      </c>
      <c r="CA63" s="19" t="s">
        <v>1421</v>
      </c>
      <c r="CB63" s="19" t="s">
        <v>1961</v>
      </c>
      <c r="CC63" s="19" t="s">
        <v>1962</v>
      </c>
      <c r="CD63" s="19" t="s">
        <v>1416</v>
      </c>
      <c r="CE63" s="19" t="s">
        <v>1410</v>
      </c>
      <c r="CF63" s="19" t="s">
        <v>1422</v>
      </c>
      <c r="CG63" s="19" t="s">
        <v>1423</v>
      </c>
      <c r="CH63" s="19" t="s">
        <v>1417</v>
      </c>
      <c r="CI63" s="19" t="s">
        <v>1418</v>
      </c>
      <c r="CJ63" s="19" t="s">
        <v>1424</v>
      </c>
      <c r="CK63" s="19" t="s">
        <v>1425</v>
      </c>
      <c r="CL63" s="19" t="s">
        <v>1426</v>
      </c>
      <c r="CM63" s="19" t="s">
        <v>1427</v>
      </c>
      <c r="CN63" s="19" t="s">
        <v>1383</v>
      </c>
      <c r="CO63" s="19" t="s">
        <v>1384</v>
      </c>
      <c r="CP63" s="19" t="s">
        <v>1419</v>
      </c>
      <c r="CQ63" s="19" t="s">
        <v>1420</v>
      </c>
      <c r="CR63" s="19" t="s">
        <v>1428</v>
      </c>
      <c r="CS63" s="19" t="s">
        <v>1429</v>
      </c>
      <c r="CT63" s="19"/>
      <c r="CU63" s="19"/>
      <c r="CV63" s="19"/>
      <c r="CW63" s="19"/>
      <c r="CX63" s="19"/>
      <c r="CY63" s="19"/>
      <c r="CZ63" s="19"/>
      <c r="DA63" s="19"/>
      <c r="DB63" s="19"/>
      <c r="DC63" s="19"/>
    </row>
    <row r="64" spans="1:107" s="7" customFormat="1" x14ac:dyDescent="0.25">
      <c r="A64" s="19" t="s">
        <v>228</v>
      </c>
      <c r="B64" s="19" t="s">
        <v>80</v>
      </c>
      <c r="C64" s="19" t="str">
        <f t="shared" si="22"/>
        <v>94959872India</v>
      </c>
      <c r="D64" s="19">
        <v>94959872</v>
      </c>
      <c r="E64" s="19" t="s">
        <v>241</v>
      </c>
      <c r="F64" s="19" t="s">
        <v>394</v>
      </c>
      <c r="G64" s="20" t="s">
        <v>394</v>
      </c>
      <c r="H64" s="19"/>
      <c r="I64" s="19" t="s">
        <v>230</v>
      </c>
      <c r="J64" s="19" t="s">
        <v>243</v>
      </c>
      <c r="K64" s="19" t="s">
        <v>393</v>
      </c>
      <c r="L64" s="19" t="s">
        <v>264</v>
      </c>
      <c r="M64" s="19" t="s">
        <v>298</v>
      </c>
      <c r="N64" s="19" t="s">
        <v>247</v>
      </c>
      <c r="O64" s="19" t="s">
        <v>335</v>
      </c>
      <c r="P64" s="51" t="s">
        <v>237</v>
      </c>
      <c r="Q64" s="19" t="s">
        <v>259</v>
      </c>
      <c r="R64" s="19">
        <v>3600</v>
      </c>
      <c r="S64" s="19" t="s">
        <v>239</v>
      </c>
      <c r="T64" s="19" t="s">
        <v>240</v>
      </c>
      <c r="U64" s="20" t="s">
        <v>240</v>
      </c>
      <c r="V64" s="19" t="s">
        <v>144</v>
      </c>
      <c r="W64" s="19" t="s">
        <v>1814</v>
      </c>
      <c r="X64" s="35">
        <v>5</v>
      </c>
      <c r="Y64" s="35">
        <v>5</v>
      </c>
      <c r="Z64" s="32"/>
      <c r="AA64" s="22">
        <v>1</v>
      </c>
      <c r="AB64" s="22">
        <v>1</v>
      </c>
      <c r="AC64" s="22">
        <v>1</v>
      </c>
      <c r="AD64" s="22">
        <v>2</v>
      </c>
      <c r="AE64" s="61">
        <v>5</v>
      </c>
      <c r="AF64" s="22"/>
      <c r="AG64" s="40">
        <v>5</v>
      </c>
      <c r="AH64" s="24"/>
      <c r="AI64" s="24"/>
      <c r="AJ64" s="23">
        <v>5</v>
      </c>
      <c r="AK64" s="25"/>
      <c r="AL64" s="25">
        <v>5</v>
      </c>
      <c r="AM64" s="25"/>
      <c r="AN64" s="25"/>
      <c r="AO64" s="25">
        <f t="shared" si="23"/>
        <v>5</v>
      </c>
      <c r="AP64" s="13"/>
      <c r="AQ64" s="21"/>
      <c r="AR64" s="21"/>
      <c r="AS64" s="21"/>
      <c r="AT64" s="21"/>
      <c r="AU64" s="21"/>
      <c r="AV64" s="21"/>
      <c r="AW64" s="21"/>
      <c r="AX64" s="21"/>
      <c r="AY64" s="77"/>
      <c r="AZ64" s="21"/>
      <c r="BA64" s="21"/>
      <c r="BB64" s="21"/>
      <c r="BC64" s="21">
        <v>1</v>
      </c>
      <c r="BD64" s="21">
        <v>2</v>
      </c>
      <c r="BE64" s="21">
        <v>2</v>
      </c>
      <c r="BF64" s="77"/>
      <c r="BG64" s="21"/>
      <c r="BH64" s="21"/>
      <c r="BI64" s="21"/>
      <c r="BJ64" s="21"/>
      <c r="BK64" s="21"/>
      <c r="BL64" s="21"/>
      <c r="BM64" s="77"/>
      <c r="BN64" s="21"/>
      <c r="BO64" s="21"/>
      <c r="BP64" s="21"/>
      <c r="BQ64" s="21"/>
      <c r="BR64" s="21"/>
      <c r="BS64" s="21"/>
      <c r="BT64" s="96">
        <f t="shared" si="9"/>
        <v>5</v>
      </c>
      <c r="BU64" s="94">
        <f t="shared" si="10"/>
        <v>0</v>
      </c>
      <c r="BV64" s="26"/>
      <c r="BW64" s="27"/>
      <c r="BX64" s="19" t="s">
        <v>394</v>
      </c>
      <c r="BY64" s="19" t="b">
        <f t="shared" si="24"/>
        <v>1</v>
      </c>
      <c r="BZ64" s="53" t="s">
        <v>394</v>
      </c>
      <c r="CA64" s="19" t="s">
        <v>1421</v>
      </c>
      <c r="CB64" s="19" t="s">
        <v>1961</v>
      </c>
      <c r="CC64" s="19" t="s">
        <v>1962</v>
      </c>
      <c r="CD64" s="19" t="s">
        <v>1416</v>
      </c>
      <c r="CE64" s="19" t="s">
        <v>1410</v>
      </c>
      <c r="CF64" s="19" t="s">
        <v>1422</v>
      </c>
      <c r="CG64" s="19" t="s">
        <v>1423</v>
      </c>
      <c r="CH64" s="19" t="s">
        <v>1417</v>
      </c>
      <c r="CI64" s="19" t="s">
        <v>1418</v>
      </c>
      <c r="CJ64" s="19" t="s">
        <v>1424</v>
      </c>
      <c r="CK64" s="19" t="s">
        <v>1425</v>
      </c>
      <c r="CL64" s="19" t="s">
        <v>1426</v>
      </c>
      <c r="CM64" s="19" t="s">
        <v>1427</v>
      </c>
      <c r="CN64" s="19" t="s">
        <v>1383</v>
      </c>
      <c r="CO64" s="19" t="s">
        <v>1384</v>
      </c>
      <c r="CP64" s="19" t="s">
        <v>1419</v>
      </c>
      <c r="CQ64" s="19" t="s">
        <v>1420</v>
      </c>
      <c r="CR64" s="19" t="s">
        <v>1428</v>
      </c>
      <c r="CS64" s="19" t="s">
        <v>1429</v>
      </c>
      <c r="CT64" s="19"/>
      <c r="CU64" s="19"/>
      <c r="CV64" s="19"/>
      <c r="CW64" s="19"/>
      <c r="CX64" s="19"/>
      <c r="CY64" s="19"/>
      <c r="CZ64" s="19"/>
      <c r="DA64" s="19"/>
      <c r="DB64" s="19"/>
      <c r="DC64" s="19"/>
    </row>
    <row r="65" spans="1:107" s="7" customFormat="1" x14ac:dyDescent="0.25">
      <c r="A65" s="19" t="s">
        <v>228</v>
      </c>
      <c r="B65" s="19" t="s">
        <v>80</v>
      </c>
      <c r="C65" s="19" t="str">
        <f t="shared" si="22"/>
        <v>91859932India</v>
      </c>
      <c r="D65" s="19">
        <v>91859932</v>
      </c>
      <c r="E65" s="19" t="s">
        <v>241</v>
      </c>
      <c r="F65" s="19" t="s">
        <v>396</v>
      </c>
      <c r="G65" s="20" t="s">
        <v>396</v>
      </c>
      <c r="H65" s="19"/>
      <c r="I65" s="19" t="s">
        <v>230</v>
      </c>
      <c r="J65" s="19" t="s">
        <v>243</v>
      </c>
      <c r="K65" s="19" t="s">
        <v>397</v>
      </c>
      <c r="L65" s="19" t="s">
        <v>264</v>
      </c>
      <c r="M65" s="19" t="s">
        <v>298</v>
      </c>
      <c r="N65" s="19" t="s">
        <v>247</v>
      </c>
      <c r="O65" s="19" t="s">
        <v>335</v>
      </c>
      <c r="P65" s="51" t="s">
        <v>237</v>
      </c>
      <c r="Q65" s="19" t="s">
        <v>330</v>
      </c>
      <c r="R65" s="19">
        <v>3900</v>
      </c>
      <c r="S65" s="19" t="s">
        <v>239</v>
      </c>
      <c r="T65" s="19" t="s">
        <v>240</v>
      </c>
      <c r="U65" s="20" t="s">
        <v>240</v>
      </c>
      <c r="V65" s="19" t="s">
        <v>145</v>
      </c>
      <c r="W65" s="19" t="s">
        <v>1813</v>
      </c>
      <c r="X65" s="35">
        <v>65</v>
      </c>
      <c r="Y65" s="35">
        <v>60</v>
      </c>
      <c r="Z65" s="32"/>
      <c r="AA65" s="22">
        <v>20</v>
      </c>
      <c r="AB65" s="22">
        <v>20</v>
      </c>
      <c r="AC65" s="22">
        <v>2</v>
      </c>
      <c r="AD65" s="22"/>
      <c r="AE65" s="61">
        <v>42</v>
      </c>
      <c r="AF65" s="22"/>
      <c r="AG65" s="40">
        <v>42</v>
      </c>
      <c r="AH65" s="24"/>
      <c r="AI65" s="24">
        <v>25</v>
      </c>
      <c r="AJ65" s="23">
        <v>67</v>
      </c>
      <c r="AK65" s="25">
        <v>37</v>
      </c>
      <c r="AL65" s="25">
        <v>15</v>
      </c>
      <c r="AM65" s="25">
        <v>15</v>
      </c>
      <c r="AN65" s="25"/>
      <c r="AO65" s="25">
        <f t="shared" si="23"/>
        <v>67</v>
      </c>
      <c r="AP65" s="13"/>
      <c r="AQ65" s="21"/>
      <c r="AR65" s="21"/>
      <c r="AS65" s="21"/>
      <c r="AT65" s="21"/>
      <c r="AU65" s="21">
        <v>5</v>
      </c>
      <c r="AV65" s="21">
        <v>8</v>
      </c>
      <c r="AW65" s="21">
        <v>8</v>
      </c>
      <c r="AX65" s="21">
        <v>8</v>
      </c>
      <c r="AY65" s="77"/>
      <c r="AZ65" s="21">
        <v>8</v>
      </c>
      <c r="BA65" s="21"/>
      <c r="BB65" s="21"/>
      <c r="BC65" s="21">
        <v>5</v>
      </c>
      <c r="BD65" s="21"/>
      <c r="BE65" s="21"/>
      <c r="BF65" s="77"/>
      <c r="BG65" s="21"/>
      <c r="BH65" s="21"/>
      <c r="BI65" s="21"/>
      <c r="BJ65" s="21"/>
      <c r="BK65" s="21"/>
      <c r="BL65" s="21"/>
      <c r="BM65" s="77"/>
      <c r="BN65" s="21"/>
      <c r="BO65" s="21"/>
      <c r="BP65" s="21"/>
      <c r="BQ65" s="21"/>
      <c r="BR65" s="21"/>
      <c r="BS65" s="21"/>
      <c r="BT65" s="96">
        <f t="shared" si="9"/>
        <v>42</v>
      </c>
      <c r="BU65" s="94">
        <f t="shared" si="10"/>
        <v>25</v>
      </c>
      <c r="BV65" s="26"/>
      <c r="BW65" s="27"/>
      <c r="BX65" s="19" t="s">
        <v>396</v>
      </c>
      <c r="BY65" s="19" t="b">
        <f t="shared" si="24"/>
        <v>1</v>
      </c>
      <c r="BZ65" s="53" t="s">
        <v>396</v>
      </c>
      <c r="CA65" s="19" t="s">
        <v>1450</v>
      </c>
      <c r="CB65" s="19" t="s">
        <v>809</v>
      </c>
      <c r="CC65" s="19" t="s">
        <v>1973</v>
      </c>
      <c r="CD65" s="19" t="s">
        <v>1451</v>
      </c>
      <c r="CE65" s="19" t="s">
        <v>1410</v>
      </c>
      <c r="CF65" s="19" t="s">
        <v>1422</v>
      </c>
      <c r="CG65" s="19" t="s">
        <v>1423</v>
      </c>
      <c r="CH65" s="19" t="s">
        <v>1452</v>
      </c>
      <c r="CI65" s="19" t="s">
        <v>1453</v>
      </c>
      <c r="CJ65" s="19" t="s">
        <v>1454</v>
      </c>
      <c r="CK65" s="19" t="s">
        <v>1455</v>
      </c>
      <c r="CL65" s="19" t="s">
        <v>1456</v>
      </c>
      <c r="CM65" s="19" t="s">
        <v>1457</v>
      </c>
      <c r="CN65" s="19" t="s">
        <v>820</v>
      </c>
      <c r="CO65" s="19" t="s">
        <v>821</v>
      </c>
      <c r="CP65" s="19" t="s">
        <v>1433</v>
      </c>
      <c r="CQ65" s="19" t="s">
        <v>1434</v>
      </c>
      <c r="CR65" s="19" t="s">
        <v>1458</v>
      </c>
      <c r="CS65" s="19" t="s">
        <v>1459</v>
      </c>
      <c r="CT65" s="19"/>
      <c r="CU65" s="19"/>
      <c r="CV65" s="19"/>
      <c r="CW65" s="19"/>
      <c r="CX65" s="19"/>
      <c r="CY65" s="19"/>
      <c r="CZ65" s="19"/>
      <c r="DA65" s="19"/>
      <c r="DB65" s="19"/>
      <c r="DC65" s="19"/>
    </row>
    <row r="66" spans="1:107" s="7" customFormat="1" x14ac:dyDescent="0.25">
      <c r="A66" s="19" t="s">
        <v>74</v>
      </c>
      <c r="B66" s="19" t="s">
        <v>76</v>
      </c>
      <c r="C66" s="19" t="str">
        <f t="shared" si="22"/>
        <v>92000941Manager Mail Motors (Patna) (2)</v>
      </c>
      <c r="D66" s="19">
        <v>92000941</v>
      </c>
      <c r="E66" s="19" t="s">
        <v>241</v>
      </c>
      <c r="F66" s="19" t="s">
        <v>501</v>
      </c>
      <c r="G66" s="20" t="s">
        <v>501</v>
      </c>
      <c r="H66" s="19"/>
      <c r="I66" s="19" t="s">
        <v>230</v>
      </c>
      <c r="J66" s="19" t="s">
        <v>243</v>
      </c>
      <c r="K66" s="19" t="s">
        <v>404</v>
      </c>
      <c r="L66" s="19" t="s">
        <v>282</v>
      </c>
      <c r="M66" s="19" t="s">
        <v>500</v>
      </c>
      <c r="N66" s="19" t="s">
        <v>247</v>
      </c>
      <c r="O66" s="19" t="s">
        <v>255</v>
      </c>
      <c r="P66" s="51" t="s">
        <v>237</v>
      </c>
      <c r="Q66" s="19" t="s">
        <v>248</v>
      </c>
      <c r="R66" s="19">
        <v>4100</v>
      </c>
      <c r="S66" s="19" t="s">
        <v>239</v>
      </c>
      <c r="T66" s="19" t="s">
        <v>240</v>
      </c>
      <c r="U66" s="20" t="s">
        <v>240</v>
      </c>
      <c r="V66" s="19" t="s">
        <v>1747</v>
      </c>
      <c r="W66" s="19" t="s">
        <v>219</v>
      </c>
      <c r="X66" s="35"/>
      <c r="Y66" s="35"/>
      <c r="Z66" s="32"/>
      <c r="AA66" s="22">
        <v>2</v>
      </c>
      <c r="AB66" s="22"/>
      <c r="AC66" s="22"/>
      <c r="AD66" s="22"/>
      <c r="AE66" s="61">
        <v>2</v>
      </c>
      <c r="AF66" s="22"/>
      <c r="AG66" s="40">
        <v>2</v>
      </c>
      <c r="AH66" s="24">
        <v>2</v>
      </c>
      <c r="AI66" s="24"/>
      <c r="AJ66" s="23">
        <v>0</v>
      </c>
      <c r="AK66" s="25"/>
      <c r="AL66" s="25"/>
      <c r="AM66" s="25"/>
      <c r="AN66" s="25"/>
      <c r="AO66" s="25">
        <f t="shared" si="23"/>
        <v>0</v>
      </c>
      <c r="AP66" s="13">
        <v>2</v>
      </c>
      <c r="AQ66" s="21"/>
      <c r="AR66" s="21">
        <v>2</v>
      </c>
      <c r="AS66" s="21"/>
      <c r="AT66" s="21"/>
      <c r="AU66" s="21"/>
      <c r="AV66" s="21"/>
      <c r="AW66" s="21"/>
      <c r="AX66" s="21"/>
      <c r="AY66" s="77"/>
      <c r="AZ66" s="21"/>
      <c r="BA66" s="21"/>
      <c r="BB66" s="21"/>
      <c r="BC66" s="21"/>
      <c r="BD66" s="21"/>
      <c r="BE66" s="21"/>
      <c r="BF66" s="77"/>
      <c r="BG66" s="21"/>
      <c r="BH66" s="21"/>
      <c r="BI66" s="21"/>
      <c r="BJ66" s="21"/>
      <c r="BK66" s="21"/>
      <c r="BL66" s="21"/>
      <c r="BM66" s="77"/>
      <c r="BN66" s="21"/>
      <c r="BO66" s="21"/>
      <c r="BP66" s="21"/>
      <c r="BQ66" s="21"/>
      <c r="BR66" s="21"/>
      <c r="BS66" s="21"/>
      <c r="BT66" s="96">
        <f t="shared" si="9"/>
        <v>2</v>
      </c>
      <c r="BU66" s="94">
        <f t="shared" si="10"/>
        <v>-2</v>
      </c>
      <c r="BV66" s="26"/>
      <c r="BW66" s="27"/>
      <c r="BX66" s="19" t="s">
        <v>501</v>
      </c>
      <c r="BY66" s="19" t="b">
        <f t="shared" si="24"/>
        <v>1</v>
      </c>
      <c r="BZ66" s="53" t="s">
        <v>501</v>
      </c>
      <c r="CA66" s="19" t="s">
        <v>1469</v>
      </c>
      <c r="CB66" s="19" t="s">
        <v>809</v>
      </c>
      <c r="CC66" s="19" t="s">
        <v>1973</v>
      </c>
      <c r="CD66" s="19" t="s">
        <v>1470</v>
      </c>
      <c r="CE66" s="19" t="s">
        <v>1471</v>
      </c>
      <c r="CF66" s="19" t="s">
        <v>898</v>
      </c>
      <c r="CG66" s="19" t="s">
        <v>899</v>
      </c>
      <c r="CH66" s="19" t="s">
        <v>1472</v>
      </c>
      <c r="CI66" s="19" t="s">
        <v>1473</v>
      </c>
      <c r="CJ66" s="19" t="s">
        <v>1474</v>
      </c>
      <c r="CK66" s="19" t="s">
        <v>1475</v>
      </c>
      <c r="CL66" s="19" t="s">
        <v>1476</v>
      </c>
      <c r="CM66" s="19" t="s">
        <v>1477</v>
      </c>
      <c r="CN66" s="19" t="s">
        <v>820</v>
      </c>
      <c r="CO66" s="19" t="s">
        <v>821</v>
      </c>
      <c r="CP66" s="19" t="s">
        <v>1467</v>
      </c>
      <c r="CQ66" s="19" t="s">
        <v>1468</v>
      </c>
      <c r="CR66" s="19" t="s">
        <v>1478</v>
      </c>
      <c r="CS66" s="19" t="s">
        <v>1479</v>
      </c>
      <c r="CT66" s="19"/>
      <c r="CU66" s="19"/>
      <c r="CV66" s="19"/>
      <c r="CW66" s="19"/>
      <c r="CX66" s="19"/>
      <c r="CY66" s="19"/>
      <c r="CZ66" s="19"/>
      <c r="DA66" s="19"/>
      <c r="DB66" s="19"/>
      <c r="DC66" s="19"/>
    </row>
    <row r="67" spans="1:107" s="7" customFormat="1" x14ac:dyDescent="0.25">
      <c r="A67" s="19" t="s">
        <v>74</v>
      </c>
      <c r="B67" s="19" t="s">
        <v>77</v>
      </c>
      <c r="C67" s="19" t="str">
        <f t="shared" si="22"/>
        <v>94900443Superintendent of Police Parbhani,</v>
      </c>
      <c r="D67" s="19">
        <v>94900443</v>
      </c>
      <c r="E67" s="19" t="s">
        <v>241</v>
      </c>
      <c r="F67" s="19" t="s">
        <v>242</v>
      </c>
      <c r="G67" s="20" t="s">
        <v>242</v>
      </c>
      <c r="H67" s="19"/>
      <c r="I67" s="19" t="s">
        <v>230</v>
      </c>
      <c r="J67" s="19" t="s">
        <v>243</v>
      </c>
      <c r="K67" s="19" t="s">
        <v>244</v>
      </c>
      <c r="L67" s="19" t="s">
        <v>245</v>
      </c>
      <c r="M67" s="19" t="s">
        <v>246</v>
      </c>
      <c r="N67" s="19" t="s">
        <v>247</v>
      </c>
      <c r="O67" s="19" t="s">
        <v>236</v>
      </c>
      <c r="P67" s="51" t="s">
        <v>237</v>
      </c>
      <c r="Q67" s="19" t="s">
        <v>248</v>
      </c>
      <c r="R67" s="19">
        <v>4100</v>
      </c>
      <c r="S67" s="19" t="s">
        <v>239</v>
      </c>
      <c r="T67" s="19" t="s">
        <v>240</v>
      </c>
      <c r="U67" s="20" t="s">
        <v>240</v>
      </c>
      <c r="V67" s="19" t="s">
        <v>1748</v>
      </c>
      <c r="W67" s="19" t="s">
        <v>219</v>
      </c>
      <c r="X67" s="35"/>
      <c r="Y67" s="35"/>
      <c r="Z67" s="32"/>
      <c r="AA67" s="22">
        <v>1</v>
      </c>
      <c r="AB67" s="22"/>
      <c r="AC67" s="22"/>
      <c r="AD67" s="22"/>
      <c r="AE67" s="61">
        <v>1</v>
      </c>
      <c r="AF67" s="22"/>
      <c r="AG67" s="40">
        <v>1</v>
      </c>
      <c r="AH67" s="24">
        <v>1</v>
      </c>
      <c r="AI67" s="24"/>
      <c r="AJ67" s="23">
        <v>0</v>
      </c>
      <c r="AK67" s="25"/>
      <c r="AL67" s="25"/>
      <c r="AM67" s="25"/>
      <c r="AN67" s="25"/>
      <c r="AO67" s="25">
        <f t="shared" si="23"/>
        <v>0</v>
      </c>
      <c r="AP67" s="13">
        <v>1</v>
      </c>
      <c r="AQ67" s="21">
        <v>1</v>
      </c>
      <c r="AR67" s="21"/>
      <c r="AS67" s="21"/>
      <c r="AT67" s="21"/>
      <c r="AU67" s="21"/>
      <c r="AV67" s="21"/>
      <c r="AW67" s="21"/>
      <c r="AX67" s="21"/>
      <c r="AY67" s="77"/>
      <c r="AZ67" s="21"/>
      <c r="BA67" s="21"/>
      <c r="BB67" s="21"/>
      <c r="BC67" s="21"/>
      <c r="BD67" s="21"/>
      <c r="BE67" s="21"/>
      <c r="BF67" s="77"/>
      <c r="BG67" s="21"/>
      <c r="BH67" s="21"/>
      <c r="BI67" s="21"/>
      <c r="BJ67" s="21"/>
      <c r="BK67" s="21"/>
      <c r="BL67" s="21"/>
      <c r="BM67" s="77"/>
      <c r="BN67" s="21"/>
      <c r="BO67" s="21"/>
      <c r="BP67" s="21"/>
      <c r="BQ67" s="21"/>
      <c r="BR67" s="21"/>
      <c r="BS67" s="21"/>
      <c r="BT67" s="96">
        <f t="shared" si="9"/>
        <v>1</v>
      </c>
      <c r="BU67" s="94">
        <f t="shared" si="10"/>
        <v>-1</v>
      </c>
      <c r="BV67" s="26"/>
      <c r="BW67" s="27"/>
      <c r="BX67" s="19" t="s">
        <v>242</v>
      </c>
      <c r="BY67" s="19" t="b">
        <f t="shared" si="24"/>
        <v>1</v>
      </c>
      <c r="BZ67" s="53" t="s">
        <v>242</v>
      </c>
      <c r="CA67" s="19" t="s">
        <v>1460</v>
      </c>
      <c r="CB67" s="19" t="s">
        <v>809</v>
      </c>
      <c r="CC67" s="19" t="s">
        <v>1973</v>
      </c>
      <c r="CD67" s="19" t="s">
        <v>1415</v>
      </c>
      <c r="CE67" s="19" t="s">
        <v>1410</v>
      </c>
      <c r="CF67" s="19" t="s">
        <v>898</v>
      </c>
      <c r="CG67" s="19" t="s">
        <v>899</v>
      </c>
      <c r="CH67" s="19" t="s">
        <v>1461</v>
      </c>
      <c r="CI67" s="19" t="s">
        <v>1462</v>
      </c>
      <c r="CJ67" s="19" t="s">
        <v>1463</v>
      </c>
      <c r="CK67" s="19" t="s">
        <v>1464</v>
      </c>
      <c r="CL67" s="19" t="s">
        <v>1465</v>
      </c>
      <c r="CM67" s="19" t="s">
        <v>1466</v>
      </c>
      <c r="CN67" s="19" t="s">
        <v>820</v>
      </c>
      <c r="CO67" s="19" t="s">
        <v>821</v>
      </c>
      <c r="CP67" s="19" t="s">
        <v>1467</v>
      </c>
      <c r="CQ67" s="19" t="s">
        <v>1468</v>
      </c>
      <c r="CR67" s="19" t="s">
        <v>1430</v>
      </c>
      <c r="CS67" s="19" t="s">
        <v>1431</v>
      </c>
      <c r="CT67" s="19"/>
      <c r="CU67" s="19"/>
      <c r="CV67" s="19"/>
      <c r="CW67" s="19"/>
      <c r="CX67" s="19"/>
      <c r="CY67" s="19"/>
      <c r="CZ67" s="19"/>
      <c r="DA67" s="19"/>
      <c r="DB67" s="19"/>
      <c r="DC67" s="19"/>
    </row>
    <row r="68" spans="1:107" s="7" customFormat="1" x14ac:dyDescent="0.25">
      <c r="A68" s="19" t="s">
        <v>74</v>
      </c>
      <c r="B68" s="19" t="s">
        <v>1530</v>
      </c>
      <c r="C68" s="19" t="str">
        <f t="shared" si="22"/>
        <v>94900443S P Rajasthan(1)</v>
      </c>
      <c r="D68" s="19">
        <v>94900443</v>
      </c>
      <c r="E68" s="19" t="s">
        <v>241</v>
      </c>
      <c r="F68" s="19" t="s">
        <v>242</v>
      </c>
      <c r="G68" s="20" t="s">
        <v>242</v>
      </c>
      <c r="H68" s="19"/>
      <c r="I68" s="19" t="s">
        <v>230</v>
      </c>
      <c r="J68" s="19" t="s">
        <v>243</v>
      </c>
      <c r="K68" s="19" t="s">
        <v>244</v>
      </c>
      <c r="L68" s="19" t="s">
        <v>245</v>
      </c>
      <c r="M68" s="19" t="s">
        <v>246</v>
      </c>
      <c r="N68" s="19" t="s">
        <v>247</v>
      </c>
      <c r="O68" s="19" t="s">
        <v>236</v>
      </c>
      <c r="P68" s="51" t="s">
        <v>237</v>
      </c>
      <c r="Q68" s="19" t="s">
        <v>248</v>
      </c>
      <c r="R68" s="19">
        <v>4100</v>
      </c>
      <c r="S68" s="19" t="s">
        <v>239</v>
      </c>
      <c r="T68" s="19" t="s">
        <v>240</v>
      </c>
      <c r="U68" s="20" t="s">
        <v>240</v>
      </c>
      <c r="V68" s="19" t="s">
        <v>1748</v>
      </c>
      <c r="W68" s="19" t="s">
        <v>219</v>
      </c>
      <c r="X68" s="35"/>
      <c r="Y68" s="35"/>
      <c r="Z68" s="32"/>
      <c r="AA68" s="22">
        <v>1</v>
      </c>
      <c r="AB68" s="22"/>
      <c r="AC68" s="22"/>
      <c r="AD68" s="22"/>
      <c r="AE68" s="61">
        <v>1</v>
      </c>
      <c r="AF68" s="22"/>
      <c r="AG68" s="40">
        <v>1</v>
      </c>
      <c r="AH68" s="24">
        <v>1</v>
      </c>
      <c r="AI68" s="24"/>
      <c r="AJ68" s="23">
        <v>0</v>
      </c>
      <c r="AK68" s="25"/>
      <c r="AL68" s="25"/>
      <c r="AM68" s="25"/>
      <c r="AN68" s="25"/>
      <c r="AO68" s="25">
        <f t="shared" si="23"/>
        <v>0</v>
      </c>
      <c r="AP68" s="13">
        <v>1</v>
      </c>
      <c r="AQ68" s="21"/>
      <c r="AR68" s="21">
        <v>1</v>
      </c>
      <c r="AS68" s="21"/>
      <c r="AT68" s="21"/>
      <c r="AU68" s="21"/>
      <c r="AV68" s="21"/>
      <c r="AW68" s="21"/>
      <c r="AX68" s="21"/>
      <c r="AY68" s="77"/>
      <c r="AZ68" s="21"/>
      <c r="BA68" s="21"/>
      <c r="BB68" s="21"/>
      <c r="BC68" s="21"/>
      <c r="BD68" s="21"/>
      <c r="BE68" s="21"/>
      <c r="BF68" s="77"/>
      <c r="BG68" s="21"/>
      <c r="BH68" s="21"/>
      <c r="BI68" s="21"/>
      <c r="BJ68" s="21"/>
      <c r="BK68" s="21"/>
      <c r="BL68" s="21"/>
      <c r="BM68" s="77"/>
      <c r="BN68" s="21"/>
      <c r="BO68" s="21"/>
      <c r="BP68" s="21"/>
      <c r="BQ68" s="21"/>
      <c r="BR68" s="21"/>
      <c r="BS68" s="21"/>
      <c r="BT68" s="96">
        <f t="shared" si="9"/>
        <v>1</v>
      </c>
      <c r="BU68" s="94">
        <f t="shared" si="10"/>
        <v>-1</v>
      </c>
      <c r="BV68" s="26"/>
      <c r="BW68" s="27"/>
      <c r="BX68" s="19" t="s">
        <v>242</v>
      </c>
      <c r="BY68" s="19" t="b">
        <f t="shared" si="24"/>
        <v>1</v>
      </c>
      <c r="BZ68" s="53" t="s">
        <v>242</v>
      </c>
      <c r="CA68" s="19" t="s">
        <v>1460</v>
      </c>
      <c r="CB68" s="19" t="s">
        <v>809</v>
      </c>
      <c r="CC68" s="19" t="s">
        <v>1973</v>
      </c>
      <c r="CD68" s="19" t="s">
        <v>1415</v>
      </c>
      <c r="CE68" s="19" t="s">
        <v>1410</v>
      </c>
      <c r="CF68" s="19" t="s">
        <v>898</v>
      </c>
      <c r="CG68" s="19" t="s">
        <v>899</v>
      </c>
      <c r="CH68" s="19" t="s">
        <v>1461</v>
      </c>
      <c r="CI68" s="19" t="s">
        <v>1462</v>
      </c>
      <c r="CJ68" s="19" t="s">
        <v>1463</v>
      </c>
      <c r="CK68" s="19" t="s">
        <v>1464</v>
      </c>
      <c r="CL68" s="19" t="s">
        <v>1465</v>
      </c>
      <c r="CM68" s="19" t="s">
        <v>1466</v>
      </c>
      <c r="CN68" s="19" t="s">
        <v>820</v>
      </c>
      <c r="CO68" s="19" t="s">
        <v>821</v>
      </c>
      <c r="CP68" s="19" t="s">
        <v>1467</v>
      </c>
      <c r="CQ68" s="19" t="s">
        <v>1468</v>
      </c>
      <c r="CR68" s="19" t="s">
        <v>1430</v>
      </c>
      <c r="CS68" s="19" t="s">
        <v>1431</v>
      </c>
      <c r="CT68" s="19"/>
      <c r="CU68" s="19"/>
      <c r="CV68" s="19"/>
      <c r="CW68" s="19"/>
      <c r="CX68" s="19"/>
      <c r="CY68" s="19"/>
      <c r="CZ68" s="19"/>
      <c r="DA68" s="19"/>
      <c r="DB68" s="19"/>
      <c r="DC68" s="19"/>
    </row>
    <row r="69" spans="1:107" s="7" customFormat="1" x14ac:dyDescent="0.25">
      <c r="A69" s="19" t="s">
        <v>74</v>
      </c>
      <c r="B69" s="19" t="s">
        <v>1532</v>
      </c>
      <c r="C69" s="19" t="str">
        <f t="shared" si="22"/>
        <v>94900443Municipal, Chandigarh (2)</v>
      </c>
      <c r="D69" s="19">
        <v>94900443</v>
      </c>
      <c r="E69" s="19" t="s">
        <v>241</v>
      </c>
      <c r="F69" s="19" t="s">
        <v>242</v>
      </c>
      <c r="G69" s="20" t="s">
        <v>242</v>
      </c>
      <c r="H69" s="19"/>
      <c r="I69" s="19" t="s">
        <v>230</v>
      </c>
      <c r="J69" s="19" t="s">
        <v>243</v>
      </c>
      <c r="K69" s="19" t="s">
        <v>244</v>
      </c>
      <c r="L69" s="19" t="s">
        <v>245</v>
      </c>
      <c r="M69" s="19" t="s">
        <v>246</v>
      </c>
      <c r="N69" s="19" t="s">
        <v>247</v>
      </c>
      <c r="O69" s="19" t="s">
        <v>236</v>
      </c>
      <c r="P69" s="51" t="s">
        <v>237</v>
      </c>
      <c r="Q69" s="19" t="s">
        <v>248</v>
      </c>
      <c r="R69" s="19">
        <v>4100</v>
      </c>
      <c r="S69" s="19" t="s">
        <v>239</v>
      </c>
      <c r="T69" s="19" t="s">
        <v>240</v>
      </c>
      <c r="U69" s="20" t="s">
        <v>240</v>
      </c>
      <c r="V69" s="19" t="s">
        <v>1748</v>
      </c>
      <c r="W69" s="19" t="s">
        <v>219</v>
      </c>
      <c r="X69" s="35"/>
      <c r="Y69" s="35"/>
      <c r="Z69" s="32"/>
      <c r="AA69" s="22">
        <v>2</v>
      </c>
      <c r="AB69" s="22"/>
      <c r="AC69" s="22"/>
      <c r="AD69" s="22"/>
      <c r="AE69" s="61">
        <v>2</v>
      </c>
      <c r="AF69" s="22"/>
      <c r="AG69" s="40">
        <v>2</v>
      </c>
      <c r="AH69" s="24">
        <v>2</v>
      </c>
      <c r="AI69" s="24"/>
      <c r="AJ69" s="23">
        <v>0</v>
      </c>
      <c r="AK69" s="25"/>
      <c r="AL69" s="25"/>
      <c r="AM69" s="25"/>
      <c r="AN69" s="25"/>
      <c r="AO69" s="25">
        <f t="shared" si="23"/>
        <v>0</v>
      </c>
      <c r="AP69" s="13">
        <v>2</v>
      </c>
      <c r="AQ69" s="21"/>
      <c r="AR69" s="21"/>
      <c r="AS69" s="21">
        <v>2</v>
      </c>
      <c r="AT69" s="21"/>
      <c r="AU69" s="21"/>
      <c r="AV69" s="21"/>
      <c r="AW69" s="21"/>
      <c r="AX69" s="21"/>
      <c r="AY69" s="77"/>
      <c r="AZ69" s="21"/>
      <c r="BA69" s="21"/>
      <c r="BB69" s="21"/>
      <c r="BC69" s="21"/>
      <c r="BD69" s="21"/>
      <c r="BE69" s="21"/>
      <c r="BF69" s="77"/>
      <c r="BG69" s="21"/>
      <c r="BH69" s="21"/>
      <c r="BI69" s="21"/>
      <c r="BJ69" s="21"/>
      <c r="BK69" s="21"/>
      <c r="BL69" s="21"/>
      <c r="BM69" s="77"/>
      <c r="BN69" s="21"/>
      <c r="BO69" s="21"/>
      <c r="BP69" s="21"/>
      <c r="BQ69" s="21"/>
      <c r="BR69" s="21"/>
      <c r="BS69" s="21"/>
      <c r="BT69" s="96">
        <f t="shared" si="9"/>
        <v>2</v>
      </c>
      <c r="BU69" s="94">
        <f t="shared" si="10"/>
        <v>-2</v>
      </c>
      <c r="BV69" s="26"/>
      <c r="BW69" s="27"/>
      <c r="BX69" s="19" t="s">
        <v>242</v>
      </c>
      <c r="BY69" s="19" t="b">
        <f t="shared" si="24"/>
        <v>1</v>
      </c>
      <c r="BZ69" s="53" t="s">
        <v>242</v>
      </c>
      <c r="CA69" s="19" t="s">
        <v>1460</v>
      </c>
      <c r="CB69" s="19" t="s">
        <v>809</v>
      </c>
      <c r="CC69" s="19" t="s">
        <v>1973</v>
      </c>
      <c r="CD69" s="19" t="s">
        <v>1415</v>
      </c>
      <c r="CE69" s="19" t="s">
        <v>1410</v>
      </c>
      <c r="CF69" s="19" t="s">
        <v>898</v>
      </c>
      <c r="CG69" s="19" t="s">
        <v>899</v>
      </c>
      <c r="CH69" s="19" t="s">
        <v>1461</v>
      </c>
      <c r="CI69" s="19" t="s">
        <v>1462</v>
      </c>
      <c r="CJ69" s="19" t="s">
        <v>1463</v>
      </c>
      <c r="CK69" s="19" t="s">
        <v>1464</v>
      </c>
      <c r="CL69" s="19" t="s">
        <v>1465</v>
      </c>
      <c r="CM69" s="19" t="s">
        <v>1466</v>
      </c>
      <c r="CN69" s="19" t="s">
        <v>820</v>
      </c>
      <c r="CO69" s="19" t="s">
        <v>821</v>
      </c>
      <c r="CP69" s="19" t="s">
        <v>1467</v>
      </c>
      <c r="CQ69" s="19" t="s">
        <v>1468</v>
      </c>
      <c r="CR69" s="19" t="s">
        <v>1430</v>
      </c>
      <c r="CS69" s="19" t="s">
        <v>1431</v>
      </c>
      <c r="CT69" s="19"/>
      <c r="CU69" s="19"/>
      <c r="CV69" s="19"/>
      <c r="CW69" s="19"/>
      <c r="CX69" s="19"/>
      <c r="CY69" s="19"/>
      <c r="CZ69" s="19"/>
      <c r="DA69" s="19"/>
      <c r="DB69" s="19"/>
      <c r="DC69" s="19"/>
    </row>
    <row r="70" spans="1:107" s="7" customFormat="1" x14ac:dyDescent="0.25">
      <c r="A70" s="19" t="s">
        <v>74</v>
      </c>
      <c r="B70" s="19" t="s">
        <v>1732</v>
      </c>
      <c r="C70" s="19" t="str">
        <f t="shared" si="22"/>
        <v>92052842MAIL MOTOR,  Ahmedabad (6)</v>
      </c>
      <c r="D70" s="19">
        <v>92052842</v>
      </c>
      <c r="E70" s="19" t="s">
        <v>241</v>
      </c>
      <c r="F70" s="19" t="s">
        <v>1818</v>
      </c>
      <c r="G70" s="20" t="s">
        <v>1818</v>
      </c>
      <c r="H70" s="19"/>
      <c r="I70" s="19" t="s">
        <v>230</v>
      </c>
      <c r="J70" s="19" t="s">
        <v>243</v>
      </c>
      <c r="K70" s="19" t="s">
        <v>1819</v>
      </c>
      <c r="L70" s="19" t="s">
        <v>282</v>
      </c>
      <c r="M70" s="19" t="s">
        <v>253</v>
      </c>
      <c r="N70" s="19" t="s">
        <v>247</v>
      </c>
      <c r="O70" s="19" t="s">
        <v>255</v>
      </c>
      <c r="P70" s="51" t="s">
        <v>237</v>
      </c>
      <c r="Q70" s="19" t="s">
        <v>248</v>
      </c>
      <c r="R70" s="19">
        <v>4100</v>
      </c>
      <c r="S70" s="19" t="s">
        <v>239</v>
      </c>
      <c r="T70" s="19" t="s">
        <v>240</v>
      </c>
      <c r="U70" s="20" t="s">
        <v>240</v>
      </c>
      <c r="V70" s="19" t="s">
        <v>1751</v>
      </c>
      <c r="W70" s="19" t="s">
        <v>219</v>
      </c>
      <c r="X70" s="35"/>
      <c r="Y70" s="35"/>
      <c r="Z70" s="32"/>
      <c r="AA70" s="22">
        <v>6</v>
      </c>
      <c r="AB70" s="22"/>
      <c r="AC70" s="22"/>
      <c r="AD70" s="22"/>
      <c r="AE70" s="61">
        <v>6</v>
      </c>
      <c r="AF70" s="22"/>
      <c r="AG70" s="40">
        <v>6</v>
      </c>
      <c r="AH70" s="24"/>
      <c r="AI70" s="24"/>
      <c r="AJ70" s="23">
        <v>6</v>
      </c>
      <c r="AK70" s="25"/>
      <c r="AL70" s="25"/>
      <c r="AM70" s="25">
        <v>6</v>
      </c>
      <c r="AN70" s="25"/>
      <c r="AO70" s="25">
        <f t="shared" si="23"/>
        <v>6</v>
      </c>
      <c r="AP70" s="13"/>
      <c r="AQ70" s="21"/>
      <c r="AR70" s="21"/>
      <c r="AS70" s="21"/>
      <c r="AT70" s="21"/>
      <c r="AU70" s="21"/>
      <c r="AV70" s="21"/>
      <c r="AW70" s="21"/>
      <c r="AX70" s="21"/>
      <c r="AY70" s="77"/>
      <c r="AZ70" s="21"/>
      <c r="BA70" s="21"/>
      <c r="BB70" s="21"/>
      <c r="BC70" s="21"/>
      <c r="BD70" s="21"/>
      <c r="BE70" s="21"/>
      <c r="BF70" s="77"/>
      <c r="BG70" s="21"/>
      <c r="BH70" s="21">
        <v>3</v>
      </c>
      <c r="BI70" s="21">
        <v>3</v>
      </c>
      <c r="BJ70" s="21"/>
      <c r="BK70" s="21"/>
      <c r="BL70" s="21"/>
      <c r="BM70" s="77"/>
      <c r="BN70" s="21"/>
      <c r="BO70" s="21"/>
      <c r="BP70" s="21"/>
      <c r="BQ70" s="21"/>
      <c r="BR70" s="21"/>
      <c r="BS70" s="21"/>
      <c r="BT70" s="96">
        <f t="shared" ref="BT70:BT133" si="25">SUM(AQ70:BS70)</f>
        <v>6</v>
      </c>
      <c r="BU70" s="94">
        <f t="shared" ref="BU70:BU133" si="26">AO70-BT70</f>
        <v>0</v>
      </c>
      <c r="BV70" s="26"/>
      <c r="BW70" s="27"/>
      <c r="BX70" s="19" t="s">
        <v>1818</v>
      </c>
      <c r="BY70" s="19" t="b">
        <f t="shared" si="24"/>
        <v>1</v>
      </c>
      <c r="BZ70" s="53" t="s">
        <v>1818</v>
      </c>
      <c r="CA70" s="19" t="s">
        <v>1977</v>
      </c>
      <c r="CB70" s="19" t="s">
        <v>809</v>
      </c>
      <c r="CC70" s="19" t="s">
        <v>1973</v>
      </c>
      <c r="CD70" s="19" t="s">
        <v>1470</v>
      </c>
      <c r="CE70" s="19" t="s">
        <v>1471</v>
      </c>
      <c r="CF70" s="19" t="s">
        <v>898</v>
      </c>
      <c r="CG70" s="19" t="s">
        <v>899</v>
      </c>
      <c r="CH70" s="19" t="s">
        <v>1472</v>
      </c>
      <c r="CI70" s="19" t="s">
        <v>1473</v>
      </c>
      <c r="CJ70" s="19" t="s">
        <v>1474</v>
      </c>
      <c r="CK70" s="19" t="s">
        <v>1475</v>
      </c>
      <c r="CL70" s="19" t="s">
        <v>1978</v>
      </c>
      <c r="CM70" s="19" t="s">
        <v>1979</v>
      </c>
      <c r="CN70" s="19" t="s">
        <v>820</v>
      </c>
      <c r="CO70" s="19" t="s">
        <v>821</v>
      </c>
      <c r="CP70" s="19" t="s">
        <v>1467</v>
      </c>
      <c r="CQ70" s="19" t="s">
        <v>1468</v>
      </c>
      <c r="CR70" s="19" t="s">
        <v>1478</v>
      </c>
      <c r="CS70" s="19" t="s">
        <v>1479</v>
      </c>
      <c r="CT70" s="19"/>
      <c r="CU70" s="19"/>
      <c r="CV70" s="19"/>
      <c r="CW70" s="19"/>
      <c r="CX70" s="19"/>
      <c r="CY70" s="19"/>
      <c r="CZ70" s="19"/>
      <c r="DA70" s="19"/>
      <c r="DB70" s="19"/>
      <c r="DC70" s="19"/>
    </row>
    <row r="71" spans="1:107" s="7" customFormat="1" x14ac:dyDescent="0.25">
      <c r="A71" s="19" t="s">
        <v>228</v>
      </c>
      <c r="B71" s="19" t="s">
        <v>80</v>
      </c>
      <c r="C71" s="19" t="str">
        <f t="shared" ref="C71:C79" si="27">D71&amp;B71</f>
        <v>94950063India</v>
      </c>
      <c r="D71" s="19">
        <v>94950063</v>
      </c>
      <c r="E71" s="19" t="s">
        <v>241</v>
      </c>
      <c r="F71" s="19" t="s">
        <v>415</v>
      </c>
      <c r="G71" s="20" t="s">
        <v>415</v>
      </c>
      <c r="H71" s="19"/>
      <c r="I71" s="19" t="s">
        <v>230</v>
      </c>
      <c r="J71" s="19" t="s">
        <v>243</v>
      </c>
      <c r="K71" s="19" t="s">
        <v>399</v>
      </c>
      <c r="L71" s="19" t="s">
        <v>264</v>
      </c>
      <c r="M71" s="19" t="s">
        <v>298</v>
      </c>
      <c r="N71" s="19" t="s">
        <v>247</v>
      </c>
      <c r="O71" s="19" t="s">
        <v>335</v>
      </c>
      <c r="P71" s="51" t="s">
        <v>237</v>
      </c>
      <c r="Q71" s="19" t="s">
        <v>248</v>
      </c>
      <c r="R71" s="19">
        <v>4100</v>
      </c>
      <c r="S71" s="19" t="s">
        <v>239</v>
      </c>
      <c r="T71" s="19" t="s">
        <v>240</v>
      </c>
      <c r="U71" s="20" t="s">
        <v>240</v>
      </c>
      <c r="V71" s="19" t="s">
        <v>151</v>
      </c>
      <c r="W71" s="19" t="s">
        <v>1813</v>
      </c>
      <c r="X71" s="35">
        <v>130</v>
      </c>
      <c r="Y71" s="35">
        <v>120</v>
      </c>
      <c r="Z71" s="32"/>
      <c r="AA71" s="22">
        <v>50</v>
      </c>
      <c r="AB71" s="22">
        <v>50</v>
      </c>
      <c r="AC71" s="22">
        <v>25</v>
      </c>
      <c r="AD71" s="22"/>
      <c r="AE71" s="61">
        <v>125</v>
      </c>
      <c r="AF71" s="22"/>
      <c r="AG71" s="40">
        <v>125</v>
      </c>
      <c r="AH71" s="24"/>
      <c r="AI71" s="24">
        <v>50</v>
      </c>
      <c r="AJ71" s="23">
        <v>175</v>
      </c>
      <c r="AK71" s="25">
        <v>75</v>
      </c>
      <c r="AL71" s="25">
        <v>50</v>
      </c>
      <c r="AM71" s="25">
        <v>50</v>
      </c>
      <c r="AN71" s="25"/>
      <c r="AO71" s="25">
        <f t="shared" ref="AO71:AO79" si="28">SUM(AK71:AN71)</f>
        <v>175</v>
      </c>
      <c r="AP71" s="13"/>
      <c r="AQ71" s="21"/>
      <c r="AR71" s="21"/>
      <c r="AS71" s="21"/>
      <c r="AT71" s="21">
        <v>12</v>
      </c>
      <c r="AU71" s="21">
        <v>12</v>
      </c>
      <c r="AV71" s="21">
        <v>12</v>
      </c>
      <c r="AW71" s="21">
        <v>12</v>
      </c>
      <c r="AX71" s="21">
        <v>12</v>
      </c>
      <c r="AY71" s="77"/>
      <c r="AZ71" s="21">
        <v>5</v>
      </c>
      <c r="BA71" s="21">
        <v>12</v>
      </c>
      <c r="BB71" s="21">
        <v>12</v>
      </c>
      <c r="BC71" s="21">
        <v>12</v>
      </c>
      <c r="BD71" s="21">
        <v>12</v>
      </c>
      <c r="BE71" s="21">
        <v>12</v>
      </c>
      <c r="BF71" s="77"/>
      <c r="BG71" s="21"/>
      <c r="BH71" s="21"/>
      <c r="BI71" s="21"/>
      <c r="BJ71" s="21"/>
      <c r="BK71" s="21"/>
      <c r="BL71" s="21"/>
      <c r="BM71" s="77"/>
      <c r="BN71" s="21"/>
      <c r="BO71" s="21"/>
      <c r="BP71" s="21"/>
      <c r="BQ71" s="21"/>
      <c r="BR71" s="21"/>
      <c r="BS71" s="21"/>
      <c r="BT71" s="96">
        <f t="shared" si="25"/>
        <v>125</v>
      </c>
      <c r="BU71" s="94">
        <f t="shared" si="26"/>
        <v>50</v>
      </c>
      <c r="BV71" s="26"/>
      <c r="BW71" s="27"/>
      <c r="BX71" s="19" t="s">
        <v>415</v>
      </c>
      <c r="BY71" s="19" t="b">
        <f t="shared" ref="BY71:BY79" si="29">BZ71=BX71</f>
        <v>1</v>
      </c>
      <c r="BZ71" s="53" t="s">
        <v>415</v>
      </c>
      <c r="CA71" s="19" t="s">
        <v>1484</v>
      </c>
      <c r="CB71" s="19" t="s">
        <v>809</v>
      </c>
      <c r="CC71" s="19" t="s">
        <v>1973</v>
      </c>
      <c r="CD71" s="19" t="s">
        <v>1451</v>
      </c>
      <c r="CE71" s="19" t="s">
        <v>1410</v>
      </c>
      <c r="CF71" s="19" t="s">
        <v>1422</v>
      </c>
      <c r="CG71" s="19" t="s">
        <v>1423</v>
      </c>
      <c r="CH71" s="19" t="s">
        <v>1452</v>
      </c>
      <c r="CI71" s="19" t="s">
        <v>1453</v>
      </c>
      <c r="CJ71" s="19" t="s">
        <v>1482</v>
      </c>
      <c r="CK71" s="19" t="s">
        <v>1483</v>
      </c>
      <c r="CL71" s="19" t="s">
        <v>1456</v>
      </c>
      <c r="CM71" s="19" t="s">
        <v>1457</v>
      </c>
      <c r="CN71" s="19" t="s">
        <v>820</v>
      </c>
      <c r="CO71" s="19" t="s">
        <v>821</v>
      </c>
      <c r="CP71" s="19" t="s">
        <v>1433</v>
      </c>
      <c r="CQ71" s="19" t="s">
        <v>1434</v>
      </c>
      <c r="CR71" s="19" t="s">
        <v>1458</v>
      </c>
      <c r="CS71" s="19" t="s">
        <v>1459</v>
      </c>
      <c r="CT71" s="19"/>
      <c r="CU71" s="19"/>
      <c r="CV71" s="19"/>
      <c r="CW71" s="19"/>
      <c r="CX71" s="19"/>
      <c r="CY71" s="19"/>
      <c r="CZ71" s="19"/>
      <c r="DA71" s="19"/>
      <c r="DB71" s="19"/>
      <c r="DC71" s="19"/>
    </row>
    <row r="72" spans="1:107" s="7" customFormat="1" x14ac:dyDescent="0.25">
      <c r="A72" s="19" t="s">
        <v>228</v>
      </c>
      <c r="B72" s="19" t="s">
        <v>80</v>
      </c>
      <c r="C72" s="19" t="str">
        <f t="shared" si="27"/>
        <v>94951653India</v>
      </c>
      <c r="D72" s="19">
        <v>94951653</v>
      </c>
      <c r="E72" s="19" t="s">
        <v>241</v>
      </c>
      <c r="F72" s="19" t="s">
        <v>416</v>
      </c>
      <c r="G72" s="20" t="s">
        <v>416</v>
      </c>
      <c r="H72" s="19"/>
      <c r="I72" s="19" t="s">
        <v>230</v>
      </c>
      <c r="J72" s="19" t="s">
        <v>243</v>
      </c>
      <c r="K72" s="19" t="s">
        <v>399</v>
      </c>
      <c r="L72" s="19" t="s">
        <v>264</v>
      </c>
      <c r="M72" s="19" t="s">
        <v>298</v>
      </c>
      <c r="N72" s="19" t="s">
        <v>247</v>
      </c>
      <c r="O72" s="19" t="s">
        <v>335</v>
      </c>
      <c r="P72" s="51" t="s">
        <v>237</v>
      </c>
      <c r="Q72" s="19" t="s">
        <v>248</v>
      </c>
      <c r="R72" s="19">
        <v>4100</v>
      </c>
      <c r="S72" s="19" t="s">
        <v>239</v>
      </c>
      <c r="T72" s="19" t="s">
        <v>240</v>
      </c>
      <c r="U72" s="20" t="s">
        <v>240</v>
      </c>
      <c r="V72" s="19" t="s">
        <v>153</v>
      </c>
      <c r="W72" s="19" t="s">
        <v>1814</v>
      </c>
      <c r="X72" s="35">
        <v>3</v>
      </c>
      <c r="Y72" s="35">
        <v>3</v>
      </c>
      <c r="Z72" s="32"/>
      <c r="AA72" s="22"/>
      <c r="AB72" s="22"/>
      <c r="AC72" s="22"/>
      <c r="AD72" s="22"/>
      <c r="AE72" s="61">
        <v>0</v>
      </c>
      <c r="AF72" s="22"/>
      <c r="AG72" s="40">
        <v>0</v>
      </c>
      <c r="AH72" s="24"/>
      <c r="AI72" s="24"/>
      <c r="AJ72" s="23">
        <v>0</v>
      </c>
      <c r="AK72" s="25"/>
      <c r="AL72" s="25"/>
      <c r="AM72" s="25"/>
      <c r="AN72" s="25"/>
      <c r="AO72" s="25">
        <f t="shared" si="28"/>
        <v>0</v>
      </c>
      <c r="AP72" s="13"/>
      <c r="AQ72" s="21"/>
      <c r="AR72" s="21"/>
      <c r="AS72" s="21"/>
      <c r="AT72" s="21"/>
      <c r="AU72" s="21"/>
      <c r="AV72" s="21"/>
      <c r="AW72" s="21"/>
      <c r="AX72" s="21"/>
      <c r="AY72" s="77"/>
      <c r="AZ72" s="21"/>
      <c r="BA72" s="21"/>
      <c r="BB72" s="21"/>
      <c r="BC72" s="21"/>
      <c r="BD72" s="21"/>
      <c r="BE72" s="21"/>
      <c r="BF72" s="77"/>
      <c r="BG72" s="21"/>
      <c r="BH72" s="21"/>
      <c r="BI72" s="21"/>
      <c r="BJ72" s="21"/>
      <c r="BK72" s="21"/>
      <c r="BL72" s="21"/>
      <c r="BM72" s="77"/>
      <c r="BN72" s="21"/>
      <c r="BO72" s="21"/>
      <c r="BP72" s="21"/>
      <c r="BQ72" s="21"/>
      <c r="BR72" s="21"/>
      <c r="BS72" s="21"/>
      <c r="BT72" s="96">
        <f t="shared" si="25"/>
        <v>0</v>
      </c>
      <c r="BU72" s="94">
        <f t="shared" si="26"/>
        <v>0</v>
      </c>
      <c r="BV72" s="26"/>
      <c r="BW72" s="27"/>
      <c r="BX72" s="19" t="s">
        <v>416</v>
      </c>
      <c r="BY72" s="19" t="b">
        <f t="shared" si="29"/>
        <v>1</v>
      </c>
      <c r="BZ72" s="53" t="s">
        <v>416</v>
      </c>
      <c r="CA72" s="19" t="s">
        <v>1485</v>
      </c>
      <c r="CB72" s="19" t="s">
        <v>809</v>
      </c>
      <c r="CC72" s="19" t="s">
        <v>1973</v>
      </c>
      <c r="CD72" s="19" t="s">
        <v>1451</v>
      </c>
      <c r="CE72" s="19" t="s">
        <v>1410</v>
      </c>
      <c r="CF72" s="19" t="s">
        <v>1422</v>
      </c>
      <c r="CG72" s="19" t="s">
        <v>1423</v>
      </c>
      <c r="CH72" s="19" t="s">
        <v>1486</v>
      </c>
      <c r="CI72" s="19" t="s">
        <v>1487</v>
      </c>
      <c r="CJ72" s="19" t="s">
        <v>1482</v>
      </c>
      <c r="CK72" s="19" t="s">
        <v>1483</v>
      </c>
      <c r="CL72" s="19" t="s">
        <v>1488</v>
      </c>
      <c r="CM72" s="19" t="s">
        <v>1489</v>
      </c>
      <c r="CN72" s="19" t="s">
        <v>820</v>
      </c>
      <c r="CO72" s="19" t="s">
        <v>821</v>
      </c>
      <c r="CP72" s="19" t="s">
        <v>1433</v>
      </c>
      <c r="CQ72" s="19" t="s">
        <v>1434</v>
      </c>
      <c r="CR72" s="19" t="s">
        <v>1458</v>
      </c>
      <c r="CS72" s="19" t="s">
        <v>1459</v>
      </c>
      <c r="CT72" s="19"/>
      <c r="CU72" s="19"/>
      <c r="CV72" s="19"/>
      <c r="CW72" s="19"/>
      <c r="CX72" s="19"/>
      <c r="CY72" s="19"/>
      <c r="CZ72" s="19"/>
      <c r="DA72" s="19"/>
      <c r="DB72" s="19"/>
      <c r="DC72" s="19"/>
    </row>
    <row r="73" spans="1:107" s="7" customFormat="1" x14ac:dyDescent="0.25">
      <c r="A73" s="19" t="s">
        <v>74</v>
      </c>
      <c r="B73" s="19" t="s">
        <v>1531</v>
      </c>
      <c r="C73" s="19" t="str">
        <f t="shared" si="27"/>
        <v>99850161Executive Engineer, Punjab</v>
      </c>
      <c r="D73" s="19">
        <v>99850161</v>
      </c>
      <c r="E73" s="19" t="s">
        <v>406</v>
      </c>
      <c r="F73" s="19" t="s">
        <v>407</v>
      </c>
      <c r="G73" s="20" t="s">
        <v>406</v>
      </c>
      <c r="H73" s="19"/>
      <c r="I73" s="19" t="s">
        <v>230</v>
      </c>
      <c r="J73" s="19" t="s">
        <v>231</v>
      </c>
      <c r="K73" s="19" t="s">
        <v>402</v>
      </c>
      <c r="L73" s="19" t="s">
        <v>252</v>
      </c>
      <c r="M73" s="19" t="s">
        <v>298</v>
      </c>
      <c r="N73" s="19" t="s">
        <v>235</v>
      </c>
      <c r="O73" s="19" t="s">
        <v>368</v>
      </c>
      <c r="P73" s="51" t="s">
        <v>237</v>
      </c>
      <c r="Q73" s="19" t="s">
        <v>403</v>
      </c>
      <c r="R73" s="19">
        <v>4900</v>
      </c>
      <c r="S73" s="19" t="s">
        <v>239</v>
      </c>
      <c r="T73" s="19" t="s">
        <v>263</v>
      </c>
      <c r="U73" s="20" t="s">
        <v>263</v>
      </c>
      <c r="V73" s="19" t="s">
        <v>1537</v>
      </c>
      <c r="W73" s="19" t="s">
        <v>219</v>
      </c>
      <c r="X73" s="35"/>
      <c r="Y73" s="35"/>
      <c r="Z73" s="32"/>
      <c r="AA73" s="22">
        <v>2</v>
      </c>
      <c r="AB73" s="22"/>
      <c r="AC73" s="22"/>
      <c r="AD73" s="22"/>
      <c r="AE73" s="61">
        <f t="shared" ref="AE73:AE77" si="30">SUM(AA73:AD73)</f>
        <v>2</v>
      </c>
      <c r="AF73" s="22"/>
      <c r="AG73" s="40">
        <f t="shared" ref="AG73:AG77" si="31">AE73+AF73</f>
        <v>2</v>
      </c>
      <c r="AH73" s="24">
        <v>2</v>
      </c>
      <c r="AI73" s="24"/>
      <c r="AJ73" s="23">
        <f t="shared" ref="AJ73:AJ77" si="32">AG73-AH73+AI73</f>
        <v>0</v>
      </c>
      <c r="AK73" s="25"/>
      <c r="AL73" s="25"/>
      <c r="AM73" s="25"/>
      <c r="AN73" s="25"/>
      <c r="AO73" s="25">
        <f t="shared" si="28"/>
        <v>0</v>
      </c>
      <c r="AP73" s="13">
        <v>2</v>
      </c>
      <c r="AQ73" s="21"/>
      <c r="AR73" s="21"/>
      <c r="AS73" s="21">
        <v>2</v>
      </c>
      <c r="AT73" s="21"/>
      <c r="AU73" s="21"/>
      <c r="AV73" s="21"/>
      <c r="AW73" s="21"/>
      <c r="AX73" s="21"/>
      <c r="AY73" s="77"/>
      <c r="AZ73" s="21"/>
      <c r="BA73" s="21"/>
      <c r="BB73" s="21"/>
      <c r="BC73" s="21"/>
      <c r="BD73" s="21"/>
      <c r="BE73" s="21"/>
      <c r="BF73" s="77"/>
      <c r="BG73" s="21"/>
      <c r="BH73" s="21"/>
      <c r="BI73" s="21"/>
      <c r="BJ73" s="21"/>
      <c r="BK73" s="21"/>
      <c r="BL73" s="21"/>
      <c r="BM73" s="77"/>
      <c r="BN73" s="21"/>
      <c r="BO73" s="21"/>
      <c r="BP73" s="21"/>
      <c r="BQ73" s="21"/>
      <c r="BR73" s="21"/>
      <c r="BS73" s="21"/>
      <c r="BT73" s="96">
        <f t="shared" si="25"/>
        <v>2</v>
      </c>
      <c r="BU73" s="94">
        <f t="shared" si="26"/>
        <v>-2</v>
      </c>
      <c r="BV73" s="26"/>
      <c r="BW73" s="27"/>
      <c r="BX73" s="19" t="s">
        <v>406</v>
      </c>
      <c r="BY73" s="19" t="b">
        <f t="shared" si="29"/>
        <v>1</v>
      </c>
      <c r="BZ73" s="53" t="s">
        <v>406</v>
      </c>
      <c r="CA73" s="19" t="s">
        <v>831</v>
      </c>
      <c r="CB73" s="19" t="s">
        <v>809</v>
      </c>
      <c r="CC73" s="19" t="s">
        <v>810</v>
      </c>
      <c r="CD73" s="19" t="s">
        <v>826</v>
      </c>
      <c r="CE73" s="19" t="s">
        <v>802</v>
      </c>
      <c r="CF73" s="19" t="s">
        <v>812</v>
      </c>
      <c r="CG73" s="19" t="s">
        <v>813</v>
      </c>
      <c r="CH73" s="19" t="s">
        <v>814</v>
      </c>
      <c r="CI73" s="19" t="s">
        <v>815</v>
      </c>
      <c r="CJ73" s="19" t="s">
        <v>816</v>
      </c>
      <c r="CK73" s="19" t="s">
        <v>817</v>
      </c>
      <c r="CL73" s="19" t="s">
        <v>818</v>
      </c>
      <c r="CM73" s="19" t="s">
        <v>819</v>
      </c>
      <c r="CN73" s="19" t="s">
        <v>820</v>
      </c>
      <c r="CO73" s="19" t="s">
        <v>821</v>
      </c>
      <c r="CP73" s="19" t="s">
        <v>829</v>
      </c>
      <c r="CQ73" s="19" t="s">
        <v>830</v>
      </c>
      <c r="CR73" s="19" t="s">
        <v>827</v>
      </c>
      <c r="CS73" s="19" t="s">
        <v>828</v>
      </c>
      <c r="CT73" s="19"/>
      <c r="CU73" s="19"/>
      <c r="CV73" s="19"/>
      <c r="CW73" s="19"/>
      <c r="CX73" s="19"/>
      <c r="CY73" s="19"/>
      <c r="CZ73" s="19"/>
      <c r="DA73" s="19"/>
      <c r="DB73" s="19"/>
      <c r="DC73" s="19"/>
    </row>
    <row r="74" spans="1:107" s="7" customFormat="1" x14ac:dyDescent="0.25">
      <c r="A74" s="19" t="s">
        <v>228</v>
      </c>
      <c r="B74" s="19" t="s">
        <v>80</v>
      </c>
      <c r="C74" s="19" t="str">
        <f t="shared" si="27"/>
        <v>99801222India</v>
      </c>
      <c r="D74" s="19">
        <v>99801222</v>
      </c>
      <c r="E74" s="19" t="s">
        <v>400</v>
      </c>
      <c r="F74" s="19" t="s">
        <v>401</v>
      </c>
      <c r="G74" s="20" t="s">
        <v>400</v>
      </c>
      <c r="H74" s="19"/>
      <c r="I74" s="19" t="s">
        <v>230</v>
      </c>
      <c r="J74" s="19" t="s">
        <v>231</v>
      </c>
      <c r="K74" s="19" t="s">
        <v>402</v>
      </c>
      <c r="L74" s="19" t="s">
        <v>252</v>
      </c>
      <c r="M74" s="19" t="s">
        <v>298</v>
      </c>
      <c r="N74" s="19" t="s">
        <v>235</v>
      </c>
      <c r="O74" s="19" t="s">
        <v>368</v>
      </c>
      <c r="P74" s="51" t="s">
        <v>237</v>
      </c>
      <c r="Q74" s="19" t="s">
        <v>403</v>
      </c>
      <c r="R74" s="19">
        <v>4900</v>
      </c>
      <c r="S74" s="19" t="s">
        <v>239</v>
      </c>
      <c r="T74" s="19" t="s">
        <v>263</v>
      </c>
      <c r="U74" s="20" t="s">
        <v>263</v>
      </c>
      <c r="V74" s="19" t="s">
        <v>146</v>
      </c>
      <c r="W74" s="19" t="s">
        <v>1813</v>
      </c>
      <c r="X74" s="35">
        <v>34</v>
      </c>
      <c r="Y74" s="35">
        <v>30</v>
      </c>
      <c r="Z74" s="32"/>
      <c r="AA74" s="22">
        <v>6</v>
      </c>
      <c r="AB74" s="22">
        <v>14</v>
      </c>
      <c r="AC74" s="22">
        <v>14</v>
      </c>
      <c r="AD74" s="22">
        <v>2</v>
      </c>
      <c r="AE74" s="61">
        <f t="shared" si="30"/>
        <v>36</v>
      </c>
      <c r="AF74" s="22"/>
      <c r="AG74" s="40">
        <f t="shared" si="31"/>
        <v>36</v>
      </c>
      <c r="AH74" s="24"/>
      <c r="AI74" s="24">
        <v>14</v>
      </c>
      <c r="AJ74" s="23">
        <f t="shared" si="32"/>
        <v>50</v>
      </c>
      <c r="AK74" s="25">
        <v>12</v>
      </c>
      <c r="AL74" s="25">
        <v>15</v>
      </c>
      <c r="AM74" s="25">
        <v>15</v>
      </c>
      <c r="AN74" s="25">
        <v>8</v>
      </c>
      <c r="AO74" s="25">
        <f t="shared" si="28"/>
        <v>50</v>
      </c>
      <c r="AP74" s="13"/>
      <c r="AQ74" s="21"/>
      <c r="AR74" s="21"/>
      <c r="AS74" s="21"/>
      <c r="AT74" s="21"/>
      <c r="AU74" s="21">
        <v>3</v>
      </c>
      <c r="AV74" s="21">
        <v>3</v>
      </c>
      <c r="AW74" s="21">
        <v>3</v>
      </c>
      <c r="AX74" s="21">
        <v>3</v>
      </c>
      <c r="AY74" s="77"/>
      <c r="AZ74" s="21"/>
      <c r="BA74" s="21">
        <v>3</v>
      </c>
      <c r="BB74" s="21">
        <v>3</v>
      </c>
      <c r="BC74" s="21">
        <v>3</v>
      </c>
      <c r="BD74" s="21">
        <v>3</v>
      </c>
      <c r="BE74" s="21">
        <v>3</v>
      </c>
      <c r="BF74" s="77"/>
      <c r="BG74" s="21">
        <v>3</v>
      </c>
      <c r="BH74" s="21">
        <v>3</v>
      </c>
      <c r="BI74" s="21">
        <v>3</v>
      </c>
      <c r="BJ74" s="21"/>
      <c r="BK74" s="21"/>
      <c r="BL74" s="21"/>
      <c r="BM74" s="77"/>
      <c r="BN74" s="21"/>
      <c r="BO74" s="21"/>
      <c r="BP74" s="21"/>
      <c r="BQ74" s="21"/>
      <c r="BR74" s="21"/>
      <c r="BS74" s="21"/>
      <c r="BT74" s="96">
        <f t="shared" si="25"/>
        <v>36</v>
      </c>
      <c r="BU74" s="94">
        <f t="shared" si="26"/>
        <v>14</v>
      </c>
      <c r="BV74" s="26"/>
      <c r="BW74" s="27"/>
      <c r="BX74" s="19" t="s">
        <v>400</v>
      </c>
      <c r="BY74" s="19" t="b">
        <f t="shared" si="29"/>
        <v>1</v>
      </c>
      <c r="BZ74" s="53" t="s">
        <v>400</v>
      </c>
      <c r="CA74" s="19" t="s">
        <v>808</v>
      </c>
      <c r="CB74" s="19" t="s">
        <v>809</v>
      </c>
      <c r="CC74" s="19" t="s">
        <v>810</v>
      </c>
      <c r="CD74" s="19" t="s">
        <v>826</v>
      </c>
      <c r="CE74" s="19" t="s">
        <v>802</v>
      </c>
      <c r="CF74" s="19" t="s">
        <v>812</v>
      </c>
      <c r="CG74" s="19" t="s">
        <v>813</v>
      </c>
      <c r="CH74" s="19" t="s">
        <v>814</v>
      </c>
      <c r="CI74" s="19" t="s">
        <v>815</v>
      </c>
      <c r="CJ74" s="19" t="s">
        <v>816</v>
      </c>
      <c r="CK74" s="19" t="s">
        <v>817</v>
      </c>
      <c r="CL74" s="19" t="s">
        <v>818</v>
      </c>
      <c r="CM74" s="19" t="s">
        <v>819</v>
      </c>
      <c r="CN74" s="19" t="s">
        <v>820</v>
      </c>
      <c r="CO74" s="19" t="s">
        <v>821</v>
      </c>
      <c r="CP74" s="19" t="s">
        <v>822</v>
      </c>
      <c r="CQ74" s="19" t="s">
        <v>823</v>
      </c>
      <c r="CR74" s="19" t="s">
        <v>827</v>
      </c>
      <c r="CS74" s="19" t="s">
        <v>828</v>
      </c>
      <c r="CT74" s="19"/>
      <c r="CU74" s="19"/>
      <c r="CV74" s="19"/>
      <c r="CW74" s="19"/>
      <c r="CX74" s="19"/>
      <c r="CY74" s="19"/>
      <c r="CZ74" s="19"/>
      <c r="DA74" s="19"/>
      <c r="DB74" s="19"/>
      <c r="DC74" s="19"/>
    </row>
    <row r="75" spans="1:107" s="7" customFormat="1" x14ac:dyDescent="0.25">
      <c r="A75" s="19" t="s">
        <v>228</v>
      </c>
      <c r="B75" s="19" t="s">
        <v>80</v>
      </c>
      <c r="C75" s="19" t="str">
        <f t="shared" si="27"/>
        <v>99801221India</v>
      </c>
      <c r="D75" s="19">
        <v>99801221</v>
      </c>
      <c r="E75" s="19" t="s">
        <v>400</v>
      </c>
      <c r="F75" s="19" t="s">
        <v>401</v>
      </c>
      <c r="G75" s="20" t="s">
        <v>400</v>
      </c>
      <c r="H75" s="19"/>
      <c r="I75" s="19" t="s">
        <v>230</v>
      </c>
      <c r="J75" s="19" t="s">
        <v>231</v>
      </c>
      <c r="K75" s="19" t="s">
        <v>402</v>
      </c>
      <c r="L75" s="19" t="s">
        <v>252</v>
      </c>
      <c r="M75" s="19" t="s">
        <v>298</v>
      </c>
      <c r="N75" s="19" t="s">
        <v>235</v>
      </c>
      <c r="O75" s="19" t="s">
        <v>398</v>
      </c>
      <c r="P75" s="51" t="s">
        <v>237</v>
      </c>
      <c r="Q75" s="19" t="s">
        <v>403</v>
      </c>
      <c r="R75" s="19">
        <v>4900</v>
      </c>
      <c r="S75" s="19" t="s">
        <v>239</v>
      </c>
      <c r="T75" s="19" t="s">
        <v>263</v>
      </c>
      <c r="U75" s="20" t="s">
        <v>263</v>
      </c>
      <c r="V75" s="19" t="s">
        <v>147</v>
      </c>
      <c r="W75" s="19" t="s">
        <v>1814</v>
      </c>
      <c r="X75" s="35">
        <v>9</v>
      </c>
      <c r="Y75" s="35">
        <v>9</v>
      </c>
      <c r="Z75" s="32"/>
      <c r="AA75" s="22">
        <v>1</v>
      </c>
      <c r="AB75" s="22">
        <v>4</v>
      </c>
      <c r="AC75" s="22">
        <v>4</v>
      </c>
      <c r="AD75" s="22"/>
      <c r="AE75" s="61">
        <f t="shared" si="30"/>
        <v>9</v>
      </c>
      <c r="AF75" s="22"/>
      <c r="AG75" s="40">
        <f t="shared" si="31"/>
        <v>9</v>
      </c>
      <c r="AH75" s="24"/>
      <c r="AI75" s="24"/>
      <c r="AJ75" s="23">
        <f t="shared" si="32"/>
        <v>9</v>
      </c>
      <c r="AK75" s="25"/>
      <c r="AL75" s="25"/>
      <c r="AM75" s="25">
        <v>9</v>
      </c>
      <c r="AN75" s="25"/>
      <c r="AO75" s="25">
        <f t="shared" si="28"/>
        <v>9</v>
      </c>
      <c r="AP75" s="13"/>
      <c r="AQ75" s="21"/>
      <c r="AR75" s="21"/>
      <c r="AS75" s="21"/>
      <c r="AT75" s="21"/>
      <c r="AU75" s="21"/>
      <c r="AV75" s="21"/>
      <c r="AW75" s="21"/>
      <c r="AX75" s="21"/>
      <c r="AY75" s="77"/>
      <c r="AZ75" s="21"/>
      <c r="BA75" s="21"/>
      <c r="BB75" s="21"/>
      <c r="BC75" s="21"/>
      <c r="BD75" s="21"/>
      <c r="BE75" s="21"/>
      <c r="BF75" s="77"/>
      <c r="BG75" s="21">
        <v>3</v>
      </c>
      <c r="BH75" s="21">
        <v>3</v>
      </c>
      <c r="BI75" s="21">
        <v>3</v>
      </c>
      <c r="BJ75" s="21"/>
      <c r="BK75" s="21"/>
      <c r="BL75" s="21"/>
      <c r="BM75" s="77"/>
      <c r="BN75" s="21"/>
      <c r="BO75" s="21"/>
      <c r="BP75" s="21"/>
      <c r="BQ75" s="21"/>
      <c r="BR75" s="21"/>
      <c r="BS75" s="21"/>
      <c r="BT75" s="96">
        <f t="shared" si="25"/>
        <v>9</v>
      </c>
      <c r="BU75" s="94">
        <f t="shared" si="26"/>
        <v>0</v>
      </c>
      <c r="BV75" s="26"/>
      <c r="BW75" s="27"/>
      <c r="BX75" s="19" t="s">
        <v>400</v>
      </c>
      <c r="BY75" s="19" t="b">
        <f t="shared" si="29"/>
        <v>1</v>
      </c>
      <c r="BZ75" s="53" t="s">
        <v>400</v>
      </c>
      <c r="CA75" s="19" t="s">
        <v>808</v>
      </c>
      <c r="CB75" s="19" t="s">
        <v>809</v>
      </c>
      <c r="CC75" s="19" t="s">
        <v>810</v>
      </c>
      <c r="CD75" s="19" t="s">
        <v>826</v>
      </c>
      <c r="CE75" s="19" t="s">
        <v>802</v>
      </c>
      <c r="CF75" s="19" t="s">
        <v>812</v>
      </c>
      <c r="CG75" s="19" t="s">
        <v>813</v>
      </c>
      <c r="CH75" s="19" t="s">
        <v>814</v>
      </c>
      <c r="CI75" s="19" t="s">
        <v>815</v>
      </c>
      <c r="CJ75" s="19" t="s">
        <v>816</v>
      </c>
      <c r="CK75" s="19" t="s">
        <v>817</v>
      </c>
      <c r="CL75" s="19" t="s">
        <v>818</v>
      </c>
      <c r="CM75" s="19" t="s">
        <v>819</v>
      </c>
      <c r="CN75" s="19" t="s">
        <v>820</v>
      </c>
      <c r="CO75" s="19" t="s">
        <v>821</v>
      </c>
      <c r="CP75" s="19" t="s">
        <v>822</v>
      </c>
      <c r="CQ75" s="19" t="s">
        <v>823</v>
      </c>
      <c r="CR75" s="19" t="s">
        <v>827</v>
      </c>
      <c r="CS75" s="19" t="s">
        <v>828</v>
      </c>
      <c r="CT75" s="19"/>
      <c r="CU75" s="19"/>
      <c r="CV75" s="19"/>
      <c r="CW75" s="19"/>
      <c r="CX75" s="19"/>
      <c r="CY75" s="19"/>
      <c r="CZ75" s="19"/>
      <c r="DA75" s="19"/>
      <c r="DB75" s="19"/>
      <c r="DC75" s="19"/>
    </row>
    <row r="76" spans="1:107" s="7" customFormat="1" x14ac:dyDescent="0.25">
      <c r="A76" s="19" t="s">
        <v>228</v>
      </c>
      <c r="B76" s="19" t="s">
        <v>80</v>
      </c>
      <c r="C76" s="19" t="str">
        <f t="shared" si="27"/>
        <v>99850161India</v>
      </c>
      <c r="D76" s="19">
        <v>99850161</v>
      </c>
      <c r="E76" s="19" t="s">
        <v>406</v>
      </c>
      <c r="F76" s="19" t="s">
        <v>407</v>
      </c>
      <c r="G76" s="20" t="s">
        <v>406</v>
      </c>
      <c r="H76" s="19"/>
      <c r="I76" s="19" t="s">
        <v>230</v>
      </c>
      <c r="J76" s="19" t="s">
        <v>231</v>
      </c>
      <c r="K76" s="19" t="s">
        <v>402</v>
      </c>
      <c r="L76" s="19" t="s">
        <v>252</v>
      </c>
      <c r="M76" s="19" t="s">
        <v>298</v>
      </c>
      <c r="N76" s="19" t="s">
        <v>235</v>
      </c>
      <c r="O76" s="19" t="s">
        <v>368</v>
      </c>
      <c r="P76" s="51" t="s">
        <v>237</v>
      </c>
      <c r="Q76" s="19" t="s">
        <v>403</v>
      </c>
      <c r="R76" s="19">
        <v>4900</v>
      </c>
      <c r="S76" s="19" t="s">
        <v>239</v>
      </c>
      <c r="T76" s="19" t="s">
        <v>263</v>
      </c>
      <c r="U76" s="20" t="s">
        <v>263</v>
      </c>
      <c r="V76" s="19" t="s">
        <v>148</v>
      </c>
      <c r="W76" s="19" t="s">
        <v>1814</v>
      </c>
      <c r="X76" s="35">
        <v>4</v>
      </c>
      <c r="Y76" s="35">
        <v>4</v>
      </c>
      <c r="Z76" s="32"/>
      <c r="AA76" s="22"/>
      <c r="AB76" s="22">
        <v>1</v>
      </c>
      <c r="AC76" s="22"/>
      <c r="AD76" s="22">
        <v>1</v>
      </c>
      <c r="AE76" s="61">
        <f t="shared" si="30"/>
        <v>2</v>
      </c>
      <c r="AF76" s="22"/>
      <c r="AG76" s="40">
        <f t="shared" si="31"/>
        <v>2</v>
      </c>
      <c r="AH76" s="24"/>
      <c r="AI76" s="24"/>
      <c r="AJ76" s="23">
        <f t="shared" si="32"/>
        <v>2</v>
      </c>
      <c r="AK76" s="25"/>
      <c r="AL76" s="25">
        <v>2</v>
      </c>
      <c r="AM76" s="25"/>
      <c r="AN76" s="25"/>
      <c r="AO76" s="25">
        <f t="shared" si="28"/>
        <v>2</v>
      </c>
      <c r="AP76" s="13"/>
      <c r="AQ76" s="21"/>
      <c r="AR76" s="21"/>
      <c r="AS76" s="21"/>
      <c r="AT76" s="21"/>
      <c r="AU76" s="21"/>
      <c r="AV76" s="21"/>
      <c r="AW76" s="21"/>
      <c r="AX76" s="21"/>
      <c r="AY76" s="77"/>
      <c r="AZ76" s="21"/>
      <c r="BA76" s="21"/>
      <c r="BB76" s="21">
        <v>2</v>
      </c>
      <c r="BC76" s="21"/>
      <c r="BD76" s="21"/>
      <c r="BE76" s="21"/>
      <c r="BF76" s="77"/>
      <c r="BG76" s="21"/>
      <c r="BH76" s="21"/>
      <c r="BI76" s="21"/>
      <c r="BJ76" s="21"/>
      <c r="BK76" s="21"/>
      <c r="BL76" s="21"/>
      <c r="BM76" s="77"/>
      <c r="BN76" s="21"/>
      <c r="BO76" s="21"/>
      <c r="BP76" s="21"/>
      <c r="BQ76" s="21"/>
      <c r="BR76" s="21"/>
      <c r="BS76" s="21"/>
      <c r="BT76" s="96">
        <f t="shared" si="25"/>
        <v>2</v>
      </c>
      <c r="BU76" s="94">
        <f t="shared" si="26"/>
        <v>0</v>
      </c>
      <c r="BV76" s="26"/>
      <c r="BW76" s="27"/>
      <c r="BX76" s="19" t="s">
        <v>406</v>
      </c>
      <c r="BY76" s="19" t="b">
        <f t="shared" si="29"/>
        <v>1</v>
      </c>
      <c r="BZ76" s="53" t="s">
        <v>406</v>
      </c>
      <c r="CA76" s="19" t="s">
        <v>831</v>
      </c>
      <c r="CB76" s="19" t="s">
        <v>809</v>
      </c>
      <c r="CC76" s="19" t="s">
        <v>810</v>
      </c>
      <c r="CD76" s="19" t="s">
        <v>826</v>
      </c>
      <c r="CE76" s="19" t="s">
        <v>802</v>
      </c>
      <c r="CF76" s="19" t="s">
        <v>812</v>
      </c>
      <c r="CG76" s="19" t="s">
        <v>813</v>
      </c>
      <c r="CH76" s="19" t="s">
        <v>814</v>
      </c>
      <c r="CI76" s="19" t="s">
        <v>815</v>
      </c>
      <c r="CJ76" s="19" t="s">
        <v>816</v>
      </c>
      <c r="CK76" s="19" t="s">
        <v>817</v>
      </c>
      <c r="CL76" s="19" t="s">
        <v>818</v>
      </c>
      <c r="CM76" s="19" t="s">
        <v>819</v>
      </c>
      <c r="CN76" s="19" t="s">
        <v>820</v>
      </c>
      <c r="CO76" s="19" t="s">
        <v>821</v>
      </c>
      <c r="CP76" s="19" t="s">
        <v>829</v>
      </c>
      <c r="CQ76" s="19" t="s">
        <v>830</v>
      </c>
      <c r="CR76" s="19" t="s">
        <v>827</v>
      </c>
      <c r="CS76" s="19" t="s">
        <v>828</v>
      </c>
      <c r="CT76" s="19"/>
      <c r="CU76" s="19"/>
      <c r="CV76" s="19"/>
      <c r="CW76" s="19"/>
      <c r="CX76" s="19"/>
      <c r="CY76" s="19"/>
      <c r="CZ76" s="19"/>
      <c r="DA76" s="19"/>
      <c r="DB76" s="19"/>
      <c r="DC76" s="19"/>
    </row>
    <row r="77" spans="1:107" s="7" customFormat="1" x14ac:dyDescent="0.25">
      <c r="A77" s="19" t="s">
        <v>228</v>
      </c>
      <c r="B77" s="19" t="s">
        <v>80</v>
      </c>
      <c r="C77" s="19" t="str">
        <f t="shared" si="27"/>
        <v>99801225India</v>
      </c>
      <c r="D77" s="19">
        <v>99801225</v>
      </c>
      <c r="E77" s="19" t="s">
        <v>417</v>
      </c>
      <c r="F77" s="19" t="s">
        <v>418</v>
      </c>
      <c r="G77" s="20" t="s">
        <v>417</v>
      </c>
      <c r="H77" s="19"/>
      <c r="I77" s="19" t="s">
        <v>230</v>
      </c>
      <c r="J77" s="19" t="s">
        <v>231</v>
      </c>
      <c r="K77" s="19" t="s">
        <v>402</v>
      </c>
      <c r="L77" s="19" t="s">
        <v>252</v>
      </c>
      <c r="M77" s="19" t="s">
        <v>298</v>
      </c>
      <c r="N77" s="19" t="s">
        <v>235</v>
      </c>
      <c r="O77" s="19" t="s">
        <v>368</v>
      </c>
      <c r="P77" s="51" t="s">
        <v>237</v>
      </c>
      <c r="Q77" s="19" t="s">
        <v>403</v>
      </c>
      <c r="R77" s="19">
        <v>4900</v>
      </c>
      <c r="S77" s="19" t="s">
        <v>239</v>
      </c>
      <c r="T77" s="19" t="s">
        <v>263</v>
      </c>
      <c r="U77" s="20" t="s">
        <v>263</v>
      </c>
      <c r="V77" s="19" t="s">
        <v>154</v>
      </c>
      <c r="W77" s="19" t="s">
        <v>219</v>
      </c>
      <c r="X77" s="35">
        <v>1</v>
      </c>
      <c r="Y77" s="35">
        <v>1</v>
      </c>
      <c r="Z77" s="32"/>
      <c r="AA77" s="22"/>
      <c r="AB77" s="22"/>
      <c r="AC77" s="22"/>
      <c r="AD77" s="22"/>
      <c r="AE77" s="61">
        <f t="shared" si="30"/>
        <v>0</v>
      </c>
      <c r="AF77" s="22"/>
      <c r="AG77" s="40">
        <f t="shared" si="31"/>
        <v>0</v>
      </c>
      <c r="AH77" s="24"/>
      <c r="AI77" s="24"/>
      <c r="AJ77" s="23">
        <f t="shared" si="32"/>
        <v>0</v>
      </c>
      <c r="AK77" s="25"/>
      <c r="AL77" s="25"/>
      <c r="AM77" s="25"/>
      <c r="AN77" s="25"/>
      <c r="AO77" s="25">
        <f t="shared" si="28"/>
        <v>0</v>
      </c>
      <c r="AP77" s="13"/>
      <c r="AQ77" s="21"/>
      <c r="AR77" s="21"/>
      <c r="AS77" s="21"/>
      <c r="AT77" s="21"/>
      <c r="AU77" s="21"/>
      <c r="AV77" s="21"/>
      <c r="AW77" s="21"/>
      <c r="AX77" s="21"/>
      <c r="AY77" s="77"/>
      <c r="AZ77" s="21"/>
      <c r="BA77" s="21"/>
      <c r="BB77" s="21"/>
      <c r="BC77" s="21"/>
      <c r="BD77" s="21"/>
      <c r="BE77" s="21"/>
      <c r="BF77" s="77"/>
      <c r="BG77" s="21"/>
      <c r="BH77" s="21"/>
      <c r="BI77" s="21"/>
      <c r="BJ77" s="21"/>
      <c r="BK77" s="21"/>
      <c r="BL77" s="21"/>
      <c r="BM77" s="77"/>
      <c r="BN77" s="21"/>
      <c r="BO77" s="21"/>
      <c r="BP77" s="21"/>
      <c r="BQ77" s="21"/>
      <c r="BR77" s="21"/>
      <c r="BS77" s="21"/>
      <c r="BT77" s="96">
        <f t="shared" si="25"/>
        <v>0</v>
      </c>
      <c r="BU77" s="94">
        <f t="shared" si="26"/>
        <v>0</v>
      </c>
      <c r="BV77" s="26"/>
      <c r="BW77" s="27"/>
      <c r="BX77" s="19" t="s">
        <v>417</v>
      </c>
      <c r="BY77" s="19" t="b">
        <f t="shared" si="29"/>
        <v>1</v>
      </c>
      <c r="BZ77" s="53" t="s">
        <v>417</v>
      </c>
      <c r="CA77" s="19" t="s">
        <v>832</v>
      </c>
      <c r="CB77" s="19" t="s">
        <v>809</v>
      </c>
      <c r="CC77" s="19" t="s">
        <v>810</v>
      </c>
      <c r="CD77" s="19" t="s">
        <v>826</v>
      </c>
      <c r="CE77" s="19" t="s">
        <v>802</v>
      </c>
      <c r="CF77" s="19" t="s">
        <v>812</v>
      </c>
      <c r="CG77" s="19" t="s">
        <v>813</v>
      </c>
      <c r="CH77" s="19" t="s">
        <v>814</v>
      </c>
      <c r="CI77" s="19" t="s">
        <v>815</v>
      </c>
      <c r="CJ77" s="19" t="s">
        <v>816</v>
      </c>
      <c r="CK77" s="19" t="s">
        <v>817</v>
      </c>
      <c r="CL77" s="19" t="s">
        <v>818</v>
      </c>
      <c r="CM77" s="19" t="s">
        <v>819</v>
      </c>
      <c r="CN77" s="19" t="s">
        <v>820</v>
      </c>
      <c r="CO77" s="19" t="s">
        <v>821</v>
      </c>
      <c r="CP77" s="19" t="s">
        <v>822</v>
      </c>
      <c r="CQ77" s="19" t="s">
        <v>823</v>
      </c>
      <c r="CR77" s="19" t="s">
        <v>827</v>
      </c>
      <c r="CS77" s="19" t="s">
        <v>828</v>
      </c>
      <c r="CT77" s="19"/>
      <c r="CU77" s="19"/>
      <c r="CV77" s="19"/>
      <c r="CW77" s="19"/>
      <c r="CX77" s="19"/>
      <c r="CY77" s="19"/>
      <c r="CZ77" s="19"/>
      <c r="DA77" s="19"/>
      <c r="DB77" s="19"/>
      <c r="DC77" s="19"/>
    </row>
    <row r="78" spans="1:107" s="7" customFormat="1" x14ac:dyDescent="0.25">
      <c r="A78" s="19" t="s">
        <v>74</v>
      </c>
      <c r="B78" s="19" t="s">
        <v>1738</v>
      </c>
      <c r="C78" s="19" t="str">
        <f t="shared" si="27"/>
        <v>99703616CRPF (12) /CISF (4)</v>
      </c>
      <c r="D78" s="19">
        <v>99703616</v>
      </c>
      <c r="E78" s="19" t="s">
        <v>229</v>
      </c>
      <c r="F78" s="19" t="s">
        <v>1866</v>
      </c>
      <c r="G78" s="20" t="s">
        <v>1866</v>
      </c>
      <c r="H78" s="19"/>
      <c r="I78" s="19" t="s">
        <v>230</v>
      </c>
      <c r="J78" s="19" t="s">
        <v>231</v>
      </c>
      <c r="K78" s="19" t="s">
        <v>232</v>
      </c>
      <c r="L78" s="19" t="s">
        <v>233</v>
      </c>
      <c r="M78" s="19" t="s">
        <v>234</v>
      </c>
      <c r="N78" s="19" t="s">
        <v>235</v>
      </c>
      <c r="O78" s="19" t="s">
        <v>1583</v>
      </c>
      <c r="P78" s="51" t="s">
        <v>237</v>
      </c>
      <c r="Q78" s="19" t="s">
        <v>238</v>
      </c>
      <c r="R78" s="19">
        <v>5000</v>
      </c>
      <c r="S78" s="19" t="s">
        <v>239</v>
      </c>
      <c r="T78" s="19" t="s">
        <v>240</v>
      </c>
      <c r="U78" s="20" t="s">
        <v>240</v>
      </c>
      <c r="V78" s="19" t="s">
        <v>1756</v>
      </c>
      <c r="W78" s="19" t="s">
        <v>219</v>
      </c>
      <c r="X78" s="35"/>
      <c r="Y78" s="35"/>
      <c r="Z78" s="32"/>
      <c r="AA78" s="22">
        <v>16</v>
      </c>
      <c r="AB78" s="22"/>
      <c r="AC78" s="22"/>
      <c r="AD78" s="22"/>
      <c r="AE78" s="61">
        <v>16</v>
      </c>
      <c r="AF78" s="22"/>
      <c r="AG78" s="40">
        <v>16</v>
      </c>
      <c r="AH78" s="24"/>
      <c r="AI78" s="24"/>
      <c r="AJ78" s="23">
        <v>16</v>
      </c>
      <c r="AK78" s="25"/>
      <c r="AL78" s="25">
        <v>8</v>
      </c>
      <c r="AM78" s="25">
        <v>8</v>
      </c>
      <c r="AN78" s="25"/>
      <c r="AO78" s="25">
        <f t="shared" si="28"/>
        <v>16</v>
      </c>
      <c r="AP78" s="13"/>
      <c r="AQ78" s="21"/>
      <c r="AR78" s="21"/>
      <c r="AS78" s="21"/>
      <c r="AT78" s="21"/>
      <c r="AU78" s="21"/>
      <c r="AV78" s="21"/>
      <c r="AW78" s="21"/>
      <c r="AX78" s="21"/>
      <c r="AY78" s="77"/>
      <c r="AZ78" s="21"/>
      <c r="BA78" s="21"/>
      <c r="BB78" s="21"/>
      <c r="BC78" s="21">
        <v>2</v>
      </c>
      <c r="BD78" s="21">
        <v>2</v>
      </c>
      <c r="BE78" s="21">
        <v>2</v>
      </c>
      <c r="BF78" s="77"/>
      <c r="BG78" s="21">
        <v>2</v>
      </c>
      <c r="BH78" s="21">
        <v>2</v>
      </c>
      <c r="BI78" s="21">
        <v>3</v>
      </c>
      <c r="BJ78" s="21">
        <v>3</v>
      </c>
      <c r="BK78" s="21"/>
      <c r="BL78" s="21"/>
      <c r="BM78" s="77"/>
      <c r="BN78" s="21"/>
      <c r="BO78" s="21"/>
      <c r="BP78" s="21"/>
      <c r="BQ78" s="21"/>
      <c r="BR78" s="21"/>
      <c r="BS78" s="21"/>
      <c r="BT78" s="96">
        <f t="shared" si="25"/>
        <v>16</v>
      </c>
      <c r="BU78" s="94">
        <f t="shared" si="26"/>
        <v>0</v>
      </c>
      <c r="BV78" s="26"/>
      <c r="BW78" s="27"/>
      <c r="BX78" s="19" t="s">
        <v>1866</v>
      </c>
      <c r="BY78" s="19" t="b">
        <f t="shared" si="29"/>
        <v>1</v>
      </c>
      <c r="BZ78" s="53" t="s">
        <v>1866</v>
      </c>
      <c r="CA78" s="19" t="s">
        <v>1980</v>
      </c>
      <c r="CB78" s="19" t="s">
        <v>809</v>
      </c>
      <c r="CC78" s="19" t="s">
        <v>1973</v>
      </c>
      <c r="CD78" s="19" t="s">
        <v>811</v>
      </c>
      <c r="CE78" s="19" t="s">
        <v>807</v>
      </c>
      <c r="CF78" s="19" t="s">
        <v>1981</v>
      </c>
      <c r="CG78" s="19" t="s">
        <v>1982</v>
      </c>
      <c r="CH78" s="19" t="s">
        <v>803</v>
      </c>
      <c r="CI78" s="19" t="s">
        <v>804</v>
      </c>
      <c r="CJ78" s="19" t="s">
        <v>1715</v>
      </c>
      <c r="CK78" s="19" t="s">
        <v>1716</v>
      </c>
      <c r="CL78" s="19" t="s">
        <v>1983</v>
      </c>
      <c r="CM78" s="19" t="s">
        <v>1984</v>
      </c>
      <c r="CN78" s="19" t="s">
        <v>820</v>
      </c>
      <c r="CO78" s="19" t="s">
        <v>821</v>
      </c>
      <c r="CP78" s="19" t="s">
        <v>805</v>
      </c>
      <c r="CQ78" s="19" t="s">
        <v>806</v>
      </c>
      <c r="CR78" s="19" t="s">
        <v>1985</v>
      </c>
      <c r="CS78" s="19" t="s">
        <v>1986</v>
      </c>
      <c r="CT78" s="19"/>
      <c r="CU78" s="19"/>
      <c r="CV78" s="19"/>
      <c r="CW78" s="19"/>
      <c r="CX78" s="19"/>
      <c r="CY78" s="19"/>
      <c r="CZ78" s="19"/>
      <c r="DA78" s="19"/>
      <c r="DB78" s="19"/>
      <c r="DC78" s="19"/>
    </row>
    <row r="79" spans="1:107" s="7" customFormat="1" x14ac:dyDescent="0.25">
      <c r="A79" s="19" t="s">
        <v>74</v>
      </c>
      <c r="B79" s="19" t="s">
        <v>1739</v>
      </c>
      <c r="C79" s="19" t="str">
        <f t="shared" si="27"/>
        <v>99703618CRPF (16)</v>
      </c>
      <c r="D79" s="19">
        <v>99703618</v>
      </c>
      <c r="E79" s="19" t="s">
        <v>229</v>
      </c>
      <c r="F79" s="19" t="s">
        <v>1866</v>
      </c>
      <c r="G79" s="20" t="s">
        <v>1866</v>
      </c>
      <c r="H79" s="19"/>
      <c r="I79" s="19" t="s">
        <v>230</v>
      </c>
      <c r="J79" s="19" t="s">
        <v>231</v>
      </c>
      <c r="K79" s="19" t="s">
        <v>232</v>
      </c>
      <c r="L79" s="19" t="s">
        <v>233</v>
      </c>
      <c r="M79" s="19" t="s">
        <v>1865</v>
      </c>
      <c r="N79" s="19" t="s">
        <v>235</v>
      </c>
      <c r="O79" s="19" t="s">
        <v>1583</v>
      </c>
      <c r="P79" s="51" t="s">
        <v>237</v>
      </c>
      <c r="Q79" s="19" t="s">
        <v>238</v>
      </c>
      <c r="R79" s="19">
        <v>5000</v>
      </c>
      <c r="S79" s="19" t="s">
        <v>239</v>
      </c>
      <c r="T79" s="19" t="s">
        <v>240</v>
      </c>
      <c r="U79" s="20" t="s">
        <v>240</v>
      </c>
      <c r="V79" s="19" t="s">
        <v>1757</v>
      </c>
      <c r="W79" s="19" t="s">
        <v>219</v>
      </c>
      <c r="X79" s="35"/>
      <c r="Y79" s="35"/>
      <c r="Z79" s="32"/>
      <c r="AA79" s="22">
        <v>16</v>
      </c>
      <c r="AB79" s="22"/>
      <c r="AC79" s="22"/>
      <c r="AD79" s="22"/>
      <c r="AE79" s="61">
        <v>16</v>
      </c>
      <c r="AF79" s="22"/>
      <c r="AG79" s="40">
        <v>16</v>
      </c>
      <c r="AH79" s="24"/>
      <c r="AI79" s="24"/>
      <c r="AJ79" s="23">
        <v>16</v>
      </c>
      <c r="AK79" s="25"/>
      <c r="AL79" s="25">
        <v>8</v>
      </c>
      <c r="AM79" s="25">
        <v>8</v>
      </c>
      <c r="AN79" s="25"/>
      <c r="AO79" s="25">
        <f t="shared" si="28"/>
        <v>16</v>
      </c>
      <c r="AP79" s="13"/>
      <c r="AQ79" s="21"/>
      <c r="AR79" s="21"/>
      <c r="AS79" s="21"/>
      <c r="AT79" s="21"/>
      <c r="AU79" s="21"/>
      <c r="AV79" s="21"/>
      <c r="AW79" s="21"/>
      <c r="AX79" s="21"/>
      <c r="AY79" s="77"/>
      <c r="AZ79" s="21"/>
      <c r="BA79" s="21"/>
      <c r="BB79" s="21"/>
      <c r="BC79" s="21">
        <v>2</v>
      </c>
      <c r="BD79" s="21">
        <v>2</v>
      </c>
      <c r="BE79" s="21">
        <v>2</v>
      </c>
      <c r="BF79" s="77"/>
      <c r="BG79" s="21">
        <v>2</v>
      </c>
      <c r="BH79" s="21">
        <v>2</v>
      </c>
      <c r="BI79" s="21">
        <v>3</v>
      </c>
      <c r="BJ79" s="21">
        <v>3</v>
      </c>
      <c r="BK79" s="21"/>
      <c r="BL79" s="21"/>
      <c r="BM79" s="77"/>
      <c r="BN79" s="21"/>
      <c r="BO79" s="21"/>
      <c r="BP79" s="21"/>
      <c r="BQ79" s="21"/>
      <c r="BR79" s="21"/>
      <c r="BS79" s="21"/>
      <c r="BT79" s="96">
        <f t="shared" si="25"/>
        <v>16</v>
      </c>
      <c r="BU79" s="94">
        <f t="shared" si="26"/>
        <v>0</v>
      </c>
      <c r="BV79" s="26"/>
      <c r="BW79" s="27"/>
      <c r="BX79" s="19" t="s">
        <v>1866</v>
      </c>
      <c r="BY79" s="19" t="b">
        <f t="shared" si="29"/>
        <v>1</v>
      </c>
      <c r="BZ79" s="53" t="s">
        <v>1866</v>
      </c>
      <c r="CA79" s="19" t="s">
        <v>1980</v>
      </c>
      <c r="CB79" s="19" t="s">
        <v>809</v>
      </c>
      <c r="CC79" s="19" t="s">
        <v>1973</v>
      </c>
      <c r="CD79" s="19" t="s">
        <v>811</v>
      </c>
      <c r="CE79" s="19" t="s">
        <v>807</v>
      </c>
      <c r="CF79" s="19" t="s">
        <v>1981</v>
      </c>
      <c r="CG79" s="19" t="s">
        <v>1982</v>
      </c>
      <c r="CH79" s="19" t="s">
        <v>803</v>
      </c>
      <c r="CI79" s="19" t="s">
        <v>804</v>
      </c>
      <c r="CJ79" s="19" t="s">
        <v>1715</v>
      </c>
      <c r="CK79" s="19" t="s">
        <v>1716</v>
      </c>
      <c r="CL79" s="19" t="s">
        <v>1983</v>
      </c>
      <c r="CM79" s="19" t="s">
        <v>1984</v>
      </c>
      <c r="CN79" s="19" t="s">
        <v>820</v>
      </c>
      <c r="CO79" s="19" t="s">
        <v>821</v>
      </c>
      <c r="CP79" s="19" t="s">
        <v>805</v>
      </c>
      <c r="CQ79" s="19" t="s">
        <v>806</v>
      </c>
      <c r="CR79" s="19" t="s">
        <v>1985</v>
      </c>
      <c r="CS79" s="19" t="s">
        <v>1986</v>
      </c>
      <c r="CT79" s="19"/>
      <c r="CU79" s="19"/>
      <c r="CV79" s="19"/>
      <c r="CW79" s="19"/>
      <c r="CX79" s="19"/>
      <c r="CY79" s="19"/>
      <c r="CZ79" s="19"/>
      <c r="DA79" s="19"/>
      <c r="DB79" s="19"/>
      <c r="DC79" s="19"/>
    </row>
    <row r="80" spans="1:107" s="7" customFormat="1" x14ac:dyDescent="0.25">
      <c r="A80" s="19" t="s">
        <v>228</v>
      </c>
      <c r="B80" s="19" t="s">
        <v>80</v>
      </c>
      <c r="C80" s="19" t="str">
        <f t="shared" ref="C80:C108" si="33">D80&amp;B80</f>
        <v>99850268India</v>
      </c>
      <c r="D80" s="19">
        <v>99850268</v>
      </c>
      <c r="E80" s="19" t="s">
        <v>408</v>
      </c>
      <c r="F80" s="19" t="s">
        <v>408</v>
      </c>
      <c r="G80" s="20" t="s">
        <v>408</v>
      </c>
      <c r="H80" s="19"/>
      <c r="I80" s="19" t="s">
        <v>230</v>
      </c>
      <c r="J80" s="19" t="s">
        <v>231</v>
      </c>
      <c r="K80" s="19" t="s">
        <v>409</v>
      </c>
      <c r="L80" s="19" t="s">
        <v>252</v>
      </c>
      <c r="M80" s="19" t="s">
        <v>298</v>
      </c>
      <c r="N80" s="19" t="s">
        <v>235</v>
      </c>
      <c r="O80" s="19" t="s">
        <v>368</v>
      </c>
      <c r="P80" s="51" t="s">
        <v>237</v>
      </c>
      <c r="Q80" s="19" t="s">
        <v>410</v>
      </c>
      <c r="R80" s="19">
        <v>5140</v>
      </c>
      <c r="S80" s="19" t="s">
        <v>239</v>
      </c>
      <c r="T80" s="19" t="s">
        <v>240</v>
      </c>
      <c r="U80" s="20" t="s">
        <v>240</v>
      </c>
      <c r="V80" s="19" t="s">
        <v>149</v>
      </c>
      <c r="W80" s="19" t="s">
        <v>1814</v>
      </c>
      <c r="X80" s="35">
        <v>14</v>
      </c>
      <c r="Y80" s="35">
        <v>14</v>
      </c>
      <c r="Z80" s="32"/>
      <c r="AA80" s="22">
        <v>1</v>
      </c>
      <c r="AB80" s="22">
        <v>4</v>
      </c>
      <c r="AC80" s="22">
        <v>1</v>
      </c>
      <c r="AD80" s="22">
        <v>2</v>
      </c>
      <c r="AE80" s="61">
        <v>8</v>
      </c>
      <c r="AF80" s="22"/>
      <c r="AG80" s="40">
        <v>8</v>
      </c>
      <c r="AH80" s="24"/>
      <c r="AI80" s="24">
        <v>10</v>
      </c>
      <c r="AJ80" s="23">
        <v>18</v>
      </c>
      <c r="AK80" s="25"/>
      <c r="AL80" s="25">
        <v>9</v>
      </c>
      <c r="AM80" s="25">
        <v>9</v>
      </c>
      <c r="AN80" s="25"/>
      <c r="AO80" s="25">
        <f t="shared" ref="AO80:AO109" si="34">SUM(AK80:AN80)</f>
        <v>18</v>
      </c>
      <c r="AP80" s="13"/>
      <c r="AQ80" s="21"/>
      <c r="AR80" s="21"/>
      <c r="AS80" s="21"/>
      <c r="AT80" s="21"/>
      <c r="AU80" s="21"/>
      <c r="AV80" s="21"/>
      <c r="AW80" s="21"/>
      <c r="AX80" s="21"/>
      <c r="AY80" s="77"/>
      <c r="AZ80" s="21"/>
      <c r="BA80" s="21"/>
      <c r="BB80" s="21"/>
      <c r="BC80" s="21">
        <v>2</v>
      </c>
      <c r="BD80" s="21">
        <v>2</v>
      </c>
      <c r="BE80" s="21">
        <v>2</v>
      </c>
      <c r="BF80" s="77"/>
      <c r="BG80" s="21">
        <v>2</v>
      </c>
      <c r="BH80" s="21"/>
      <c r="BI80" s="21"/>
      <c r="BJ80" s="21"/>
      <c r="BK80" s="21"/>
      <c r="BL80" s="21"/>
      <c r="BM80" s="77"/>
      <c r="BN80" s="21"/>
      <c r="BO80" s="21"/>
      <c r="BP80" s="21"/>
      <c r="BQ80" s="21"/>
      <c r="BR80" s="21"/>
      <c r="BS80" s="21"/>
      <c r="BT80" s="96">
        <f t="shared" si="25"/>
        <v>8</v>
      </c>
      <c r="BU80" s="94">
        <f t="shared" si="26"/>
        <v>10</v>
      </c>
      <c r="BV80" s="26"/>
      <c r="BW80" s="27"/>
      <c r="BX80" s="19" t="s">
        <v>408</v>
      </c>
      <c r="BY80" s="19" t="b">
        <f t="shared" ref="BY80:BY108" si="35">BZ80=BX80</f>
        <v>1</v>
      </c>
      <c r="BZ80" s="53" t="s">
        <v>408</v>
      </c>
      <c r="CA80" s="19" t="s">
        <v>1500</v>
      </c>
      <c r="CB80" s="19" t="s">
        <v>809</v>
      </c>
      <c r="CC80" s="19" t="s">
        <v>1973</v>
      </c>
      <c r="CD80" s="19" t="s">
        <v>1987</v>
      </c>
      <c r="CE80" s="19" t="s">
        <v>1988</v>
      </c>
      <c r="CF80" s="19" t="s">
        <v>1502</v>
      </c>
      <c r="CG80" s="19" t="s">
        <v>1503</v>
      </c>
      <c r="CH80" s="19" t="s">
        <v>1504</v>
      </c>
      <c r="CI80" s="19" t="s">
        <v>1505</v>
      </c>
      <c r="CJ80" s="19" t="s">
        <v>1506</v>
      </c>
      <c r="CK80" s="19" t="s">
        <v>1507</v>
      </c>
      <c r="CL80" s="19" t="s">
        <v>1508</v>
      </c>
      <c r="CM80" s="19" t="s">
        <v>1509</v>
      </c>
      <c r="CN80" s="19" t="s">
        <v>820</v>
      </c>
      <c r="CO80" s="19" t="s">
        <v>821</v>
      </c>
      <c r="CP80" s="19" t="s">
        <v>1510</v>
      </c>
      <c r="CQ80" s="19" t="s">
        <v>1511</v>
      </c>
      <c r="CR80" s="19" t="s">
        <v>1989</v>
      </c>
      <c r="CS80" s="19" t="s">
        <v>1990</v>
      </c>
      <c r="CT80" s="19"/>
      <c r="CU80" s="19"/>
      <c r="CV80" s="19"/>
      <c r="CW80" s="19"/>
      <c r="CX80" s="19"/>
      <c r="CY80" s="19"/>
      <c r="CZ80" s="19"/>
      <c r="DA80" s="19"/>
      <c r="DB80" s="19"/>
      <c r="DC80" s="19"/>
    </row>
    <row r="81" spans="1:107" s="7" customFormat="1" x14ac:dyDescent="0.25">
      <c r="A81" s="19" t="s">
        <v>228</v>
      </c>
      <c r="B81" s="19" t="s">
        <v>80</v>
      </c>
      <c r="C81" s="19" t="str">
        <f t="shared" si="33"/>
        <v>99850523India</v>
      </c>
      <c r="D81" s="19">
        <v>99850523</v>
      </c>
      <c r="E81" s="19" t="s">
        <v>411</v>
      </c>
      <c r="F81" s="19" t="s">
        <v>412</v>
      </c>
      <c r="G81" s="20" t="s">
        <v>412</v>
      </c>
      <c r="H81" s="19"/>
      <c r="I81" s="19" t="s">
        <v>230</v>
      </c>
      <c r="J81" s="19" t="s">
        <v>231</v>
      </c>
      <c r="K81" s="19" t="s">
        <v>413</v>
      </c>
      <c r="L81" s="19" t="s">
        <v>245</v>
      </c>
      <c r="M81" s="19" t="s">
        <v>298</v>
      </c>
      <c r="N81" s="19" t="s">
        <v>235</v>
      </c>
      <c r="O81" s="19" t="s">
        <v>368</v>
      </c>
      <c r="P81" s="51" t="s">
        <v>237</v>
      </c>
      <c r="Q81" s="19" t="s">
        <v>410</v>
      </c>
      <c r="R81" s="19">
        <v>5140</v>
      </c>
      <c r="S81" s="19" t="s">
        <v>239</v>
      </c>
      <c r="T81" s="19" t="s">
        <v>240</v>
      </c>
      <c r="U81" s="20" t="s">
        <v>240</v>
      </c>
      <c r="V81" s="19" t="s">
        <v>1812</v>
      </c>
      <c r="W81" s="19" t="s">
        <v>219</v>
      </c>
      <c r="X81" s="35">
        <v>8</v>
      </c>
      <c r="Y81" s="35">
        <v>8</v>
      </c>
      <c r="Z81" s="32"/>
      <c r="AA81" s="22">
        <v>10</v>
      </c>
      <c r="AB81" s="22">
        <v>10</v>
      </c>
      <c r="AC81" s="22"/>
      <c r="AD81" s="22"/>
      <c r="AE81" s="61">
        <v>20</v>
      </c>
      <c r="AF81" s="22"/>
      <c r="AG81" s="40">
        <v>20</v>
      </c>
      <c r="AH81" s="24"/>
      <c r="AI81" s="24"/>
      <c r="AJ81" s="23">
        <v>20</v>
      </c>
      <c r="AK81" s="25"/>
      <c r="AL81" s="25">
        <v>10</v>
      </c>
      <c r="AM81" s="25">
        <v>10</v>
      </c>
      <c r="AN81" s="25"/>
      <c r="AO81" s="25">
        <f t="shared" si="34"/>
        <v>20</v>
      </c>
      <c r="AP81" s="13"/>
      <c r="AQ81" s="21"/>
      <c r="AR81" s="21"/>
      <c r="AS81" s="21"/>
      <c r="AT81" s="21"/>
      <c r="AU81" s="21"/>
      <c r="AV81" s="21"/>
      <c r="AW81" s="21"/>
      <c r="AX81" s="21"/>
      <c r="AY81" s="77"/>
      <c r="AZ81" s="21"/>
      <c r="BA81" s="21"/>
      <c r="BB81" s="21"/>
      <c r="BC81" s="21">
        <v>2</v>
      </c>
      <c r="BD81" s="21">
        <v>3</v>
      </c>
      <c r="BE81" s="21">
        <v>2</v>
      </c>
      <c r="BF81" s="77"/>
      <c r="BG81" s="21">
        <v>3</v>
      </c>
      <c r="BH81" s="21">
        <v>3</v>
      </c>
      <c r="BI81" s="21">
        <v>3</v>
      </c>
      <c r="BJ81" s="21">
        <v>4</v>
      </c>
      <c r="BK81" s="21"/>
      <c r="BL81" s="21"/>
      <c r="BM81" s="77"/>
      <c r="BN81" s="21"/>
      <c r="BO81" s="21"/>
      <c r="BP81" s="21"/>
      <c r="BQ81" s="21"/>
      <c r="BR81" s="21"/>
      <c r="BS81" s="21"/>
      <c r="BT81" s="96">
        <f t="shared" si="25"/>
        <v>20</v>
      </c>
      <c r="BU81" s="94">
        <f t="shared" si="26"/>
        <v>0</v>
      </c>
      <c r="BV81" s="26"/>
      <c r="BW81" s="27"/>
      <c r="BX81" s="19" t="s">
        <v>412</v>
      </c>
      <c r="BY81" s="19" t="b">
        <f t="shared" si="35"/>
        <v>1</v>
      </c>
      <c r="BZ81" s="53" t="s">
        <v>412</v>
      </c>
      <c r="CA81" s="19" t="s">
        <v>1514</v>
      </c>
      <c r="CB81" s="19" t="s">
        <v>809</v>
      </c>
      <c r="CC81" s="19" t="s">
        <v>1973</v>
      </c>
      <c r="CD81" s="19" t="s">
        <v>1515</v>
      </c>
      <c r="CE81" s="19" t="s">
        <v>1516</v>
      </c>
      <c r="CF81" s="19" t="s">
        <v>1502</v>
      </c>
      <c r="CG81" s="19" t="s">
        <v>1503</v>
      </c>
      <c r="CH81" s="19" t="s">
        <v>1517</v>
      </c>
      <c r="CI81" s="19" t="s">
        <v>1518</v>
      </c>
      <c r="CJ81" s="19" t="s">
        <v>1519</v>
      </c>
      <c r="CK81" s="19" t="s">
        <v>1520</v>
      </c>
      <c r="CL81" s="19" t="s">
        <v>1521</v>
      </c>
      <c r="CM81" s="19" t="s">
        <v>1522</v>
      </c>
      <c r="CN81" s="19" t="s">
        <v>820</v>
      </c>
      <c r="CO81" s="19" t="s">
        <v>821</v>
      </c>
      <c r="CP81" s="19" t="s">
        <v>1510</v>
      </c>
      <c r="CQ81" s="19" t="s">
        <v>1511</v>
      </c>
      <c r="CR81" s="19" t="s">
        <v>1523</v>
      </c>
      <c r="CS81" s="19" t="s">
        <v>1524</v>
      </c>
      <c r="CT81" s="19"/>
      <c r="CU81" s="19"/>
      <c r="CV81" s="19"/>
      <c r="CW81" s="19"/>
      <c r="CX81" s="19"/>
      <c r="CY81" s="19"/>
      <c r="CZ81" s="19"/>
      <c r="DA81" s="19"/>
      <c r="DB81" s="19"/>
      <c r="DC81" s="19"/>
    </row>
    <row r="82" spans="1:107" s="7" customFormat="1" x14ac:dyDescent="0.25">
      <c r="A82" s="19" t="s">
        <v>228</v>
      </c>
      <c r="B82" s="19" t="s">
        <v>80</v>
      </c>
      <c r="C82" s="19" t="str">
        <f t="shared" si="33"/>
        <v>95058875India</v>
      </c>
      <c r="D82" s="19">
        <v>95058875</v>
      </c>
      <c r="E82" s="19" t="s">
        <v>446</v>
      </c>
      <c r="F82" s="19" t="s">
        <v>261</v>
      </c>
      <c r="G82" s="20" t="s">
        <v>446</v>
      </c>
      <c r="H82" s="19"/>
      <c r="I82" s="19" t="s">
        <v>230</v>
      </c>
      <c r="J82" s="19" t="s">
        <v>250</v>
      </c>
      <c r="K82" s="19" t="s">
        <v>447</v>
      </c>
      <c r="L82" s="19" t="s">
        <v>332</v>
      </c>
      <c r="M82" s="19" t="s">
        <v>268</v>
      </c>
      <c r="N82" s="19" t="s">
        <v>254</v>
      </c>
      <c r="O82" s="19" t="s">
        <v>275</v>
      </c>
      <c r="P82" s="51" t="s">
        <v>237</v>
      </c>
      <c r="Q82" s="19" t="s">
        <v>448</v>
      </c>
      <c r="R82" s="19">
        <v>5200</v>
      </c>
      <c r="S82" s="19" t="s">
        <v>272</v>
      </c>
      <c r="T82" s="19" t="s">
        <v>263</v>
      </c>
      <c r="U82" s="20" t="s">
        <v>263</v>
      </c>
      <c r="V82" s="19" t="s">
        <v>175</v>
      </c>
      <c r="W82" s="19" t="s">
        <v>221</v>
      </c>
      <c r="X82" s="35">
        <v>4</v>
      </c>
      <c r="Y82" s="35">
        <v>2</v>
      </c>
      <c r="Z82" s="32"/>
      <c r="AA82" s="22">
        <v>4</v>
      </c>
      <c r="AB82" s="22">
        <v>3</v>
      </c>
      <c r="AC82" s="22"/>
      <c r="AD82" s="22"/>
      <c r="AE82" s="61">
        <f t="shared" ref="AE82:AE96" si="36">SUM(AA82:AD82)</f>
        <v>7</v>
      </c>
      <c r="AF82" s="22"/>
      <c r="AG82" s="40">
        <f t="shared" ref="AG82:AG96" si="37">AE82+AF82</f>
        <v>7</v>
      </c>
      <c r="AH82" s="24"/>
      <c r="AI82" s="24">
        <v>4</v>
      </c>
      <c r="AJ82" s="23">
        <f t="shared" ref="AJ82:AJ96" si="38">AG82-AH82+AI82</f>
        <v>11</v>
      </c>
      <c r="AK82" s="25"/>
      <c r="AL82" s="25">
        <v>11</v>
      </c>
      <c r="AM82" s="25"/>
      <c r="AN82" s="25"/>
      <c r="AO82" s="25">
        <f t="shared" si="34"/>
        <v>11</v>
      </c>
      <c r="AP82" s="13"/>
      <c r="AQ82" s="21"/>
      <c r="AR82" s="21"/>
      <c r="AS82" s="21"/>
      <c r="AT82" s="21"/>
      <c r="AU82" s="21"/>
      <c r="AV82" s="21"/>
      <c r="AW82" s="21"/>
      <c r="AX82" s="21"/>
      <c r="AY82" s="77"/>
      <c r="AZ82" s="21"/>
      <c r="BA82" s="21"/>
      <c r="BB82" s="21"/>
      <c r="BC82" s="21"/>
      <c r="BD82" s="21">
        <v>2</v>
      </c>
      <c r="BE82" s="21">
        <v>3</v>
      </c>
      <c r="BF82" s="77"/>
      <c r="BG82" s="21">
        <v>2</v>
      </c>
      <c r="BH82" s="21"/>
      <c r="BI82" s="21"/>
      <c r="BJ82" s="21"/>
      <c r="BK82" s="21"/>
      <c r="BL82" s="21"/>
      <c r="BM82" s="77"/>
      <c r="BN82" s="21"/>
      <c r="BO82" s="21"/>
      <c r="BP82" s="21"/>
      <c r="BQ82" s="21"/>
      <c r="BR82" s="21"/>
      <c r="BS82" s="21"/>
      <c r="BT82" s="96">
        <f t="shared" si="25"/>
        <v>7</v>
      </c>
      <c r="BU82" s="94">
        <f t="shared" si="26"/>
        <v>4</v>
      </c>
      <c r="BV82" s="26"/>
      <c r="BW82" s="27"/>
      <c r="BX82" s="19" t="s">
        <v>446</v>
      </c>
      <c r="BY82" s="19" t="b">
        <f t="shared" si="35"/>
        <v>1</v>
      </c>
      <c r="BZ82" s="53" t="s">
        <v>446</v>
      </c>
      <c r="CA82" s="19" t="s">
        <v>834</v>
      </c>
      <c r="CB82" s="19" t="s">
        <v>835</v>
      </c>
      <c r="CC82" s="19" t="s">
        <v>836</v>
      </c>
      <c r="CD82" s="19" t="s">
        <v>837</v>
      </c>
      <c r="CE82" s="19" t="s">
        <v>838</v>
      </c>
      <c r="CF82" s="19" t="s">
        <v>839</v>
      </c>
      <c r="CG82" s="19" t="s">
        <v>840</v>
      </c>
      <c r="CH82" s="19" t="s">
        <v>841</v>
      </c>
      <c r="CI82" s="19" t="s">
        <v>842</v>
      </c>
      <c r="CJ82" s="19" t="s">
        <v>843</v>
      </c>
      <c r="CK82" s="19" t="s">
        <v>844</v>
      </c>
      <c r="CL82" s="19" t="s">
        <v>845</v>
      </c>
      <c r="CM82" s="19" t="s">
        <v>846</v>
      </c>
      <c r="CN82" s="19"/>
      <c r="CO82" s="19"/>
      <c r="CP82" s="19" t="s">
        <v>847</v>
      </c>
      <c r="CQ82" s="19" t="s">
        <v>848</v>
      </c>
      <c r="CR82" s="19" t="s">
        <v>849</v>
      </c>
      <c r="CS82" s="19" t="s">
        <v>850</v>
      </c>
      <c r="CT82" s="19"/>
      <c r="CU82" s="19"/>
      <c r="CV82" s="19"/>
      <c r="CW82" s="19"/>
      <c r="CX82" s="19"/>
      <c r="CY82" s="19"/>
      <c r="CZ82" s="19"/>
      <c r="DA82" s="19"/>
      <c r="DB82" s="19"/>
      <c r="DC82" s="19"/>
    </row>
    <row r="83" spans="1:107" s="7" customFormat="1" x14ac:dyDescent="0.25">
      <c r="A83" s="19" t="s">
        <v>228</v>
      </c>
      <c r="B83" s="19" t="s">
        <v>80</v>
      </c>
      <c r="C83" s="19" t="str">
        <f t="shared" si="33"/>
        <v>95058874India</v>
      </c>
      <c r="D83" s="19">
        <v>95058874</v>
      </c>
      <c r="E83" s="19" t="s">
        <v>450</v>
      </c>
      <c r="F83" s="19" t="s">
        <v>261</v>
      </c>
      <c r="G83" s="20" t="s">
        <v>450</v>
      </c>
      <c r="H83" s="19"/>
      <c r="I83" s="19" t="s">
        <v>230</v>
      </c>
      <c r="J83" s="19" t="s">
        <v>250</v>
      </c>
      <c r="K83" s="19" t="s">
        <v>447</v>
      </c>
      <c r="L83" s="19" t="s">
        <v>264</v>
      </c>
      <c r="M83" s="19" t="s">
        <v>268</v>
      </c>
      <c r="N83" s="19" t="s">
        <v>254</v>
      </c>
      <c r="O83" s="19" t="s">
        <v>275</v>
      </c>
      <c r="P83" s="51" t="s">
        <v>237</v>
      </c>
      <c r="Q83" s="19" t="s">
        <v>448</v>
      </c>
      <c r="R83" s="19">
        <v>5200</v>
      </c>
      <c r="S83" s="19" t="s">
        <v>272</v>
      </c>
      <c r="T83" s="19" t="s">
        <v>263</v>
      </c>
      <c r="U83" s="20" t="s">
        <v>263</v>
      </c>
      <c r="V83" s="19" t="s">
        <v>177</v>
      </c>
      <c r="W83" s="19" t="s">
        <v>222</v>
      </c>
      <c r="X83" s="35">
        <v>2</v>
      </c>
      <c r="Y83" s="35">
        <v>1</v>
      </c>
      <c r="Z83" s="32"/>
      <c r="AA83" s="22"/>
      <c r="AB83" s="22">
        <v>2</v>
      </c>
      <c r="AC83" s="22"/>
      <c r="AD83" s="22"/>
      <c r="AE83" s="61">
        <f t="shared" si="36"/>
        <v>2</v>
      </c>
      <c r="AF83" s="22"/>
      <c r="AG83" s="40">
        <f t="shared" si="37"/>
        <v>2</v>
      </c>
      <c r="AH83" s="24"/>
      <c r="AI83" s="24">
        <v>2</v>
      </c>
      <c r="AJ83" s="23">
        <f t="shared" si="38"/>
        <v>4</v>
      </c>
      <c r="AK83" s="25"/>
      <c r="AL83" s="25">
        <v>4</v>
      </c>
      <c r="AM83" s="25"/>
      <c r="AN83" s="25"/>
      <c r="AO83" s="25">
        <f t="shared" si="34"/>
        <v>4</v>
      </c>
      <c r="AP83" s="13"/>
      <c r="AQ83" s="21"/>
      <c r="AR83" s="21"/>
      <c r="AS83" s="21"/>
      <c r="AT83" s="21"/>
      <c r="AU83" s="21"/>
      <c r="AV83" s="21"/>
      <c r="AW83" s="21"/>
      <c r="AX83" s="21"/>
      <c r="AY83" s="77"/>
      <c r="AZ83" s="21"/>
      <c r="BA83" s="21"/>
      <c r="BB83" s="21"/>
      <c r="BC83" s="21"/>
      <c r="BD83" s="21">
        <v>2</v>
      </c>
      <c r="BE83" s="21"/>
      <c r="BF83" s="77"/>
      <c r="BG83" s="21"/>
      <c r="BH83" s="21"/>
      <c r="BI83" s="21"/>
      <c r="BJ83" s="21"/>
      <c r="BK83" s="21"/>
      <c r="BL83" s="21"/>
      <c r="BM83" s="77"/>
      <c r="BN83" s="21"/>
      <c r="BO83" s="21"/>
      <c r="BP83" s="21"/>
      <c r="BQ83" s="21"/>
      <c r="BR83" s="21"/>
      <c r="BS83" s="21"/>
      <c r="BT83" s="96">
        <f t="shared" si="25"/>
        <v>2</v>
      </c>
      <c r="BU83" s="94">
        <f t="shared" si="26"/>
        <v>2</v>
      </c>
      <c r="BV83" s="26"/>
      <c r="BW83" s="27"/>
      <c r="BX83" s="19" t="s">
        <v>450</v>
      </c>
      <c r="BY83" s="19" t="b">
        <f t="shared" si="35"/>
        <v>1</v>
      </c>
      <c r="BZ83" s="53" t="s">
        <v>450</v>
      </c>
      <c r="CA83" s="19" t="s">
        <v>851</v>
      </c>
      <c r="CB83" s="19" t="s">
        <v>835</v>
      </c>
      <c r="CC83" s="19" t="s">
        <v>836</v>
      </c>
      <c r="CD83" s="19" t="s">
        <v>837</v>
      </c>
      <c r="CE83" s="19" t="s">
        <v>838</v>
      </c>
      <c r="CF83" s="19" t="s">
        <v>839</v>
      </c>
      <c r="CG83" s="19" t="s">
        <v>840</v>
      </c>
      <c r="CH83" s="19" t="s">
        <v>841</v>
      </c>
      <c r="CI83" s="19" t="s">
        <v>842</v>
      </c>
      <c r="CJ83" s="19" t="s">
        <v>852</v>
      </c>
      <c r="CK83" s="19" t="s">
        <v>853</v>
      </c>
      <c r="CL83" s="19" t="s">
        <v>845</v>
      </c>
      <c r="CM83" s="19" t="s">
        <v>846</v>
      </c>
      <c r="CN83" s="19"/>
      <c r="CO83" s="19"/>
      <c r="CP83" s="19" t="s">
        <v>847</v>
      </c>
      <c r="CQ83" s="19" t="s">
        <v>848</v>
      </c>
      <c r="CR83" s="19" t="s">
        <v>849</v>
      </c>
      <c r="CS83" s="19" t="s">
        <v>850</v>
      </c>
      <c r="CT83" s="19"/>
      <c r="CU83" s="19"/>
      <c r="CV83" s="19"/>
      <c r="CW83" s="19"/>
      <c r="CX83" s="19"/>
      <c r="CY83" s="19"/>
      <c r="CZ83" s="19"/>
      <c r="DA83" s="19"/>
      <c r="DB83" s="19"/>
      <c r="DC83" s="19"/>
    </row>
    <row r="84" spans="1:107" s="7" customFormat="1" x14ac:dyDescent="0.25">
      <c r="A84" s="19" t="s">
        <v>228</v>
      </c>
      <c r="B84" s="19" t="s">
        <v>80</v>
      </c>
      <c r="C84" s="19" t="str">
        <f t="shared" si="33"/>
        <v>95058872India</v>
      </c>
      <c r="D84" s="19">
        <v>95058872</v>
      </c>
      <c r="E84" s="19" t="s">
        <v>467</v>
      </c>
      <c r="F84" s="19" t="s">
        <v>261</v>
      </c>
      <c r="G84" s="20" t="s">
        <v>467</v>
      </c>
      <c r="H84" s="19"/>
      <c r="I84" s="19" t="s">
        <v>230</v>
      </c>
      <c r="J84" s="19" t="s">
        <v>250</v>
      </c>
      <c r="K84" s="19" t="s">
        <v>447</v>
      </c>
      <c r="L84" s="19" t="s">
        <v>264</v>
      </c>
      <c r="M84" s="19" t="s">
        <v>268</v>
      </c>
      <c r="N84" s="19" t="s">
        <v>254</v>
      </c>
      <c r="O84" s="19" t="s">
        <v>275</v>
      </c>
      <c r="P84" s="51" t="s">
        <v>237</v>
      </c>
      <c r="Q84" s="19" t="s">
        <v>448</v>
      </c>
      <c r="R84" s="19">
        <v>5200</v>
      </c>
      <c r="S84" s="19" t="s">
        <v>272</v>
      </c>
      <c r="T84" s="19" t="s">
        <v>263</v>
      </c>
      <c r="U84" s="20" t="s">
        <v>263</v>
      </c>
      <c r="V84" s="19" t="s">
        <v>192</v>
      </c>
      <c r="W84" s="19" t="s">
        <v>222</v>
      </c>
      <c r="X84" s="35">
        <v>1</v>
      </c>
      <c r="Y84" s="35">
        <v>1</v>
      </c>
      <c r="Z84" s="32"/>
      <c r="AA84" s="22"/>
      <c r="AB84" s="22"/>
      <c r="AC84" s="22"/>
      <c r="AD84" s="22"/>
      <c r="AE84" s="61">
        <f t="shared" si="36"/>
        <v>0</v>
      </c>
      <c r="AF84" s="22"/>
      <c r="AG84" s="40">
        <f t="shared" si="37"/>
        <v>0</v>
      </c>
      <c r="AH84" s="24"/>
      <c r="AI84" s="24">
        <v>1</v>
      </c>
      <c r="AJ84" s="23">
        <f t="shared" si="38"/>
        <v>1</v>
      </c>
      <c r="AK84" s="25"/>
      <c r="AL84" s="25">
        <v>1</v>
      </c>
      <c r="AM84" s="25"/>
      <c r="AN84" s="25"/>
      <c r="AO84" s="25">
        <f t="shared" si="34"/>
        <v>1</v>
      </c>
      <c r="AP84" s="13"/>
      <c r="AQ84" s="21"/>
      <c r="AR84" s="21"/>
      <c r="AS84" s="21"/>
      <c r="AT84" s="21"/>
      <c r="AU84" s="21"/>
      <c r="AV84" s="21"/>
      <c r="AW84" s="21"/>
      <c r="AX84" s="21"/>
      <c r="AY84" s="77"/>
      <c r="AZ84" s="21"/>
      <c r="BA84" s="21"/>
      <c r="BB84" s="21"/>
      <c r="BC84" s="21"/>
      <c r="BD84" s="21"/>
      <c r="BE84" s="21"/>
      <c r="BF84" s="77"/>
      <c r="BG84" s="21"/>
      <c r="BH84" s="21"/>
      <c r="BI84" s="21"/>
      <c r="BJ84" s="21"/>
      <c r="BK84" s="21"/>
      <c r="BL84" s="21"/>
      <c r="BM84" s="77"/>
      <c r="BN84" s="21"/>
      <c r="BO84" s="21"/>
      <c r="BP84" s="21"/>
      <c r="BQ84" s="21"/>
      <c r="BR84" s="21"/>
      <c r="BS84" s="21"/>
      <c r="BT84" s="96">
        <f t="shared" si="25"/>
        <v>0</v>
      </c>
      <c r="BU84" s="94">
        <f t="shared" si="26"/>
        <v>1</v>
      </c>
      <c r="BV84" s="26"/>
      <c r="BW84" s="27"/>
      <c r="BX84" s="19" t="s">
        <v>467</v>
      </c>
      <c r="BY84" s="19" t="b">
        <f t="shared" si="35"/>
        <v>1</v>
      </c>
      <c r="BZ84" s="53" t="s">
        <v>467</v>
      </c>
      <c r="CA84" s="19" t="s">
        <v>854</v>
      </c>
      <c r="CB84" s="19" t="s">
        <v>835</v>
      </c>
      <c r="CC84" s="19" t="s">
        <v>836</v>
      </c>
      <c r="CD84" s="19" t="s">
        <v>837</v>
      </c>
      <c r="CE84" s="19" t="s">
        <v>838</v>
      </c>
      <c r="CF84" s="19" t="s">
        <v>839</v>
      </c>
      <c r="CG84" s="19" t="s">
        <v>840</v>
      </c>
      <c r="CH84" s="19" t="s">
        <v>841</v>
      </c>
      <c r="CI84" s="19" t="s">
        <v>842</v>
      </c>
      <c r="CJ84" s="19" t="s">
        <v>852</v>
      </c>
      <c r="CK84" s="19" t="s">
        <v>853</v>
      </c>
      <c r="CL84" s="19" t="s">
        <v>845</v>
      </c>
      <c r="CM84" s="19" t="s">
        <v>846</v>
      </c>
      <c r="CN84" s="19"/>
      <c r="CO84" s="19"/>
      <c r="CP84" s="19" t="s">
        <v>847</v>
      </c>
      <c r="CQ84" s="19" t="s">
        <v>848</v>
      </c>
      <c r="CR84" s="19" t="s">
        <v>849</v>
      </c>
      <c r="CS84" s="19" t="s">
        <v>850</v>
      </c>
      <c r="CT84" s="19"/>
      <c r="CU84" s="19"/>
      <c r="CV84" s="19"/>
      <c r="CW84" s="19"/>
      <c r="CX84" s="19"/>
      <c r="CY84" s="19"/>
      <c r="CZ84" s="19"/>
      <c r="DA84" s="19"/>
      <c r="DB84" s="19"/>
      <c r="DC84" s="19"/>
    </row>
    <row r="85" spans="1:107" s="7" customFormat="1" x14ac:dyDescent="0.25">
      <c r="A85" s="19" t="s">
        <v>228</v>
      </c>
      <c r="B85" s="19" t="s">
        <v>80</v>
      </c>
      <c r="C85" s="19" t="str">
        <f t="shared" si="33"/>
        <v>95058879India</v>
      </c>
      <c r="D85" s="19">
        <v>95058879</v>
      </c>
      <c r="E85" s="19" t="s">
        <v>450</v>
      </c>
      <c r="F85" s="19" t="s">
        <v>261</v>
      </c>
      <c r="G85" s="20" t="s">
        <v>450</v>
      </c>
      <c r="H85" s="19"/>
      <c r="I85" s="19" t="s">
        <v>230</v>
      </c>
      <c r="J85" s="19" t="s">
        <v>250</v>
      </c>
      <c r="K85" s="19" t="s">
        <v>447</v>
      </c>
      <c r="L85" s="19" t="s">
        <v>264</v>
      </c>
      <c r="M85" s="19" t="s">
        <v>268</v>
      </c>
      <c r="N85" s="19" t="s">
        <v>254</v>
      </c>
      <c r="O85" s="19" t="s">
        <v>275</v>
      </c>
      <c r="P85" s="51" t="s">
        <v>237</v>
      </c>
      <c r="Q85" s="19" t="s">
        <v>448</v>
      </c>
      <c r="R85" s="19">
        <v>5200</v>
      </c>
      <c r="S85" s="19" t="s">
        <v>272</v>
      </c>
      <c r="T85" s="19" t="s">
        <v>263</v>
      </c>
      <c r="U85" s="20" t="s">
        <v>263</v>
      </c>
      <c r="V85" s="19" t="s">
        <v>1799</v>
      </c>
      <c r="W85" s="19" t="s">
        <v>219</v>
      </c>
      <c r="X85" s="35">
        <v>1</v>
      </c>
      <c r="Y85" s="35">
        <v>1</v>
      </c>
      <c r="Z85" s="32"/>
      <c r="AA85" s="22">
        <v>1</v>
      </c>
      <c r="AB85" s="22"/>
      <c r="AC85" s="22"/>
      <c r="AD85" s="22"/>
      <c r="AE85" s="61">
        <f t="shared" si="36"/>
        <v>1</v>
      </c>
      <c r="AF85" s="22"/>
      <c r="AG85" s="40">
        <f t="shared" si="37"/>
        <v>1</v>
      </c>
      <c r="AH85" s="24"/>
      <c r="AI85" s="24"/>
      <c r="AJ85" s="23">
        <f t="shared" si="38"/>
        <v>1</v>
      </c>
      <c r="AK85" s="25"/>
      <c r="AL85" s="25">
        <v>1</v>
      </c>
      <c r="AM85" s="25"/>
      <c r="AN85" s="25"/>
      <c r="AO85" s="25">
        <f t="shared" si="34"/>
        <v>1</v>
      </c>
      <c r="AP85" s="13"/>
      <c r="AQ85" s="21"/>
      <c r="AR85" s="21"/>
      <c r="AS85" s="21"/>
      <c r="AT85" s="21"/>
      <c r="AU85" s="21"/>
      <c r="AV85" s="21"/>
      <c r="AW85" s="21"/>
      <c r="AX85" s="21"/>
      <c r="AY85" s="77"/>
      <c r="AZ85" s="21"/>
      <c r="BA85" s="21"/>
      <c r="BB85" s="21"/>
      <c r="BC85" s="21"/>
      <c r="BD85" s="21">
        <v>1</v>
      </c>
      <c r="BE85" s="21"/>
      <c r="BF85" s="77"/>
      <c r="BG85" s="21"/>
      <c r="BH85" s="21"/>
      <c r="BI85" s="21"/>
      <c r="BJ85" s="21"/>
      <c r="BK85" s="21"/>
      <c r="BL85" s="21"/>
      <c r="BM85" s="77"/>
      <c r="BN85" s="21"/>
      <c r="BO85" s="21"/>
      <c r="BP85" s="21"/>
      <c r="BQ85" s="21"/>
      <c r="BR85" s="21"/>
      <c r="BS85" s="21"/>
      <c r="BT85" s="96">
        <f t="shared" si="25"/>
        <v>1</v>
      </c>
      <c r="BU85" s="94">
        <f t="shared" si="26"/>
        <v>0</v>
      </c>
      <c r="BV85" s="26"/>
      <c r="BW85" s="27"/>
      <c r="BX85" s="19" t="s">
        <v>450</v>
      </c>
      <c r="BY85" s="19" t="b">
        <f t="shared" si="35"/>
        <v>1</v>
      </c>
      <c r="BZ85" s="53" t="s">
        <v>450</v>
      </c>
      <c r="CA85" s="19" t="s">
        <v>851</v>
      </c>
      <c r="CB85" s="19" t="s">
        <v>835</v>
      </c>
      <c r="CC85" s="19" t="s">
        <v>836</v>
      </c>
      <c r="CD85" s="19" t="s">
        <v>837</v>
      </c>
      <c r="CE85" s="19" t="s">
        <v>838</v>
      </c>
      <c r="CF85" s="19" t="s">
        <v>839</v>
      </c>
      <c r="CG85" s="19" t="s">
        <v>840</v>
      </c>
      <c r="CH85" s="19" t="s">
        <v>841</v>
      </c>
      <c r="CI85" s="19" t="s">
        <v>842</v>
      </c>
      <c r="CJ85" s="19" t="s">
        <v>852</v>
      </c>
      <c r="CK85" s="19" t="s">
        <v>853</v>
      </c>
      <c r="CL85" s="19" t="s">
        <v>845</v>
      </c>
      <c r="CM85" s="19" t="s">
        <v>846</v>
      </c>
      <c r="CN85" s="19"/>
      <c r="CO85" s="19"/>
      <c r="CP85" s="19" t="s">
        <v>847</v>
      </c>
      <c r="CQ85" s="19" t="s">
        <v>848</v>
      </c>
      <c r="CR85" s="19" t="s">
        <v>849</v>
      </c>
      <c r="CS85" s="19" t="s">
        <v>850</v>
      </c>
      <c r="CT85" s="19"/>
      <c r="CU85" s="19"/>
      <c r="CV85" s="19"/>
      <c r="CW85" s="19"/>
      <c r="CX85" s="19"/>
      <c r="CY85" s="19"/>
      <c r="CZ85" s="19"/>
      <c r="DA85" s="19"/>
      <c r="DB85" s="19"/>
      <c r="DC85" s="19"/>
    </row>
    <row r="86" spans="1:107" s="7" customFormat="1" x14ac:dyDescent="0.25">
      <c r="A86" s="19" t="s">
        <v>228</v>
      </c>
      <c r="B86" s="19" t="s">
        <v>80</v>
      </c>
      <c r="C86" s="19" t="str">
        <f t="shared" si="33"/>
        <v>95056713India</v>
      </c>
      <c r="D86" s="19">
        <v>95056713</v>
      </c>
      <c r="E86" s="19" t="s">
        <v>483</v>
      </c>
      <c r="F86" s="19" t="s">
        <v>261</v>
      </c>
      <c r="G86" s="20" t="s">
        <v>483</v>
      </c>
      <c r="H86" s="19"/>
      <c r="I86" s="19" t="s">
        <v>230</v>
      </c>
      <c r="J86" s="19" t="s">
        <v>250</v>
      </c>
      <c r="K86" s="19" t="s">
        <v>447</v>
      </c>
      <c r="L86" s="19" t="s">
        <v>264</v>
      </c>
      <c r="M86" s="19" t="s">
        <v>268</v>
      </c>
      <c r="N86" s="19" t="s">
        <v>254</v>
      </c>
      <c r="O86" s="19" t="s">
        <v>275</v>
      </c>
      <c r="P86" s="51" t="s">
        <v>237</v>
      </c>
      <c r="Q86" s="19" t="s">
        <v>448</v>
      </c>
      <c r="R86" s="19">
        <v>5200</v>
      </c>
      <c r="S86" s="19" t="s">
        <v>422</v>
      </c>
      <c r="T86" s="19" t="s">
        <v>263</v>
      </c>
      <c r="U86" s="20" t="s">
        <v>263</v>
      </c>
      <c r="V86" s="19" t="s">
        <v>209</v>
      </c>
      <c r="W86" s="19" t="s">
        <v>221</v>
      </c>
      <c r="X86" s="35">
        <v>2</v>
      </c>
      <c r="Y86" s="35">
        <v>2</v>
      </c>
      <c r="Z86" s="32"/>
      <c r="AA86" s="22"/>
      <c r="AB86" s="22"/>
      <c r="AC86" s="22">
        <v>2</v>
      </c>
      <c r="AD86" s="22"/>
      <c r="AE86" s="61">
        <f t="shared" si="36"/>
        <v>2</v>
      </c>
      <c r="AF86" s="22"/>
      <c r="AG86" s="40">
        <f t="shared" si="37"/>
        <v>2</v>
      </c>
      <c r="AH86" s="24"/>
      <c r="AI86" s="24"/>
      <c r="AJ86" s="23">
        <f t="shared" si="38"/>
        <v>2</v>
      </c>
      <c r="AK86" s="25"/>
      <c r="AL86" s="25">
        <v>2</v>
      </c>
      <c r="AM86" s="25"/>
      <c r="AN86" s="25"/>
      <c r="AO86" s="25">
        <f t="shared" si="34"/>
        <v>2</v>
      </c>
      <c r="AP86" s="13"/>
      <c r="AQ86" s="21"/>
      <c r="AR86" s="21"/>
      <c r="AS86" s="21"/>
      <c r="AT86" s="21"/>
      <c r="AU86" s="21"/>
      <c r="AV86" s="21"/>
      <c r="AW86" s="21"/>
      <c r="AX86" s="21"/>
      <c r="AY86" s="77"/>
      <c r="AZ86" s="21"/>
      <c r="BA86" s="21"/>
      <c r="BB86" s="21"/>
      <c r="BC86" s="21"/>
      <c r="BD86" s="21">
        <v>2</v>
      </c>
      <c r="BE86" s="21"/>
      <c r="BF86" s="77"/>
      <c r="BG86" s="21"/>
      <c r="BH86" s="21"/>
      <c r="BI86" s="21"/>
      <c r="BJ86" s="21"/>
      <c r="BK86" s="21"/>
      <c r="BL86" s="21"/>
      <c r="BM86" s="77"/>
      <c r="BN86" s="21"/>
      <c r="BO86" s="21"/>
      <c r="BP86" s="21"/>
      <c r="BQ86" s="21"/>
      <c r="BR86" s="21"/>
      <c r="BS86" s="21"/>
      <c r="BT86" s="96">
        <f t="shared" si="25"/>
        <v>2</v>
      </c>
      <c r="BU86" s="94">
        <f t="shared" si="26"/>
        <v>0</v>
      </c>
      <c r="BV86" s="26"/>
      <c r="BW86" s="27"/>
      <c r="BX86" s="19" t="s">
        <v>483</v>
      </c>
      <c r="BY86" s="19" t="b">
        <f t="shared" si="35"/>
        <v>1</v>
      </c>
      <c r="BZ86" s="53" t="s">
        <v>483</v>
      </c>
      <c r="CA86" s="19" t="s">
        <v>864</v>
      </c>
      <c r="CB86" s="19" t="s">
        <v>835</v>
      </c>
      <c r="CC86" s="19" t="s">
        <v>836</v>
      </c>
      <c r="CD86" s="19" t="s">
        <v>837</v>
      </c>
      <c r="CE86" s="19" t="s">
        <v>838</v>
      </c>
      <c r="CF86" s="19" t="s">
        <v>839</v>
      </c>
      <c r="CG86" s="19" t="s">
        <v>840</v>
      </c>
      <c r="CH86" s="19" t="s">
        <v>841</v>
      </c>
      <c r="CI86" s="19" t="s">
        <v>842</v>
      </c>
      <c r="CJ86" s="19" t="s">
        <v>852</v>
      </c>
      <c r="CK86" s="19" t="s">
        <v>853</v>
      </c>
      <c r="CL86" s="19" t="s">
        <v>865</v>
      </c>
      <c r="CM86" s="19" t="s">
        <v>866</v>
      </c>
      <c r="CN86" s="19"/>
      <c r="CO86" s="19"/>
      <c r="CP86" s="19" t="s">
        <v>847</v>
      </c>
      <c r="CQ86" s="19" t="s">
        <v>848</v>
      </c>
      <c r="CR86" s="19" t="s">
        <v>849</v>
      </c>
      <c r="CS86" s="19" t="s">
        <v>850</v>
      </c>
      <c r="CT86" s="19"/>
      <c r="CU86" s="19"/>
      <c r="CV86" s="19"/>
      <c r="CW86" s="19"/>
      <c r="CX86" s="19"/>
      <c r="CY86" s="19"/>
      <c r="CZ86" s="19"/>
      <c r="DA86" s="19"/>
      <c r="DB86" s="19"/>
      <c r="DC86" s="19"/>
    </row>
    <row r="87" spans="1:107" s="7" customFormat="1" x14ac:dyDescent="0.25">
      <c r="A87" s="19" t="s">
        <v>228</v>
      </c>
      <c r="B87" s="19" t="s">
        <v>80</v>
      </c>
      <c r="C87" s="19" t="str">
        <f t="shared" si="33"/>
        <v>95058871India</v>
      </c>
      <c r="D87" s="19">
        <v>95058871</v>
      </c>
      <c r="E87" s="19" t="s">
        <v>1847</v>
      </c>
      <c r="F87" s="19" t="s">
        <v>261</v>
      </c>
      <c r="G87" s="20" t="s">
        <v>1847</v>
      </c>
      <c r="H87" s="19"/>
      <c r="I87" s="19" t="s">
        <v>230</v>
      </c>
      <c r="J87" s="19" t="s">
        <v>250</v>
      </c>
      <c r="K87" s="19" t="s">
        <v>447</v>
      </c>
      <c r="L87" s="19" t="s">
        <v>264</v>
      </c>
      <c r="M87" s="19" t="s">
        <v>268</v>
      </c>
      <c r="N87" s="19" t="s">
        <v>254</v>
      </c>
      <c r="O87" s="19" t="s">
        <v>275</v>
      </c>
      <c r="P87" s="51" t="s">
        <v>237</v>
      </c>
      <c r="Q87" s="19" t="s">
        <v>448</v>
      </c>
      <c r="R87" s="19">
        <v>5200</v>
      </c>
      <c r="S87" s="19" t="s">
        <v>272</v>
      </c>
      <c r="T87" s="19" t="s">
        <v>263</v>
      </c>
      <c r="U87" s="20" t="s">
        <v>263</v>
      </c>
      <c r="V87" s="19" t="s">
        <v>1803</v>
      </c>
      <c r="W87" s="19" t="s">
        <v>222</v>
      </c>
      <c r="X87" s="35"/>
      <c r="Y87" s="35"/>
      <c r="Z87" s="32"/>
      <c r="AA87" s="22">
        <v>1</v>
      </c>
      <c r="AB87" s="22"/>
      <c r="AC87" s="22"/>
      <c r="AD87" s="22"/>
      <c r="AE87" s="61">
        <f t="shared" si="36"/>
        <v>1</v>
      </c>
      <c r="AF87" s="22"/>
      <c r="AG87" s="40">
        <f t="shared" si="37"/>
        <v>1</v>
      </c>
      <c r="AH87" s="24"/>
      <c r="AI87" s="24"/>
      <c r="AJ87" s="23">
        <f t="shared" si="38"/>
        <v>1</v>
      </c>
      <c r="AK87" s="25"/>
      <c r="AL87" s="25">
        <v>1</v>
      </c>
      <c r="AM87" s="25"/>
      <c r="AN87" s="25"/>
      <c r="AO87" s="25">
        <f t="shared" si="34"/>
        <v>1</v>
      </c>
      <c r="AP87" s="13"/>
      <c r="AQ87" s="21"/>
      <c r="AR87" s="21"/>
      <c r="AS87" s="21"/>
      <c r="AT87" s="21"/>
      <c r="AU87" s="21"/>
      <c r="AV87" s="21"/>
      <c r="AW87" s="21"/>
      <c r="AX87" s="21"/>
      <c r="AY87" s="77"/>
      <c r="AZ87" s="21"/>
      <c r="BA87" s="21"/>
      <c r="BB87" s="21"/>
      <c r="BC87" s="21"/>
      <c r="BD87" s="21">
        <v>1</v>
      </c>
      <c r="BE87" s="21"/>
      <c r="BF87" s="77"/>
      <c r="BG87" s="21"/>
      <c r="BH87" s="21"/>
      <c r="BI87" s="21"/>
      <c r="BJ87" s="21"/>
      <c r="BK87" s="21"/>
      <c r="BL87" s="21"/>
      <c r="BM87" s="77"/>
      <c r="BN87" s="21"/>
      <c r="BO87" s="21"/>
      <c r="BP87" s="21"/>
      <c r="BQ87" s="21"/>
      <c r="BR87" s="21"/>
      <c r="BS87" s="21"/>
      <c r="BT87" s="96">
        <f t="shared" si="25"/>
        <v>1</v>
      </c>
      <c r="BU87" s="94">
        <f t="shared" si="26"/>
        <v>0</v>
      </c>
      <c r="BV87" s="26"/>
      <c r="BW87" s="27"/>
      <c r="BX87" s="19" t="s">
        <v>1847</v>
      </c>
      <c r="BY87" s="19" t="b">
        <f t="shared" si="35"/>
        <v>1</v>
      </c>
      <c r="BZ87" s="53" t="s">
        <v>1847</v>
      </c>
      <c r="CA87" s="19" t="s">
        <v>1896</v>
      </c>
      <c r="CB87" s="19" t="s">
        <v>835</v>
      </c>
      <c r="CC87" s="19" t="s">
        <v>836</v>
      </c>
      <c r="CD87" s="19" t="s">
        <v>856</v>
      </c>
      <c r="CE87" s="19" t="s">
        <v>857</v>
      </c>
      <c r="CF87" s="19" t="s">
        <v>839</v>
      </c>
      <c r="CG87" s="19" t="s">
        <v>840</v>
      </c>
      <c r="CH87" s="19" t="s">
        <v>858</v>
      </c>
      <c r="CI87" s="19" t="s">
        <v>859</v>
      </c>
      <c r="CJ87" s="19" t="s">
        <v>852</v>
      </c>
      <c r="CK87" s="19" t="s">
        <v>853</v>
      </c>
      <c r="CL87" s="19" t="s">
        <v>860</v>
      </c>
      <c r="CM87" s="19" t="s">
        <v>861</v>
      </c>
      <c r="CN87" s="19"/>
      <c r="CO87" s="19"/>
      <c r="CP87" s="19" t="s">
        <v>847</v>
      </c>
      <c r="CQ87" s="19" t="s">
        <v>848</v>
      </c>
      <c r="CR87" s="19" t="s">
        <v>862</v>
      </c>
      <c r="CS87" s="19" t="s">
        <v>863</v>
      </c>
      <c r="CT87" s="19"/>
      <c r="CU87" s="19"/>
      <c r="CV87" s="19"/>
      <c r="CW87" s="19"/>
      <c r="CX87" s="19"/>
      <c r="CY87" s="19"/>
      <c r="CZ87" s="19"/>
      <c r="DA87" s="19"/>
      <c r="DB87" s="19"/>
      <c r="DC87" s="19"/>
    </row>
    <row r="88" spans="1:107" s="7" customFormat="1" x14ac:dyDescent="0.25">
      <c r="A88" s="19" t="s">
        <v>224</v>
      </c>
      <c r="B88" s="19" t="s">
        <v>224</v>
      </c>
      <c r="C88" s="19" t="str">
        <f t="shared" si="33"/>
        <v>95056342NPI Proj</v>
      </c>
      <c r="D88" s="19">
        <v>95056342</v>
      </c>
      <c r="E88" s="19" t="s">
        <v>1620</v>
      </c>
      <c r="F88" s="19" t="s">
        <v>261</v>
      </c>
      <c r="G88" s="20" t="s">
        <v>1620</v>
      </c>
      <c r="H88" s="19"/>
      <c r="I88" s="19" t="s">
        <v>230</v>
      </c>
      <c r="J88" s="26" t="s">
        <v>1860</v>
      </c>
      <c r="K88" s="19" t="s">
        <v>447</v>
      </c>
      <c r="L88" s="19" t="s">
        <v>252</v>
      </c>
      <c r="M88" s="19" t="s">
        <v>268</v>
      </c>
      <c r="N88" s="19" t="s">
        <v>254</v>
      </c>
      <c r="O88" s="19" t="s">
        <v>275</v>
      </c>
      <c r="P88" s="51" t="s">
        <v>237</v>
      </c>
      <c r="Q88" s="19" t="s">
        <v>448</v>
      </c>
      <c r="R88" s="19">
        <v>5200</v>
      </c>
      <c r="S88" s="19" t="s">
        <v>422</v>
      </c>
      <c r="T88" s="19" t="s">
        <v>263</v>
      </c>
      <c r="U88" s="20" t="s">
        <v>240</v>
      </c>
      <c r="V88" s="19" t="s">
        <v>1991</v>
      </c>
      <c r="W88" s="19"/>
      <c r="X88" s="35"/>
      <c r="Y88" s="35"/>
      <c r="Z88" s="32"/>
      <c r="AA88" s="22">
        <v>1</v>
      </c>
      <c r="AB88" s="22"/>
      <c r="AC88" s="22"/>
      <c r="AD88" s="22"/>
      <c r="AE88" s="61">
        <f t="shared" si="36"/>
        <v>1</v>
      </c>
      <c r="AF88" s="22"/>
      <c r="AG88" s="40">
        <f t="shared" si="37"/>
        <v>1</v>
      </c>
      <c r="AH88" s="24"/>
      <c r="AI88" s="24"/>
      <c r="AJ88" s="23">
        <f t="shared" si="38"/>
        <v>1</v>
      </c>
      <c r="AK88" s="25"/>
      <c r="AL88" s="25"/>
      <c r="AM88" s="25"/>
      <c r="AN88" s="25">
        <v>1</v>
      </c>
      <c r="AO88" s="25">
        <f t="shared" si="34"/>
        <v>1</v>
      </c>
      <c r="AP88" s="13"/>
      <c r="AQ88" s="21"/>
      <c r="AR88" s="21"/>
      <c r="AS88" s="21"/>
      <c r="AT88" s="21"/>
      <c r="AU88" s="21"/>
      <c r="AV88" s="21"/>
      <c r="AW88" s="21"/>
      <c r="AX88" s="21"/>
      <c r="AY88" s="77"/>
      <c r="AZ88" s="21"/>
      <c r="BA88" s="21"/>
      <c r="BB88" s="21"/>
      <c r="BC88" s="21"/>
      <c r="BD88" s="21"/>
      <c r="BE88" s="21"/>
      <c r="BF88" s="77"/>
      <c r="BG88" s="21"/>
      <c r="BH88" s="21"/>
      <c r="BI88" s="21"/>
      <c r="BJ88" s="21"/>
      <c r="BK88" s="21"/>
      <c r="BL88" s="21"/>
      <c r="BM88" s="77"/>
      <c r="BN88" s="21"/>
      <c r="BO88" s="21"/>
      <c r="BP88" s="21"/>
      <c r="BQ88" s="21"/>
      <c r="BR88" s="21"/>
      <c r="BS88" s="21"/>
      <c r="BT88" s="96">
        <f t="shared" si="25"/>
        <v>0</v>
      </c>
      <c r="BU88" s="94">
        <f t="shared" si="26"/>
        <v>1</v>
      </c>
      <c r="BV88" s="26"/>
      <c r="BW88" s="27"/>
      <c r="BX88" s="19" t="s">
        <v>1620</v>
      </c>
      <c r="BY88" s="19" t="b">
        <f t="shared" si="35"/>
        <v>1</v>
      </c>
      <c r="BZ88" s="19" t="s">
        <v>1620</v>
      </c>
      <c r="CA88" s="19" t="s">
        <v>1999</v>
      </c>
      <c r="CB88" s="19"/>
      <c r="CC88" s="19"/>
      <c r="CD88" s="19" t="s">
        <v>2000</v>
      </c>
      <c r="CE88" s="19" t="s">
        <v>2001</v>
      </c>
      <c r="CF88" s="19" t="s">
        <v>2002</v>
      </c>
      <c r="CG88" s="19" t="s">
        <v>840</v>
      </c>
      <c r="CH88" s="19" t="s">
        <v>841</v>
      </c>
      <c r="CI88" s="19" t="s">
        <v>842</v>
      </c>
      <c r="CJ88" s="19" t="s">
        <v>2003</v>
      </c>
      <c r="CK88" s="19" t="s">
        <v>2004</v>
      </c>
      <c r="CL88" s="19" t="s">
        <v>2005</v>
      </c>
      <c r="CM88" s="19" t="s">
        <v>2006</v>
      </c>
      <c r="CN88" s="19"/>
      <c r="CO88" s="19"/>
      <c r="CP88" s="19" t="s">
        <v>847</v>
      </c>
      <c r="CQ88" s="19" t="s">
        <v>848</v>
      </c>
      <c r="CR88" s="19" t="s">
        <v>2007</v>
      </c>
      <c r="CS88" s="19" t="s">
        <v>2008</v>
      </c>
      <c r="CT88" s="19"/>
      <c r="CU88" s="19"/>
      <c r="CV88" s="19"/>
      <c r="CW88" s="19"/>
      <c r="CX88" s="19"/>
      <c r="CY88" s="19"/>
      <c r="CZ88" s="19"/>
      <c r="DA88" s="19"/>
      <c r="DB88" s="19"/>
      <c r="DC88" s="19"/>
    </row>
    <row r="89" spans="1:107" s="7" customFormat="1" x14ac:dyDescent="0.25">
      <c r="A89" s="19" t="s">
        <v>224</v>
      </c>
      <c r="B89" s="19" t="s">
        <v>224</v>
      </c>
      <c r="C89" s="19" t="str">
        <f t="shared" si="33"/>
        <v>95052736NPI Proj</v>
      </c>
      <c r="D89" s="19">
        <v>95052736</v>
      </c>
      <c r="E89" s="19" t="s">
        <v>1620</v>
      </c>
      <c r="F89" s="19" t="s">
        <v>261</v>
      </c>
      <c r="G89" s="20" t="s">
        <v>1620</v>
      </c>
      <c r="H89" s="19"/>
      <c r="I89" s="19" t="s">
        <v>230</v>
      </c>
      <c r="J89" s="26" t="s">
        <v>1860</v>
      </c>
      <c r="K89" s="19" t="s">
        <v>447</v>
      </c>
      <c r="L89" s="19" t="s">
        <v>252</v>
      </c>
      <c r="M89" s="19" t="s">
        <v>268</v>
      </c>
      <c r="N89" s="19" t="s">
        <v>254</v>
      </c>
      <c r="O89" s="19" t="s">
        <v>275</v>
      </c>
      <c r="P89" s="51" t="s">
        <v>237</v>
      </c>
      <c r="Q89" s="19" t="s">
        <v>448</v>
      </c>
      <c r="R89" s="19">
        <v>5200</v>
      </c>
      <c r="S89" s="19" t="s">
        <v>422</v>
      </c>
      <c r="T89" s="19" t="s">
        <v>263</v>
      </c>
      <c r="U89" s="20" t="s">
        <v>240</v>
      </c>
      <c r="V89" s="19" t="s">
        <v>1571</v>
      </c>
      <c r="W89" s="19"/>
      <c r="X89" s="35"/>
      <c r="Y89" s="35">
        <v>10</v>
      </c>
      <c r="Z89" s="32"/>
      <c r="AA89" s="22"/>
      <c r="AB89" s="22">
        <v>5</v>
      </c>
      <c r="AC89" s="22"/>
      <c r="AD89" s="22"/>
      <c r="AE89" s="61">
        <f t="shared" si="36"/>
        <v>5</v>
      </c>
      <c r="AF89" s="22"/>
      <c r="AG89" s="40">
        <f t="shared" si="37"/>
        <v>5</v>
      </c>
      <c r="AH89" s="24"/>
      <c r="AI89" s="24"/>
      <c r="AJ89" s="23">
        <f t="shared" si="38"/>
        <v>5</v>
      </c>
      <c r="AK89" s="25"/>
      <c r="AL89" s="25"/>
      <c r="AM89" s="25"/>
      <c r="AN89" s="25"/>
      <c r="AO89" s="25">
        <f t="shared" si="34"/>
        <v>0</v>
      </c>
      <c r="AP89" s="13"/>
      <c r="AQ89" s="21"/>
      <c r="AR89" s="21"/>
      <c r="AS89" s="21"/>
      <c r="AT89" s="21"/>
      <c r="AU89" s="21"/>
      <c r="AV89" s="21"/>
      <c r="AW89" s="21"/>
      <c r="AX89" s="21"/>
      <c r="AY89" s="77"/>
      <c r="AZ89" s="21"/>
      <c r="BA89" s="21"/>
      <c r="BB89" s="21"/>
      <c r="BC89" s="21"/>
      <c r="BD89" s="21"/>
      <c r="BE89" s="21"/>
      <c r="BF89" s="77"/>
      <c r="BG89" s="21"/>
      <c r="BH89" s="21"/>
      <c r="BI89" s="21"/>
      <c r="BJ89" s="21"/>
      <c r="BK89" s="21"/>
      <c r="BL89" s="21"/>
      <c r="BM89" s="77"/>
      <c r="BN89" s="21"/>
      <c r="BO89" s="21"/>
      <c r="BP89" s="21"/>
      <c r="BQ89" s="21"/>
      <c r="BR89" s="21"/>
      <c r="BS89" s="21"/>
      <c r="BT89" s="96">
        <f t="shared" si="25"/>
        <v>0</v>
      </c>
      <c r="BU89" s="94">
        <f t="shared" si="26"/>
        <v>0</v>
      </c>
      <c r="BV89" s="26" t="s">
        <v>2021</v>
      </c>
      <c r="BW89" s="27"/>
      <c r="BX89" s="19" t="s">
        <v>1620</v>
      </c>
      <c r="BY89" s="19" t="b">
        <f t="shared" si="35"/>
        <v>1</v>
      </c>
      <c r="BZ89" s="19" t="s">
        <v>1620</v>
      </c>
      <c r="CA89" s="19" t="s">
        <v>1999</v>
      </c>
      <c r="CB89" s="19"/>
      <c r="CC89" s="19"/>
      <c r="CD89" s="19" t="s">
        <v>2000</v>
      </c>
      <c r="CE89" s="19" t="s">
        <v>2001</v>
      </c>
      <c r="CF89" s="19" t="s">
        <v>2002</v>
      </c>
      <c r="CG89" s="19" t="s">
        <v>840</v>
      </c>
      <c r="CH89" s="19" t="s">
        <v>841</v>
      </c>
      <c r="CI89" s="19" t="s">
        <v>842</v>
      </c>
      <c r="CJ89" s="19" t="s">
        <v>2003</v>
      </c>
      <c r="CK89" s="19" t="s">
        <v>2004</v>
      </c>
      <c r="CL89" s="19" t="s">
        <v>2005</v>
      </c>
      <c r="CM89" s="19" t="s">
        <v>2006</v>
      </c>
      <c r="CN89" s="19"/>
      <c r="CO89" s="19"/>
      <c r="CP89" s="19" t="s">
        <v>847</v>
      </c>
      <c r="CQ89" s="19" t="s">
        <v>848</v>
      </c>
      <c r="CR89" s="19" t="s">
        <v>2007</v>
      </c>
      <c r="CS89" s="19" t="s">
        <v>2008</v>
      </c>
      <c r="CT89" s="19"/>
      <c r="CU89" s="19"/>
      <c r="CV89" s="19"/>
      <c r="CW89" s="19"/>
      <c r="CX89" s="19"/>
      <c r="CY89" s="19"/>
      <c r="CZ89" s="19"/>
      <c r="DA89" s="19"/>
      <c r="DB89" s="19"/>
      <c r="DC89" s="19"/>
    </row>
    <row r="90" spans="1:107" s="7" customFormat="1" x14ac:dyDescent="0.25">
      <c r="A90" s="19" t="s">
        <v>224</v>
      </c>
      <c r="B90" s="19" t="s">
        <v>224</v>
      </c>
      <c r="C90" s="19" t="str">
        <f t="shared" si="33"/>
        <v>95059123NPI Proj</v>
      </c>
      <c r="D90" s="19">
        <v>95059123</v>
      </c>
      <c r="E90" s="19" t="s">
        <v>1621</v>
      </c>
      <c r="F90" s="19" t="s">
        <v>261</v>
      </c>
      <c r="G90" s="20" t="s">
        <v>1621</v>
      </c>
      <c r="H90" s="19"/>
      <c r="I90" s="19" t="s">
        <v>230</v>
      </c>
      <c r="J90" s="26" t="s">
        <v>1860</v>
      </c>
      <c r="K90" s="19" t="s">
        <v>447</v>
      </c>
      <c r="L90" s="19" t="s">
        <v>252</v>
      </c>
      <c r="M90" s="19" t="s">
        <v>268</v>
      </c>
      <c r="N90" s="19" t="s">
        <v>254</v>
      </c>
      <c r="O90" s="19" t="s">
        <v>275</v>
      </c>
      <c r="P90" s="51" t="s">
        <v>237</v>
      </c>
      <c r="Q90" s="19" t="s">
        <v>448</v>
      </c>
      <c r="R90" s="19">
        <v>5200</v>
      </c>
      <c r="S90" s="19" t="s">
        <v>272</v>
      </c>
      <c r="T90" s="19" t="s">
        <v>263</v>
      </c>
      <c r="U90" s="20" t="s">
        <v>240</v>
      </c>
      <c r="V90" s="19" t="s">
        <v>1992</v>
      </c>
      <c r="W90" s="19"/>
      <c r="X90" s="35"/>
      <c r="Y90" s="35"/>
      <c r="Z90" s="32"/>
      <c r="AA90" s="22">
        <v>1</v>
      </c>
      <c r="AB90" s="22"/>
      <c r="AC90" s="22"/>
      <c r="AD90" s="22"/>
      <c r="AE90" s="61">
        <f t="shared" si="36"/>
        <v>1</v>
      </c>
      <c r="AF90" s="22"/>
      <c r="AG90" s="40">
        <f t="shared" si="37"/>
        <v>1</v>
      </c>
      <c r="AH90" s="24"/>
      <c r="AI90" s="24"/>
      <c r="AJ90" s="23">
        <f t="shared" si="38"/>
        <v>1</v>
      </c>
      <c r="AK90" s="25"/>
      <c r="AL90" s="25"/>
      <c r="AM90" s="25">
        <v>1</v>
      </c>
      <c r="AN90" s="25"/>
      <c r="AO90" s="25">
        <f t="shared" si="34"/>
        <v>1</v>
      </c>
      <c r="AP90" s="13"/>
      <c r="AQ90" s="21"/>
      <c r="AR90" s="21"/>
      <c r="AS90" s="21"/>
      <c r="AT90" s="21"/>
      <c r="AU90" s="21"/>
      <c r="AV90" s="21"/>
      <c r="AW90" s="21"/>
      <c r="AX90" s="21"/>
      <c r="AY90" s="77"/>
      <c r="AZ90" s="21"/>
      <c r="BA90" s="21"/>
      <c r="BB90" s="21"/>
      <c r="BC90" s="21"/>
      <c r="BD90" s="21"/>
      <c r="BE90" s="21"/>
      <c r="BF90" s="77"/>
      <c r="BG90" s="21"/>
      <c r="BH90" s="21"/>
      <c r="BI90" s="21"/>
      <c r="BJ90" s="21"/>
      <c r="BK90" s="21"/>
      <c r="BL90" s="21"/>
      <c r="BM90" s="77"/>
      <c r="BN90" s="21"/>
      <c r="BO90" s="21"/>
      <c r="BP90" s="21"/>
      <c r="BQ90" s="21"/>
      <c r="BR90" s="21"/>
      <c r="BS90" s="21"/>
      <c r="BT90" s="96">
        <f t="shared" si="25"/>
        <v>0</v>
      </c>
      <c r="BU90" s="94">
        <f t="shared" si="26"/>
        <v>1</v>
      </c>
      <c r="BV90" s="26"/>
      <c r="BW90" s="27"/>
      <c r="BX90" s="19" t="s">
        <v>1621</v>
      </c>
      <c r="BY90" s="19" t="b">
        <f t="shared" si="35"/>
        <v>1</v>
      </c>
      <c r="BZ90" s="19" t="s">
        <v>1621</v>
      </c>
      <c r="CA90" s="19" t="s">
        <v>2009</v>
      </c>
      <c r="CB90" s="19"/>
      <c r="CC90" s="19"/>
      <c r="CD90" s="19" t="s">
        <v>2000</v>
      </c>
      <c r="CE90" s="19" t="s">
        <v>2001</v>
      </c>
      <c r="CF90" s="19" t="s">
        <v>2002</v>
      </c>
      <c r="CG90" s="19" t="s">
        <v>840</v>
      </c>
      <c r="CH90" s="19" t="s">
        <v>841</v>
      </c>
      <c r="CI90" s="19" t="s">
        <v>842</v>
      </c>
      <c r="CJ90" s="19" t="s">
        <v>2003</v>
      </c>
      <c r="CK90" s="19" t="s">
        <v>2004</v>
      </c>
      <c r="CL90" s="19" t="s">
        <v>2005</v>
      </c>
      <c r="CM90" s="19" t="s">
        <v>2006</v>
      </c>
      <c r="CN90" s="19"/>
      <c r="CO90" s="19"/>
      <c r="CP90" s="19" t="s">
        <v>847</v>
      </c>
      <c r="CQ90" s="19" t="s">
        <v>848</v>
      </c>
      <c r="CR90" s="19" t="s">
        <v>2007</v>
      </c>
      <c r="CS90" s="19" t="s">
        <v>2008</v>
      </c>
      <c r="CT90" s="19"/>
      <c r="CU90" s="19"/>
      <c r="CV90" s="19"/>
      <c r="CW90" s="19"/>
      <c r="CX90" s="19"/>
      <c r="CY90" s="19"/>
      <c r="CZ90" s="19"/>
      <c r="DA90" s="19"/>
      <c r="DB90" s="19"/>
      <c r="DC90" s="19"/>
    </row>
    <row r="91" spans="1:107" s="7" customFormat="1" x14ac:dyDescent="0.25">
      <c r="A91" s="19" t="s">
        <v>224</v>
      </c>
      <c r="B91" s="19" t="s">
        <v>224</v>
      </c>
      <c r="C91" s="19" t="str">
        <f t="shared" si="33"/>
        <v>95056714NPI Proj</v>
      </c>
      <c r="D91" s="19">
        <v>95056714</v>
      </c>
      <c r="E91" s="19" t="s">
        <v>1855</v>
      </c>
      <c r="F91" s="19" t="s">
        <v>261</v>
      </c>
      <c r="G91" s="20" t="s">
        <v>1855</v>
      </c>
      <c r="H91" s="19"/>
      <c r="I91" s="19" t="s">
        <v>230</v>
      </c>
      <c r="J91" s="26" t="s">
        <v>1860</v>
      </c>
      <c r="K91" s="19" t="s">
        <v>447</v>
      </c>
      <c r="L91" s="19" t="s">
        <v>332</v>
      </c>
      <c r="M91" s="19" t="s">
        <v>268</v>
      </c>
      <c r="N91" s="19" t="s">
        <v>254</v>
      </c>
      <c r="O91" s="19" t="s">
        <v>275</v>
      </c>
      <c r="P91" s="51" t="s">
        <v>237</v>
      </c>
      <c r="Q91" s="19" t="s">
        <v>448</v>
      </c>
      <c r="R91" s="19">
        <v>5200</v>
      </c>
      <c r="S91" s="19" t="s">
        <v>272</v>
      </c>
      <c r="T91" s="19" t="s">
        <v>263</v>
      </c>
      <c r="U91" s="20" t="s">
        <v>240</v>
      </c>
      <c r="V91" s="19" t="s">
        <v>1816</v>
      </c>
      <c r="W91" s="19"/>
      <c r="X91" s="35"/>
      <c r="Y91" s="35"/>
      <c r="Z91" s="32"/>
      <c r="AA91" s="22">
        <v>1</v>
      </c>
      <c r="AB91" s="22"/>
      <c r="AC91" s="22"/>
      <c r="AD91" s="22"/>
      <c r="AE91" s="61">
        <f t="shared" si="36"/>
        <v>1</v>
      </c>
      <c r="AF91" s="22"/>
      <c r="AG91" s="40">
        <f t="shared" si="37"/>
        <v>1</v>
      </c>
      <c r="AH91" s="24"/>
      <c r="AI91" s="24"/>
      <c r="AJ91" s="23">
        <f t="shared" si="38"/>
        <v>1</v>
      </c>
      <c r="AK91" s="25"/>
      <c r="AL91" s="25"/>
      <c r="AM91" s="25"/>
      <c r="AN91" s="25">
        <v>1</v>
      </c>
      <c r="AO91" s="25">
        <f t="shared" si="34"/>
        <v>1</v>
      </c>
      <c r="AP91" s="13"/>
      <c r="AQ91" s="21"/>
      <c r="AR91" s="21"/>
      <c r="AS91" s="21"/>
      <c r="AT91" s="21"/>
      <c r="AU91" s="21"/>
      <c r="AV91" s="21"/>
      <c r="AW91" s="21"/>
      <c r="AX91" s="21"/>
      <c r="AY91" s="77"/>
      <c r="AZ91" s="21"/>
      <c r="BA91" s="21"/>
      <c r="BB91" s="21"/>
      <c r="BC91" s="21"/>
      <c r="BD91" s="21"/>
      <c r="BE91" s="21"/>
      <c r="BF91" s="77"/>
      <c r="BG91" s="21"/>
      <c r="BH91" s="21"/>
      <c r="BI91" s="21"/>
      <c r="BJ91" s="21"/>
      <c r="BK91" s="21"/>
      <c r="BL91" s="21"/>
      <c r="BM91" s="77"/>
      <c r="BN91" s="21"/>
      <c r="BO91" s="21"/>
      <c r="BP91" s="21"/>
      <c r="BQ91" s="21"/>
      <c r="BR91" s="21"/>
      <c r="BS91" s="21"/>
      <c r="BT91" s="96">
        <f t="shared" si="25"/>
        <v>0</v>
      </c>
      <c r="BU91" s="94">
        <f t="shared" si="26"/>
        <v>1</v>
      </c>
      <c r="BV91" s="26"/>
      <c r="BW91" s="27"/>
      <c r="BX91" s="19" t="s">
        <v>1855</v>
      </c>
      <c r="BY91" s="19" t="b">
        <f t="shared" si="35"/>
        <v>1</v>
      </c>
      <c r="BZ91" s="19" t="s">
        <v>1855</v>
      </c>
      <c r="CA91" s="19" t="s">
        <v>834</v>
      </c>
      <c r="CB91" s="19"/>
      <c r="CC91" s="19"/>
      <c r="CD91" s="19" t="s">
        <v>2000</v>
      </c>
      <c r="CE91" s="19" t="s">
        <v>2001</v>
      </c>
      <c r="CF91" s="19" t="s">
        <v>2002</v>
      </c>
      <c r="CG91" s="19" t="s">
        <v>840</v>
      </c>
      <c r="CH91" s="19" t="s">
        <v>841</v>
      </c>
      <c r="CI91" s="19" t="s">
        <v>842</v>
      </c>
      <c r="CJ91" s="19" t="s">
        <v>2010</v>
      </c>
      <c r="CK91" s="19" t="s">
        <v>2011</v>
      </c>
      <c r="CL91" s="19" t="s">
        <v>2012</v>
      </c>
      <c r="CM91" s="19" t="s">
        <v>2013</v>
      </c>
      <c r="CN91" s="19"/>
      <c r="CO91" s="19"/>
      <c r="CP91" s="19" t="s">
        <v>847</v>
      </c>
      <c r="CQ91" s="19" t="s">
        <v>848</v>
      </c>
      <c r="CR91" s="19" t="s">
        <v>2007</v>
      </c>
      <c r="CS91" s="19" t="s">
        <v>2008</v>
      </c>
      <c r="CT91" s="19"/>
      <c r="CU91" s="19"/>
      <c r="CV91" s="19"/>
      <c r="CW91" s="19"/>
      <c r="CX91" s="19"/>
      <c r="CY91" s="19"/>
      <c r="CZ91" s="19"/>
      <c r="DA91" s="19"/>
      <c r="DB91" s="19"/>
      <c r="DC91" s="19"/>
    </row>
    <row r="92" spans="1:107" s="7" customFormat="1" x14ac:dyDescent="0.25">
      <c r="A92" s="19" t="s">
        <v>228</v>
      </c>
      <c r="B92" s="19" t="s">
        <v>80</v>
      </c>
      <c r="C92" s="19" t="str">
        <f t="shared" si="33"/>
        <v>95155621India</v>
      </c>
      <c r="D92" s="19">
        <v>95155621</v>
      </c>
      <c r="E92" s="19" t="s">
        <v>419</v>
      </c>
      <c r="F92" s="19" t="s">
        <v>261</v>
      </c>
      <c r="G92" s="20" t="s">
        <v>419</v>
      </c>
      <c r="H92" s="19"/>
      <c r="I92" s="19" t="s">
        <v>230</v>
      </c>
      <c r="J92" s="19" t="s">
        <v>250</v>
      </c>
      <c r="K92" s="19" t="s">
        <v>420</v>
      </c>
      <c r="L92" s="19" t="s">
        <v>252</v>
      </c>
      <c r="M92" s="19" t="s">
        <v>268</v>
      </c>
      <c r="N92" s="19" t="s">
        <v>247</v>
      </c>
      <c r="O92" s="19" t="s">
        <v>275</v>
      </c>
      <c r="P92" s="51" t="s">
        <v>237</v>
      </c>
      <c r="Q92" s="19" t="s">
        <v>421</v>
      </c>
      <c r="R92" s="19">
        <v>5300</v>
      </c>
      <c r="S92" s="19" t="s">
        <v>422</v>
      </c>
      <c r="T92" s="19" t="s">
        <v>263</v>
      </c>
      <c r="U92" s="20" t="s">
        <v>1861</v>
      </c>
      <c r="V92" s="19" t="s">
        <v>155</v>
      </c>
      <c r="W92" s="19" t="s">
        <v>221</v>
      </c>
      <c r="X92" s="35">
        <v>85</v>
      </c>
      <c r="Y92" s="35">
        <v>50</v>
      </c>
      <c r="Z92" s="32"/>
      <c r="AA92" s="22">
        <v>16</v>
      </c>
      <c r="AB92" s="22">
        <v>25</v>
      </c>
      <c r="AC92" s="22">
        <v>23</v>
      </c>
      <c r="AD92" s="22">
        <v>43</v>
      </c>
      <c r="AE92" s="61">
        <f t="shared" si="36"/>
        <v>107</v>
      </c>
      <c r="AF92" s="22">
        <v>60</v>
      </c>
      <c r="AG92" s="40">
        <f t="shared" si="37"/>
        <v>167</v>
      </c>
      <c r="AH92" s="24"/>
      <c r="AI92" s="24">
        <v>25</v>
      </c>
      <c r="AJ92" s="23">
        <f t="shared" si="38"/>
        <v>192</v>
      </c>
      <c r="AK92" s="25">
        <v>60</v>
      </c>
      <c r="AL92" s="25">
        <v>60</v>
      </c>
      <c r="AM92" s="25">
        <v>58</v>
      </c>
      <c r="AN92" s="25"/>
      <c r="AO92" s="25">
        <f t="shared" si="34"/>
        <v>178</v>
      </c>
      <c r="AP92" s="13"/>
      <c r="AQ92" s="21"/>
      <c r="AR92" s="21"/>
      <c r="AS92" s="21"/>
      <c r="AT92" s="21"/>
      <c r="AU92" s="21"/>
      <c r="AV92" s="21">
        <v>10</v>
      </c>
      <c r="AW92" s="21">
        <v>10</v>
      </c>
      <c r="AX92" s="21">
        <v>10</v>
      </c>
      <c r="AY92" s="77"/>
      <c r="AZ92" s="21">
        <v>20</v>
      </c>
      <c r="BA92" s="21">
        <v>20</v>
      </c>
      <c r="BB92" s="21">
        <v>20</v>
      </c>
      <c r="BC92" s="21">
        <v>4</v>
      </c>
      <c r="BD92" s="21">
        <v>4</v>
      </c>
      <c r="BE92" s="21">
        <v>4</v>
      </c>
      <c r="BF92" s="77"/>
      <c r="BG92" s="21">
        <v>5</v>
      </c>
      <c r="BH92" s="21"/>
      <c r="BI92" s="21"/>
      <c r="BJ92" s="21"/>
      <c r="BK92" s="21"/>
      <c r="BL92" s="21"/>
      <c r="BM92" s="77"/>
      <c r="BN92" s="21"/>
      <c r="BO92" s="21"/>
      <c r="BP92" s="21"/>
      <c r="BQ92" s="21"/>
      <c r="BR92" s="21"/>
      <c r="BS92" s="21"/>
      <c r="BT92" s="96">
        <f t="shared" si="25"/>
        <v>107</v>
      </c>
      <c r="BU92" s="94">
        <f t="shared" si="26"/>
        <v>71</v>
      </c>
      <c r="BV92" s="26" t="s">
        <v>2020</v>
      </c>
      <c r="BW92" s="27"/>
      <c r="BX92" s="19" t="s">
        <v>419</v>
      </c>
      <c r="BY92" s="19" t="b">
        <f t="shared" si="35"/>
        <v>1</v>
      </c>
      <c r="BZ92" s="53" t="s">
        <v>419</v>
      </c>
      <c r="CA92" s="19" t="s">
        <v>868</v>
      </c>
      <c r="CB92" s="19" t="s">
        <v>869</v>
      </c>
      <c r="CC92" s="19" t="s">
        <v>870</v>
      </c>
      <c r="CD92" s="19" t="s">
        <v>871</v>
      </c>
      <c r="CE92" s="19" t="s">
        <v>872</v>
      </c>
      <c r="CF92" s="19" t="s">
        <v>873</v>
      </c>
      <c r="CG92" s="19" t="s">
        <v>874</v>
      </c>
      <c r="CH92" s="19" t="s">
        <v>875</v>
      </c>
      <c r="CI92" s="19" t="s">
        <v>876</v>
      </c>
      <c r="CJ92" s="19" t="s">
        <v>877</v>
      </c>
      <c r="CK92" s="19" t="s">
        <v>878</v>
      </c>
      <c r="CL92" s="19" t="s">
        <v>879</v>
      </c>
      <c r="CM92" s="19" t="s">
        <v>880</v>
      </c>
      <c r="CN92" s="19"/>
      <c r="CO92" s="19"/>
      <c r="CP92" s="19" t="s">
        <v>881</v>
      </c>
      <c r="CQ92" s="19" t="s">
        <v>882</v>
      </c>
      <c r="CR92" s="19" t="s">
        <v>883</v>
      </c>
      <c r="CS92" s="19" t="s">
        <v>884</v>
      </c>
      <c r="CT92" s="19"/>
      <c r="CU92" s="19"/>
      <c r="CV92" s="19"/>
      <c r="CW92" s="19"/>
      <c r="CX92" s="19"/>
      <c r="CY92" s="19"/>
      <c r="CZ92" s="19"/>
      <c r="DA92" s="19"/>
      <c r="DB92" s="19"/>
      <c r="DC92" s="19"/>
    </row>
    <row r="93" spans="1:107" s="7" customFormat="1" x14ac:dyDescent="0.25">
      <c r="A93" s="19" t="s">
        <v>228</v>
      </c>
      <c r="B93" s="19" t="s">
        <v>80</v>
      </c>
      <c r="C93" s="19" t="str">
        <f t="shared" si="33"/>
        <v>95158883India</v>
      </c>
      <c r="D93" s="19">
        <v>95158883</v>
      </c>
      <c r="E93" s="19" t="s">
        <v>1598</v>
      </c>
      <c r="F93" s="19" t="s">
        <v>261</v>
      </c>
      <c r="G93" s="20" t="s">
        <v>502</v>
      </c>
      <c r="H93" s="19"/>
      <c r="I93" s="19" t="s">
        <v>230</v>
      </c>
      <c r="J93" s="19" t="s">
        <v>250</v>
      </c>
      <c r="K93" s="19" t="s">
        <v>420</v>
      </c>
      <c r="L93" s="19" t="s">
        <v>252</v>
      </c>
      <c r="M93" s="19" t="s">
        <v>268</v>
      </c>
      <c r="N93" s="19" t="s">
        <v>247</v>
      </c>
      <c r="O93" s="19" t="s">
        <v>275</v>
      </c>
      <c r="P93" s="51" t="s">
        <v>237</v>
      </c>
      <c r="Q93" s="19" t="s">
        <v>421</v>
      </c>
      <c r="R93" s="19">
        <v>5300</v>
      </c>
      <c r="S93" s="19" t="s">
        <v>1837</v>
      </c>
      <c r="T93" s="19" t="s">
        <v>263</v>
      </c>
      <c r="U93" s="20" t="s">
        <v>263</v>
      </c>
      <c r="V93" s="19" t="s">
        <v>156</v>
      </c>
      <c r="W93" s="19" t="s">
        <v>221</v>
      </c>
      <c r="X93" s="35">
        <v>70</v>
      </c>
      <c r="Y93" s="35">
        <v>40</v>
      </c>
      <c r="Z93" s="32"/>
      <c r="AA93" s="22">
        <v>24</v>
      </c>
      <c r="AB93" s="22">
        <v>27</v>
      </c>
      <c r="AC93" s="22">
        <v>21</v>
      </c>
      <c r="AD93" s="22">
        <v>15</v>
      </c>
      <c r="AE93" s="61">
        <f t="shared" si="36"/>
        <v>87</v>
      </c>
      <c r="AF93" s="22">
        <v>50</v>
      </c>
      <c r="AG93" s="40">
        <f t="shared" si="37"/>
        <v>137</v>
      </c>
      <c r="AH93" s="24">
        <v>1</v>
      </c>
      <c r="AI93" s="24"/>
      <c r="AJ93" s="23">
        <f t="shared" si="38"/>
        <v>136</v>
      </c>
      <c r="AK93" s="25">
        <v>40</v>
      </c>
      <c r="AL93" s="25">
        <v>40</v>
      </c>
      <c r="AM93" s="25">
        <v>40</v>
      </c>
      <c r="AN93" s="25"/>
      <c r="AO93" s="25">
        <f t="shared" si="34"/>
        <v>120</v>
      </c>
      <c r="AP93" s="13">
        <v>1</v>
      </c>
      <c r="AQ93" s="21">
        <v>1</v>
      </c>
      <c r="AR93" s="21"/>
      <c r="AS93" s="21"/>
      <c r="AT93" s="21">
        <v>8</v>
      </c>
      <c r="AU93" s="21">
        <v>8</v>
      </c>
      <c r="AV93" s="21">
        <v>8</v>
      </c>
      <c r="AW93" s="21">
        <v>8</v>
      </c>
      <c r="AX93" s="21">
        <v>8</v>
      </c>
      <c r="AY93" s="77"/>
      <c r="AZ93" s="21"/>
      <c r="BA93" s="21">
        <v>8</v>
      </c>
      <c r="BB93" s="21">
        <v>8</v>
      </c>
      <c r="BC93" s="21">
        <v>8</v>
      </c>
      <c r="BD93" s="21">
        <v>8</v>
      </c>
      <c r="BE93" s="21">
        <v>8</v>
      </c>
      <c r="BF93" s="77"/>
      <c r="BG93" s="21">
        <v>3</v>
      </c>
      <c r="BH93" s="21">
        <v>3</v>
      </c>
      <c r="BI93" s="21"/>
      <c r="BJ93" s="21"/>
      <c r="BK93" s="21"/>
      <c r="BL93" s="21"/>
      <c r="BM93" s="77"/>
      <c r="BN93" s="21"/>
      <c r="BO93" s="21"/>
      <c r="BP93" s="21"/>
      <c r="BQ93" s="21"/>
      <c r="BR93" s="21"/>
      <c r="BS93" s="21"/>
      <c r="BT93" s="96">
        <f t="shared" si="25"/>
        <v>87</v>
      </c>
      <c r="BU93" s="94">
        <f t="shared" si="26"/>
        <v>33</v>
      </c>
      <c r="BV93" s="26" t="s">
        <v>2020</v>
      </c>
      <c r="BW93" s="27"/>
      <c r="BX93" s="19" t="s">
        <v>502</v>
      </c>
      <c r="BY93" s="19" t="b">
        <f t="shared" si="35"/>
        <v>1</v>
      </c>
      <c r="BZ93" s="53" t="s">
        <v>502</v>
      </c>
      <c r="CA93" s="19" t="s">
        <v>885</v>
      </c>
      <c r="CB93" s="19" t="s">
        <v>886</v>
      </c>
      <c r="CC93" s="19" t="s">
        <v>887</v>
      </c>
      <c r="CD93" s="19" t="s">
        <v>871</v>
      </c>
      <c r="CE93" s="19" t="s">
        <v>872</v>
      </c>
      <c r="CF93" s="19" t="s">
        <v>873</v>
      </c>
      <c r="CG93" s="19" t="s">
        <v>874</v>
      </c>
      <c r="CH93" s="19" t="s">
        <v>875</v>
      </c>
      <c r="CI93" s="19" t="s">
        <v>876</v>
      </c>
      <c r="CJ93" s="19" t="s">
        <v>877</v>
      </c>
      <c r="CK93" s="19" t="s">
        <v>878</v>
      </c>
      <c r="CL93" s="19" t="s">
        <v>888</v>
      </c>
      <c r="CM93" s="19" t="s">
        <v>889</v>
      </c>
      <c r="CN93" s="19"/>
      <c r="CO93" s="19"/>
      <c r="CP93" s="19" t="s">
        <v>881</v>
      </c>
      <c r="CQ93" s="19" t="s">
        <v>882</v>
      </c>
      <c r="CR93" s="19" t="s">
        <v>883</v>
      </c>
      <c r="CS93" s="19" t="s">
        <v>884</v>
      </c>
      <c r="CT93" s="19"/>
      <c r="CU93" s="19"/>
      <c r="CV93" s="19"/>
      <c r="CW93" s="19"/>
      <c r="CX93" s="19"/>
      <c r="CY93" s="19"/>
      <c r="CZ93" s="19"/>
      <c r="DA93" s="19"/>
      <c r="DB93" s="19"/>
      <c r="DC93" s="19"/>
    </row>
    <row r="94" spans="1:107" s="7" customFormat="1" x14ac:dyDescent="0.25">
      <c r="A94" s="19" t="s">
        <v>228</v>
      </c>
      <c r="B94" s="19" t="s">
        <v>80</v>
      </c>
      <c r="C94" s="19" t="str">
        <f t="shared" si="33"/>
        <v>95158881India</v>
      </c>
      <c r="D94" s="19">
        <v>95158881</v>
      </c>
      <c r="E94" s="19" t="s">
        <v>451</v>
      </c>
      <c r="F94" s="19" t="s">
        <v>261</v>
      </c>
      <c r="G94" s="20" t="s">
        <v>451</v>
      </c>
      <c r="H94" s="19"/>
      <c r="I94" s="19" t="s">
        <v>230</v>
      </c>
      <c r="J94" s="19" t="s">
        <v>250</v>
      </c>
      <c r="K94" s="19" t="s">
        <v>420</v>
      </c>
      <c r="L94" s="19" t="s">
        <v>252</v>
      </c>
      <c r="M94" s="19" t="s">
        <v>268</v>
      </c>
      <c r="N94" s="19" t="s">
        <v>247</v>
      </c>
      <c r="O94" s="19" t="s">
        <v>275</v>
      </c>
      <c r="P94" s="51" t="s">
        <v>237</v>
      </c>
      <c r="Q94" s="19" t="s">
        <v>421</v>
      </c>
      <c r="R94" s="19">
        <v>5300</v>
      </c>
      <c r="S94" s="19" t="s">
        <v>272</v>
      </c>
      <c r="T94" s="19" t="s">
        <v>263</v>
      </c>
      <c r="U94" s="20" t="s">
        <v>263</v>
      </c>
      <c r="V94" s="19" t="s">
        <v>178</v>
      </c>
      <c r="W94" s="19" t="s">
        <v>221</v>
      </c>
      <c r="X94" s="35">
        <v>7</v>
      </c>
      <c r="Y94" s="35">
        <v>6</v>
      </c>
      <c r="Z94" s="32"/>
      <c r="AA94" s="22">
        <v>4</v>
      </c>
      <c r="AB94" s="22"/>
      <c r="AC94" s="22">
        <v>9</v>
      </c>
      <c r="AD94" s="22">
        <v>2</v>
      </c>
      <c r="AE94" s="61">
        <f t="shared" si="36"/>
        <v>15</v>
      </c>
      <c r="AF94" s="22"/>
      <c r="AG94" s="40">
        <f t="shared" si="37"/>
        <v>15</v>
      </c>
      <c r="AH94" s="24"/>
      <c r="AI94" s="24">
        <v>7</v>
      </c>
      <c r="AJ94" s="23">
        <f t="shared" si="38"/>
        <v>22</v>
      </c>
      <c r="AK94" s="25">
        <v>11</v>
      </c>
      <c r="AL94" s="25">
        <v>11</v>
      </c>
      <c r="AM94" s="25"/>
      <c r="AN94" s="25"/>
      <c r="AO94" s="25">
        <f t="shared" si="34"/>
        <v>22</v>
      </c>
      <c r="AP94" s="13"/>
      <c r="AQ94" s="21"/>
      <c r="AR94" s="21"/>
      <c r="AS94" s="21">
        <v>3</v>
      </c>
      <c r="AT94" s="21">
        <v>3</v>
      </c>
      <c r="AU94" s="21">
        <v>3</v>
      </c>
      <c r="AV94" s="21">
        <v>2</v>
      </c>
      <c r="AW94" s="21"/>
      <c r="AX94" s="21"/>
      <c r="AY94" s="77"/>
      <c r="AZ94" s="21">
        <v>2</v>
      </c>
      <c r="BA94" s="21">
        <v>2</v>
      </c>
      <c r="BB94" s="21"/>
      <c r="BC94" s="21"/>
      <c r="BD94" s="21"/>
      <c r="BE94" s="21"/>
      <c r="BF94" s="77"/>
      <c r="BG94" s="21"/>
      <c r="BH94" s="21"/>
      <c r="BI94" s="21"/>
      <c r="BJ94" s="21"/>
      <c r="BK94" s="21"/>
      <c r="BL94" s="21"/>
      <c r="BM94" s="77"/>
      <c r="BN94" s="21"/>
      <c r="BO94" s="21"/>
      <c r="BP94" s="21"/>
      <c r="BQ94" s="21"/>
      <c r="BR94" s="21"/>
      <c r="BS94" s="21"/>
      <c r="BT94" s="96">
        <f t="shared" si="25"/>
        <v>15</v>
      </c>
      <c r="BU94" s="94">
        <f t="shared" si="26"/>
        <v>7</v>
      </c>
      <c r="BV94" s="26"/>
      <c r="BW94" s="27"/>
      <c r="BX94" s="19" t="s">
        <v>451</v>
      </c>
      <c r="BY94" s="19" t="b">
        <f t="shared" si="35"/>
        <v>1</v>
      </c>
      <c r="BZ94" s="53" t="s">
        <v>451</v>
      </c>
      <c r="CA94" s="19" t="s">
        <v>890</v>
      </c>
      <c r="CB94" s="19" t="s">
        <v>886</v>
      </c>
      <c r="CC94" s="19" t="s">
        <v>887</v>
      </c>
      <c r="CD94" s="19" t="s">
        <v>871</v>
      </c>
      <c r="CE94" s="19" t="s">
        <v>872</v>
      </c>
      <c r="CF94" s="19" t="s">
        <v>873</v>
      </c>
      <c r="CG94" s="19" t="s">
        <v>874</v>
      </c>
      <c r="CH94" s="19" t="s">
        <v>875</v>
      </c>
      <c r="CI94" s="19" t="s">
        <v>876</v>
      </c>
      <c r="CJ94" s="19" t="s">
        <v>891</v>
      </c>
      <c r="CK94" s="19" t="s">
        <v>892</v>
      </c>
      <c r="CL94" s="19" t="s">
        <v>893</v>
      </c>
      <c r="CM94" s="19" t="s">
        <v>894</v>
      </c>
      <c r="CN94" s="19"/>
      <c r="CO94" s="19"/>
      <c r="CP94" s="19" t="s">
        <v>881</v>
      </c>
      <c r="CQ94" s="19" t="s">
        <v>882</v>
      </c>
      <c r="CR94" s="19" t="s">
        <v>883</v>
      </c>
      <c r="CS94" s="19" t="s">
        <v>884</v>
      </c>
      <c r="CT94" s="19"/>
      <c r="CU94" s="19"/>
      <c r="CV94" s="19"/>
      <c r="CW94" s="19"/>
      <c r="CX94" s="19"/>
      <c r="CY94" s="19"/>
      <c r="CZ94" s="19"/>
      <c r="DA94" s="19"/>
      <c r="DB94" s="19"/>
      <c r="DC94" s="19"/>
    </row>
    <row r="95" spans="1:107" s="7" customFormat="1" x14ac:dyDescent="0.25">
      <c r="A95" s="19" t="s">
        <v>228</v>
      </c>
      <c r="B95" s="19" t="s">
        <v>80</v>
      </c>
      <c r="C95" s="19" t="str">
        <f t="shared" si="33"/>
        <v>95158885India</v>
      </c>
      <c r="D95" s="19">
        <v>95158885</v>
      </c>
      <c r="E95" s="19" t="s">
        <v>502</v>
      </c>
      <c r="F95" s="19" t="s">
        <v>261</v>
      </c>
      <c r="G95" s="20" t="s">
        <v>502</v>
      </c>
      <c r="H95" s="19"/>
      <c r="I95" s="19" t="s">
        <v>230</v>
      </c>
      <c r="J95" s="19" t="s">
        <v>250</v>
      </c>
      <c r="K95" s="19" t="s">
        <v>420</v>
      </c>
      <c r="L95" s="19" t="s">
        <v>252</v>
      </c>
      <c r="M95" s="19" t="s">
        <v>268</v>
      </c>
      <c r="N95" s="19" t="s">
        <v>247</v>
      </c>
      <c r="O95" s="19" t="s">
        <v>275</v>
      </c>
      <c r="P95" s="51" t="s">
        <v>237</v>
      </c>
      <c r="Q95" s="19" t="s">
        <v>421</v>
      </c>
      <c r="R95" s="19">
        <v>5300</v>
      </c>
      <c r="S95" s="19" t="s">
        <v>272</v>
      </c>
      <c r="T95" s="19" t="s">
        <v>263</v>
      </c>
      <c r="U95" s="20" t="s">
        <v>263</v>
      </c>
      <c r="V95" s="19" t="s">
        <v>1787</v>
      </c>
      <c r="W95" s="19" t="s">
        <v>222</v>
      </c>
      <c r="X95" s="35"/>
      <c r="Y95" s="35"/>
      <c r="Z95" s="32"/>
      <c r="AA95" s="22">
        <v>6</v>
      </c>
      <c r="AB95" s="22"/>
      <c r="AC95" s="22"/>
      <c r="AD95" s="22"/>
      <c r="AE95" s="61">
        <f t="shared" si="36"/>
        <v>6</v>
      </c>
      <c r="AF95" s="22"/>
      <c r="AG95" s="40">
        <f t="shared" si="37"/>
        <v>6</v>
      </c>
      <c r="AH95" s="24"/>
      <c r="AI95" s="24"/>
      <c r="AJ95" s="23">
        <f t="shared" si="38"/>
        <v>6</v>
      </c>
      <c r="AK95" s="25"/>
      <c r="AL95" s="25"/>
      <c r="AM95" s="25"/>
      <c r="AN95" s="25"/>
      <c r="AO95" s="25">
        <f t="shared" si="34"/>
        <v>0</v>
      </c>
      <c r="AP95" s="13"/>
      <c r="AQ95" s="21"/>
      <c r="AR95" s="21"/>
      <c r="AS95" s="21"/>
      <c r="AT95" s="21"/>
      <c r="AU95" s="21"/>
      <c r="AV95" s="21"/>
      <c r="AW95" s="21"/>
      <c r="AX95" s="21"/>
      <c r="AY95" s="77"/>
      <c r="AZ95" s="21"/>
      <c r="BA95" s="21"/>
      <c r="BB95" s="21"/>
      <c r="BC95" s="21"/>
      <c r="BD95" s="21"/>
      <c r="BE95" s="21"/>
      <c r="BF95" s="77"/>
      <c r="BG95" s="21"/>
      <c r="BH95" s="21"/>
      <c r="BI95" s="21"/>
      <c r="BJ95" s="21"/>
      <c r="BK95" s="21"/>
      <c r="BL95" s="21"/>
      <c r="BM95" s="77"/>
      <c r="BN95" s="21"/>
      <c r="BO95" s="21"/>
      <c r="BP95" s="21"/>
      <c r="BQ95" s="21"/>
      <c r="BR95" s="21"/>
      <c r="BS95" s="21"/>
      <c r="BT95" s="96">
        <f t="shared" si="25"/>
        <v>0</v>
      </c>
      <c r="BU95" s="94">
        <f t="shared" si="26"/>
        <v>0</v>
      </c>
      <c r="BV95" s="26" t="s">
        <v>2020</v>
      </c>
      <c r="BW95" s="27"/>
      <c r="BX95" s="19" t="s">
        <v>502</v>
      </c>
      <c r="BY95" s="19" t="b">
        <f t="shared" si="35"/>
        <v>1</v>
      </c>
      <c r="BZ95" s="53" t="s">
        <v>502</v>
      </c>
      <c r="CA95" s="19" t="s">
        <v>885</v>
      </c>
      <c r="CB95" s="19" t="s">
        <v>886</v>
      </c>
      <c r="CC95" s="19" t="s">
        <v>887</v>
      </c>
      <c r="CD95" s="19" t="s">
        <v>871</v>
      </c>
      <c r="CE95" s="19" t="s">
        <v>872</v>
      </c>
      <c r="CF95" s="19" t="s">
        <v>873</v>
      </c>
      <c r="CG95" s="19" t="s">
        <v>874</v>
      </c>
      <c r="CH95" s="19" t="s">
        <v>875</v>
      </c>
      <c r="CI95" s="19" t="s">
        <v>876</v>
      </c>
      <c r="CJ95" s="19" t="s">
        <v>877</v>
      </c>
      <c r="CK95" s="19" t="s">
        <v>878</v>
      </c>
      <c r="CL95" s="19" t="s">
        <v>888</v>
      </c>
      <c r="CM95" s="19" t="s">
        <v>889</v>
      </c>
      <c r="CN95" s="19"/>
      <c r="CO95" s="19"/>
      <c r="CP95" s="19" t="s">
        <v>881</v>
      </c>
      <c r="CQ95" s="19" t="s">
        <v>882</v>
      </c>
      <c r="CR95" s="19" t="s">
        <v>883</v>
      </c>
      <c r="CS95" s="19" t="s">
        <v>884</v>
      </c>
      <c r="CT95" s="19"/>
      <c r="CU95" s="19"/>
      <c r="CV95" s="19"/>
      <c r="CW95" s="19"/>
      <c r="CX95" s="19"/>
      <c r="CY95" s="19"/>
      <c r="CZ95" s="19"/>
      <c r="DA95" s="19"/>
      <c r="DB95" s="19"/>
      <c r="DC95" s="19"/>
    </row>
    <row r="96" spans="1:107" s="7" customFormat="1" x14ac:dyDescent="0.25">
      <c r="A96" s="19" t="s">
        <v>228</v>
      </c>
      <c r="B96" s="19" t="s">
        <v>80</v>
      </c>
      <c r="C96" s="19" t="str">
        <f t="shared" si="33"/>
        <v>95158884India</v>
      </c>
      <c r="D96" s="19">
        <v>95158884</v>
      </c>
      <c r="E96" s="19" t="s">
        <v>502</v>
      </c>
      <c r="F96" s="19" t="s">
        <v>261</v>
      </c>
      <c r="G96" s="20" t="s">
        <v>502</v>
      </c>
      <c r="H96" s="19"/>
      <c r="I96" s="19" t="s">
        <v>230</v>
      </c>
      <c r="J96" s="19" t="s">
        <v>250</v>
      </c>
      <c r="K96" s="19" t="s">
        <v>420</v>
      </c>
      <c r="L96" s="19" t="s">
        <v>252</v>
      </c>
      <c r="M96" s="19" t="s">
        <v>268</v>
      </c>
      <c r="N96" s="19" t="s">
        <v>247</v>
      </c>
      <c r="O96" s="19" t="s">
        <v>275</v>
      </c>
      <c r="P96" s="51" t="s">
        <v>237</v>
      </c>
      <c r="Q96" s="19" t="s">
        <v>421</v>
      </c>
      <c r="R96" s="19">
        <v>5300</v>
      </c>
      <c r="S96" s="19" t="s">
        <v>272</v>
      </c>
      <c r="T96" s="19" t="s">
        <v>263</v>
      </c>
      <c r="U96" s="20" t="s">
        <v>263</v>
      </c>
      <c r="V96" s="19" t="s">
        <v>1794</v>
      </c>
      <c r="W96" s="19" t="s">
        <v>222</v>
      </c>
      <c r="X96" s="35">
        <v>1</v>
      </c>
      <c r="Y96" s="35">
        <v>1</v>
      </c>
      <c r="Z96" s="32"/>
      <c r="AA96" s="22">
        <v>1</v>
      </c>
      <c r="AB96" s="22"/>
      <c r="AC96" s="22"/>
      <c r="AD96" s="22"/>
      <c r="AE96" s="61">
        <f t="shared" si="36"/>
        <v>1</v>
      </c>
      <c r="AF96" s="22"/>
      <c r="AG96" s="40">
        <f t="shared" si="37"/>
        <v>1</v>
      </c>
      <c r="AH96" s="24"/>
      <c r="AI96" s="24">
        <v>1</v>
      </c>
      <c r="AJ96" s="23">
        <f t="shared" si="38"/>
        <v>2</v>
      </c>
      <c r="AK96" s="25"/>
      <c r="AL96" s="25"/>
      <c r="AM96" s="25"/>
      <c r="AN96" s="25"/>
      <c r="AO96" s="25">
        <f t="shared" si="34"/>
        <v>0</v>
      </c>
      <c r="AP96" s="13"/>
      <c r="AQ96" s="21"/>
      <c r="AR96" s="21"/>
      <c r="AS96" s="21"/>
      <c r="AT96" s="21"/>
      <c r="AU96" s="21"/>
      <c r="AV96" s="21"/>
      <c r="AW96" s="21"/>
      <c r="AX96" s="21"/>
      <c r="AY96" s="77"/>
      <c r="AZ96" s="21"/>
      <c r="BA96" s="21"/>
      <c r="BB96" s="21"/>
      <c r="BC96" s="21"/>
      <c r="BD96" s="21"/>
      <c r="BE96" s="21"/>
      <c r="BF96" s="77"/>
      <c r="BG96" s="21"/>
      <c r="BH96" s="21"/>
      <c r="BI96" s="21"/>
      <c r="BJ96" s="21"/>
      <c r="BK96" s="21"/>
      <c r="BL96" s="21"/>
      <c r="BM96" s="77"/>
      <c r="BN96" s="21"/>
      <c r="BO96" s="21"/>
      <c r="BP96" s="21"/>
      <c r="BQ96" s="21"/>
      <c r="BR96" s="21"/>
      <c r="BS96" s="21"/>
      <c r="BT96" s="96">
        <f t="shared" si="25"/>
        <v>0</v>
      </c>
      <c r="BU96" s="94">
        <f t="shared" si="26"/>
        <v>0</v>
      </c>
      <c r="BV96" s="26" t="s">
        <v>2020</v>
      </c>
      <c r="BW96" s="27"/>
      <c r="BX96" s="19" t="s">
        <v>502</v>
      </c>
      <c r="BY96" s="19" t="b">
        <f t="shared" si="35"/>
        <v>1</v>
      </c>
      <c r="BZ96" s="53" t="s">
        <v>502</v>
      </c>
      <c r="CA96" s="19" t="s">
        <v>885</v>
      </c>
      <c r="CB96" s="19" t="s">
        <v>886</v>
      </c>
      <c r="CC96" s="19" t="s">
        <v>887</v>
      </c>
      <c r="CD96" s="19" t="s">
        <v>871</v>
      </c>
      <c r="CE96" s="19" t="s">
        <v>872</v>
      </c>
      <c r="CF96" s="19" t="s">
        <v>873</v>
      </c>
      <c r="CG96" s="19" t="s">
        <v>874</v>
      </c>
      <c r="CH96" s="19" t="s">
        <v>875</v>
      </c>
      <c r="CI96" s="19" t="s">
        <v>876</v>
      </c>
      <c r="CJ96" s="19" t="s">
        <v>877</v>
      </c>
      <c r="CK96" s="19" t="s">
        <v>878</v>
      </c>
      <c r="CL96" s="19" t="s">
        <v>888</v>
      </c>
      <c r="CM96" s="19" t="s">
        <v>889</v>
      </c>
      <c r="CN96" s="19"/>
      <c r="CO96" s="19"/>
      <c r="CP96" s="19" t="s">
        <v>881</v>
      </c>
      <c r="CQ96" s="19" t="s">
        <v>882</v>
      </c>
      <c r="CR96" s="19" t="s">
        <v>883</v>
      </c>
      <c r="CS96" s="19" t="s">
        <v>884</v>
      </c>
      <c r="CT96" s="19"/>
      <c r="CU96" s="19"/>
      <c r="CV96" s="19"/>
      <c r="CW96" s="19"/>
      <c r="CX96" s="19"/>
      <c r="CY96" s="19"/>
      <c r="CZ96" s="19"/>
      <c r="DA96" s="19"/>
      <c r="DB96" s="19"/>
      <c r="DC96" s="19"/>
    </row>
    <row r="97" spans="1:107" s="7" customFormat="1" x14ac:dyDescent="0.25">
      <c r="A97" s="19" t="s">
        <v>228</v>
      </c>
      <c r="B97" s="19" t="s">
        <v>80</v>
      </c>
      <c r="C97" s="19" t="str">
        <f t="shared" si="33"/>
        <v>95158892India</v>
      </c>
      <c r="D97" s="19">
        <v>95158892</v>
      </c>
      <c r="E97" s="19" t="s">
        <v>439</v>
      </c>
      <c r="F97" s="19" t="s">
        <v>261</v>
      </c>
      <c r="G97" s="20" t="s">
        <v>439</v>
      </c>
      <c r="H97" s="19"/>
      <c r="I97" s="19" t="s">
        <v>230</v>
      </c>
      <c r="J97" s="19" t="s">
        <v>243</v>
      </c>
      <c r="K97" s="19" t="s">
        <v>434</v>
      </c>
      <c r="L97" s="19" t="s">
        <v>252</v>
      </c>
      <c r="M97" s="19" t="s">
        <v>268</v>
      </c>
      <c r="N97" s="19" t="s">
        <v>247</v>
      </c>
      <c r="O97" s="19" t="s">
        <v>275</v>
      </c>
      <c r="P97" s="51" t="s">
        <v>237</v>
      </c>
      <c r="Q97" s="19" t="s">
        <v>440</v>
      </c>
      <c r="R97" s="19">
        <v>5400</v>
      </c>
      <c r="S97" s="19" t="s">
        <v>272</v>
      </c>
      <c r="T97" s="19" t="s">
        <v>263</v>
      </c>
      <c r="U97" s="20" t="s">
        <v>263</v>
      </c>
      <c r="V97" s="19" t="s">
        <v>170</v>
      </c>
      <c r="W97" s="19" t="s">
        <v>221</v>
      </c>
      <c r="X97" s="35">
        <v>6</v>
      </c>
      <c r="Y97" s="35">
        <v>3</v>
      </c>
      <c r="Z97" s="32"/>
      <c r="AA97" s="22">
        <v>6</v>
      </c>
      <c r="AB97" s="22"/>
      <c r="AC97" s="22">
        <v>5</v>
      </c>
      <c r="AD97" s="22">
        <v>5</v>
      </c>
      <c r="AE97" s="61">
        <f t="shared" ref="AE97:AE129" si="39">SUM(AA97:AD97)</f>
        <v>16</v>
      </c>
      <c r="AF97" s="22"/>
      <c r="AG97" s="40">
        <f t="shared" ref="AG97:AG129" si="40">AE97+AF97</f>
        <v>16</v>
      </c>
      <c r="AH97" s="24"/>
      <c r="AI97" s="24">
        <v>6</v>
      </c>
      <c r="AJ97" s="23">
        <f t="shared" ref="AJ97:AJ129" si="41">AG97-AH97+AI97</f>
        <v>22</v>
      </c>
      <c r="AK97" s="25">
        <v>4</v>
      </c>
      <c r="AL97" s="25">
        <v>9</v>
      </c>
      <c r="AM97" s="25">
        <v>9</v>
      </c>
      <c r="AN97" s="25"/>
      <c r="AO97" s="25">
        <f t="shared" si="34"/>
        <v>22</v>
      </c>
      <c r="AP97" s="13"/>
      <c r="AQ97" s="21"/>
      <c r="AR97" s="21"/>
      <c r="AS97" s="21"/>
      <c r="AT97" s="21">
        <v>2</v>
      </c>
      <c r="AU97" s="21">
        <v>2</v>
      </c>
      <c r="AV97" s="21"/>
      <c r="AW97" s="21"/>
      <c r="AX97" s="21"/>
      <c r="AY97" s="77"/>
      <c r="AZ97" s="21">
        <v>3</v>
      </c>
      <c r="BA97" s="21">
        <v>3</v>
      </c>
      <c r="BB97" s="21"/>
      <c r="BC97" s="21"/>
      <c r="BD97" s="21">
        <v>3</v>
      </c>
      <c r="BE97" s="21"/>
      <c r="BF97" s="77"/>
      <c r="BG97" s="21">
        <v>3</v>
      </c>
      <c r="BH97" s="21"/>
      <c r="BI97" s="21"/>
      <c r="BJ97" s="21"/>
      <c r="BK97" s="21"/>
      <c r="BL97" s="21"/>
      <c r="BM97" s="77"/>
      <c r="BN97" s="21"/>
      <c r="BO97" s="21"/>
      <c r="BP97" s="21"/>
      <c r="BQ97" s="21"/>
      <c r="BR97" s="21"/>
      <c r="BS97" s="21"/>
      <c r="BT97" s="96">
        <f t="shared" si="25"/>
        <v>16</v>
      </c>
      <c r="BU97" s="94">
        <f t="shared" si="26"/>
        <v>6</v>
      </c>
      <c r="BV97" s="26"/>
      <c r="BW97" s="27"/>
      <c r="BX97" s="19" t="s">
        <v>439</v>
      </c>
      <c r="BY97" s="19" t="b">
        <f t="shared" si="35"/>
        <v>1</v>
      </c>
      <c r="BZ97" s="53" t="s">
        <v>439</v>
      </c>
      <c r="CA97" s="19" t="s">
        <v>895</v>
      </c>
      <c r="CB97" s="19" t="s">
        <v>886</v>
      </c>
      <c r="CC97" s="19" t="s">
        <v>887</v>
      </c>
      <c r="CD97" s="19" t="s">
        <v>896</v>
      </c>
      <c r="CE97" s="19" t="s">
        <v>897</v>
      </c>
      <c r="CF97" s="19" t="s">
        <v>898</v>
      </c>
      <c r="CG97" s="19" t="s">
        <v>899</v>
      </c>
      <c r="CH97" s="19" t="s">
        <v>875</v>
      </c>
      <c r="CI97" s="19" t="s">
        <v>876</v>
      </c>
      <c r="CJ97" s="19" t="s">
        <v>900</v>
      </c>
      <c r="CK97" s="19" t="s">
        <v>901</v>
      </c>
      <c r="CL97" s="19" t="s">
        <v>902</v>
      </c>
      <c r="CM97" s="19" t="s">
        <v>903</v>
      </c>
      <c r="CN97" s="19"/>
      <c r="CO97" s="19"/>
      <c r="CP97" s="19" t="s">
        <v>904</v>
      </c>
      <c r="CQ97" s="19" t="s">
        <v>905</v>
      </c>
      <c r="CR97" s="19" t="s">
        <v>906</v>
      </c>
      <c r="CS97" s="19" t="s">
        <v>907</v>
      </c>
      <c r="CT97" s="19"/>
      <c r="CU97" s="19"/>
      <c r="CV97" s="19"/>
      <c r="CW97" s="19"/>
      <c r="CX97" s="19"/>
      <c r="CY97" s="19"/>
      <c r="CZ97" s="19"/>
      <c r="DA97" s="19"/>
      <c r="DB97" s="19"/>
      <c r="DC97" s="19"/>
    </row>
    <row r="98" spans="1:107" s="7" customFormat="1" x14ac:dyDescent="0.25">
      <c r="A98" s="19" t="s">
        <v>228</v>
      </c>
      <c r="B98" s="19" t="s">
        <v>80</v>
      </c>
      <c r="C98" s="19" t="str">
        <f t="shared" si="33"/>
        <v>95158889India</v>
      </c>
      <c r="D98" s="19">
        <v>95158889</v>
      </c>
      <c r="E98" s="19" t="s">
        <v>453</v>
      </c>
      <c r="F98" s="19" t="s">
        <v>261</v>
      </c>
      <c r="G98" s="20" t="s">
        <v>453</v>
      </c>
      <c r="H98" s="19"/>
      <c r="I98" s="19" t="s">
        <v>230</v>
      </c>
      <c r="J98" s="19" t="s">
        <v>243</v>
      </c>
      <c r="K98" s="19" t="s">
        <v>434</v>
      </c>
      <c r="L98" s="19" t="s">
        <v>252</v>
      </c>
      <c r="M98" s="19" t="s">
        <v>268</v>
      </c>
      <c r="N98" s="19" t="s">
        <v>247</v>
      </c>
      <c r="O98" s="19" t="s">
        <v>275</v>
      </c>
      <c r="P98" s="51" t="s">
        <v>237</v>
      </c>
      <c r="Q98" s="19" t="s">
        <v>440</v>
      </c>
      <c r="R98" s="19">
        <v>5400</v>
      </c>
      <c r="S98" s="19" t="s">
        <v>272</v>
      </c>
      <c r="T98" s="19" t="s">
        <v>263</v>
      </c>
      <c r="U98" s="20" t="s">
        <v>263</v>
      </c>
      <c r="V98" s="19" t="s">
        <v>180</v>
      </c>
      <c r="W98" s="19" t="s">
        <v>222</v>
      </c>
      <c r="X98" s="35">
        <v>15</v>
      </c>
      <c r="Y98" s="35">
        <v>10</v>
      </c>
      <c r="Z98" s="32"/>
      <c r="AA98" s="22">
        <v>6</v>
      </c>
      <c r="AB98" s="22">
        <v>11</v>
      </c>
      <c r="AC98" s="22">
        <v>4</v>
      </c>
      <c r="AD98" s="22"/>
      <c r="AE98" s="61">
        <f t="shared" si="39"/>
        <v>21</v>
      </c>
      <c r="AF98" s="22">
        <v>10</v>
      </c>
      <c r="AG98" s="40">
        <f t="shared" si="40"/>
        <v>31</v>
      </c>
      <c r="AH98" s="24"/>
      <c r="AI98" s="24">
        <v>5</v>
      </c>
      <c r="AJ98" s="23">
        <f t="shared" si="41"/>
        <v>36</v>
      </c>
      <c r="AK98" s="25">
        <v>20</v>
      </c>
      <c r="AL98" s="25">
        <v>6</v>
      </c>
      <c r="AM98" s="25">
        <v>10</v>
      </c>
      <c r="AN98" s="25"/>
      <c r="AO98" s="25">
        <f t="shared" si="34"/>
        <v>36</v>
      </c>
      <c r="AP98" s="13"/>
      <c r="AQ98" s="21"/>
      <c r="AR98" s="21"/>
      <c r="AS98" s="21">
        <v>5</v>
      </c>
      <c r="AT98" s="21">
        <v>5</v>
      </c>
      <c r="AU98" s="21"/>
      <c r="AV98" s="21">
        <v>5</v>
      </c>
      <c r="AW98" s="21"/>
      <c r="AX98" s="21">
        <v>5</v>
      </c>
      <c r="AY98" s="77"/>
      <c r="AZ98" s="21"/>
      <c r="BA98" s="21">
        <v>1</v>
      </c>
      <c r="BB98" s="21"/>
      <c r="BC98" s="21"/>
      <c r="BD98" s="21"/>
      <c r="BE98" s="21"/>
      <c r="BF98" s="77"/>
      <c r="BG98" s="21"/>
      <c r="BH98" s="21"/>
      <c r="BI98" s="21"/>
      <c r="BJ98" s="21"/>
      <c r="BK98" s="21"/>
      <c r="BL98" s="21"/>
      <c r="BM98" s="77"/>
      <c r="BN98" s="21"/>
      <c r="BO98" s="21"/>
      <c r="BP98" s="21"/>
      <c r="BQ98" s="21"/>
      <c r="BR98" s="21"/>
      <c r="BS98" s="21"/>
      <c r="BT98" s="96">
        <f t="shared" si="25"/>
        <v>21</v>
      </c>
      <c r="BU98" s="94">
        <f t="shared" si="26"/>
        <v>15</v>
      </c>
      <c r="BV98" s="26"/>
      <c r="BW98" s="27"/>
      <c r="BX98" s="19" t="s">
        <v>453</v>
      </c>
      <c r="BY98" s="19" t="b">
        <f t="shared" si="35"/>
        <v>1</v>
      </c>
      <c r="BZ98" s="53" t="s">
        <v>453</v>
      </c>
      <c r="CA98" s="19" t="s">
        <v>912</v>
      </c>
      <c r="CB98" s="19" t="s">
        <v>886</v>
      </c>
      <c r="CC98" s="19" t="s">
        <v>887</v>
      </c>
      <c r="CD98" s="19" t="s">
        <v>908</v>
      </c>
      <c r="CE98" s="19" t="s">
        <v>909</v>
      </c>
      <c r="CF98" s="19" t="s">
        <v>898</v>
      </c>
      <c r="CG98" s="19" t="s">
        <v>899</v>
      </c>
      <c r="CH98" s="19" t="s">
        <v>875</v>
      </c>
      <c r="CI98" s="19" t="s">
        <v>876</v>
      </c>
      <c r="CJ98" s="19" t="s">
        <v>913</v>
      </c>
      <c r="CK98" s="19" t="s">
        <v>914</v>
      </c>
      <c r="CL98" s="19" t="s">
        <v>915</v>
      </c>
      <c r="CM98" s="19" t="s">
        <v>916</v>
      </c>
      <c r="CN98" s="19"/>
      <c r="CO98" s="19"/>
      <c r="CP98" s="19" t="s">
        <v>904</v>
      </c>
      <c r="CQ98" s="19" t="s">
        <v>905</v>
      </c>
      <c r="CR98" s="19" t="s">
        <v>910</v>
      </c>
      <c r="CS98" s="19" t="s">
        <v>911</v>
      </c>
      <c r="CT98" s="19"/>
      <c r="CU98" s="19"/>
      <c r="CV98" s="19"/>
      <c r="CW98" s="19"/>
      <c r="CX98" s="19"/>
      <c r="CY98" s="19"/>
      <c r="CZ98" s="19"/>
      <c r="DA98" s="19"/>
      <c r="DB98" s="19"/>
      <c r="DC98" s="19"/>
    </row>
    <row r="99" spans="1:107" s="7" customFormat="1" x14ac:dyDescent="0.25">
      <c r="A99" s="19" t="s">
        <v>228</v>
      </c>
      <c r="B99" s="19" t="s">
        <v>80</v>
      </c>
      <c r="C99" s="19" t="str">
        <f t="shared" si="33"/>
        <v>95158893India</v>
      </c>
      <c r="D99" s="19">
        <v>95158893</v>
      </c>
      <c r="E99" s="19" t="s">
        <v>465</v>
      </c>
      <c r="F99" s="19" t="s">
        <v>261</v>
      </c>
      <c r="G99" s="20" t="s">
        <v>465</v>
      </c>
      <c r="H99" s="19"/>
      <c r="I99" s="19" t="s">
        <v>230</v>
      </c>
      <c r="J99" s="19" t="s">
        <v>243</v>
      </c>
      <c r="K99" s="19" t="s">
        <v>434</v>
      </c>
      <c r="L99" s="19" t="s">
        <v>252</v>
      </c>
      <c r="M99" s="19" t="s">
        <v>268</v>
      </c>
      <c r="N99" s="19" t="s">
        <v>247</v>
      </c>
      <c r="O99" s="19" t="s">
        <v>275</v>
      </c>
      <c r="P99" s="51" t="s">
        <v>237</v>
      </c>
      <c r="Q99" s="19" t="s">
        <v>440</v>
      </c>
      <c r="R99" s="19">
        <v>5400</v>
      </c>
      <c r="S99" s="19" t="s">
        <v>272</v>
      </c>
      <c r="T99" s="19" t="s">
        <v>263</v>
      </c>
      <c r="U99" s="20" t="s">
        <v>263</v>
      </c>
      <c r="V99" s="19" t="s">
        <v>188</v>
      </c>
      <c r="W99" s="19" t="s">
        <v>221</v>
      </c>
      <c r="X99" s="35">
        <v>6</v>
      </c>
      <c r="Y99" s="35">
        <v>3</v>
      </c>
      <c r="Z99" s="32"/>
      <c r="AA99" s="22">
        <v>1</v>
      </c>
      <c r="AB99" s="22"/>
      <c r="AC99" s="22">
        <v>5</v>
      </c>
      <c r="AD99" s="22">
        <v>5</v>
      </c>
      <c r="AE99" s="61">
        <f t="shared" si="39"/>
        <v>11</v>
      </c>
      <c r="AF99" s="22"/>
      <c r="AG99" s="40">
        <f t="shared" si="40"/>
        <v>11</v>
      </c>
      <c r="AH99" s="24"/>
      <c r="AI99" s="24">
        <v>6</v>
      </c>
      <c r="AJ99" s="23">
        <f t="shared" si="41"/>
        <v>17</v>
      </c>
      <c r="AK99" s="25">
        <v>17</v>
      </c>
      <c r="AL99" s="25"/>
      <c r="AM99" s="25"/>
      <c r="AN99" s="25"/>
      <c r="AO99" s="25">
        <f t="shared" si="34"/>
        <v>17</v>
      </c>
      <c r="AP99" s="13"/>
      <c r="AQ99" s="21"/>
      <c r="AR99" s="21"/>
      <c r="AS99" s="21"/>
      <c r="AT99" s="21">
        <v>3</v>
      </c>
      <c r="AU99" s="21">
        <v>3</v>
      </c>
      <c r="AV99" s="21"/>
      <c r="AW99" s="21"/>
      <c r="AX99" s="21">
        <v>3</v>
      </c>
      <c r="AY99" s="77"/>
      <c r="AZ99" s="21">
        <v>2</v>
      </c>
      <c r="BA99" s="21"/>
      <c r="BB99" s="21"/>
      <c r="BC99" s="21"/>
      <c r="BD99" s="21"/>
      <c r="BE99" s="21"/>
      <c r="BF99" s="77"/>
      <c r="BG99" s="21"/>
      <c r="BH99" s="21"/>
      <c r="BI99" s="21"/>
      <c r="BJ99" s="21"/>
      <c r="BK99" s="21"/>
      <c r="BL99" s="21"/>
      <c r="BM99" s="77"/>
      <c r="BN99" s="21"/>
      <c r="BO99" s="21"/>
      <c r="BP99" s="21"/>
      <c r="BQ99" s="21"/>
      <c r="BR99" s="21"/>
      <c r="BS99" s="21"/>
      <c r="BT99" s="96">
        <f t="shared" si="25"/>
        <v>11</v>
      </c>
      <c r="BU99" s="94">
        <f t="shared" si="26"/>
        <v>6</v>
      </c>
      <c r="BV99" s="26"/>
      <c r="BW99" s="27"/>
      <c r="BX99" s="19" t="s">
        <v>465</v>
      </c>
      <c r="BY99" s="19" t="b">
        <f t="shared" si="35"/>
        <v>1</v>
      </c>
      <c r="BZ99" s="53" t="s">
        <v>465</v>
      </c>
      <c r="CA99" s="19" t="s">
        <v>917</v>
      </c>
      <c r="CB99" s="19" t="s">
        <v>886</v>
      </c>
      <c r="CC99" s="19" t="s">
        <v>887</v>
      </c>
      <c r="CD99" s="19" t="s">
        <v>908</v>
      </c>
      <c r="CE99" s="19" t="s">
        <v>909</v>
      </c>
      <c r="CF99" s="19" t="s">
        <v>898</v>
      </c>
      <c r="CG99" s="19" t="s">
        <v>899</v>
      </c>
      <c r="CH99" s="19" t="s">
        <v>875</v>
      </c>
      <c r="CI99" s="19" t="s">
        <v>876</v>
      </c>
      <c r="CJ99" s="19" t="s">
        <v>900</v>
      </c>
      <c r="CK99" s="19" t="s">
        <v>901</v>
      </c>
      <c r="CL99" s="19" t="s">
        <v>918</v>
      </c>
      <c r="CM99" s="19" t="s">
        <v>919</v>
      </c>
      <c r="CN99" s="19"/>
      <c r="CO99" s="19"/>
      <c r="CP99" s="19" t="s">
        <v>904</v>
      </c>
      <c r="CQ99" s="19" t="s">
        <v>905</v>
      </c>
      <c r="CR99" s="19" t="s">
        <v>910</v>
      </c>
      <c r="CS99" s="19" t="s">
        <v>911</v>
      </c>
      <c r="CT99" s="19"/>
      <c r="CU99" s="19"/>
      <c r="CV99" s="19"/>
      <c r="CW99" s="19"/>
      <c r="CX99" s="19"/>
      <c r="CY99" s="19"/>
      <c r="CZ99" s="19"/>
      <c r="DA99" s="19"/>
      <c r="DB99" s="19"/>
      <c r="DC99" s="19"/>
    </row>
    <row r="100" spans="1:107" s="7" customFormat="1" x14ac:dyDescent="0.25">
      <c r="A100" s="19" t="s">
        <v>228</v>
      </c>
      <c r="B100" s="19" t="s">
        <v>80</v>
      </c>
      <c r="C100" s="19" t="str">
        <f t="shared" si="33"/>
        <v>95158888India</v>
      </c>
      <c r="D100" s="19">
        <v>95158888</v>
      </c>
      <c r="E100" s="19" t="s">
        <v>1843</v>
      </c>
      <c r="F100" s="19" t="s">
        <v>261</v>
      </c>
      <c r="G100" s="20" t="s">
        <v>1843</v>
      </c>
      <c r="H100" s="19"/>
      <c r="I100" s="19" t="s">
        <v>230</v>
      </c>
      <c r="J100" s="19" t="s">
        <v>243</v>
      </c>
      <c r="K100" s="19" t="s">
        <v>434</v>
      </c>
      <c r="L100" s="19" t="s">
        <v>252</v>
      </c>
      <c r="M100" s="19" t="s">
        <v>268</v>
      </c>
      <c r="N100" s="19" t="s">
        <v>247</v>
      </c>
      <c r="O100" s="19" t="s">
        <v>275</v>
      </c>
      <c r="P100" s="51" t="s">
        <v>237</v>
      </c>
      <c r="Q100" s="19" t="s">
        <v>440</v>
      </c>
      <c r="R100" s="19">
        <v>5400</v>
      </c>
      <c r="S100" s="19" t="s">
        <v>272</v>
      </c>
      <c r="T100" s="19" t="s">
        <v>263</v>
      </c>
      <c r="U100" s="20" t="s">
        <v>263</v>
      </c>
      <c r="V100" s="19" t="s">
        <v>1793</v>
      </c>
      <c r="W100" s="19" t="s">
        <v>222</v>
      </c>
      <c r="X100" s="35">
        <v>1</v>
      </c>
      <c r="Y100" s="35">
        <v>1</v>
      </c>
      <c r="Z100" s="32"/>
      <c r="AA100" s="22">
        <v>1</v>
      </c>
      <c r="AB100" s="22"/>
      <c r="AC100" s="22"/>
      <c r="AD100" s="22"/>
      <c r="AE100" s="61">
        <f t="shared" si="39"/>
        <v>1</v>
      </c>
      <c r="AF100" s="22"/>
      <c r="AG100" s="40">
        <f t="shared" si="40"/>
        <v>1</v>
      </c>
      <c r="AH100" s="24"/>
      <c r="AI100" s="24">
        <v>1</v>
      </c>
      <c r="AJ100" s="23">
        <f t="shared" si="41"/>
        <v>2</v>
      </c>
      <c r="AK100" s="25"/>
      <c r="AL100" s="25">
        <v>2</v>
      </c>
      <c r="AM100" s="25"/>
      <c r="AN100" s="25"/>
      <c r="AO100" s="25">
        <f t="shared" si="34"/>
        <v>2</v>
      </c>
      <c r="AP100" s="13"/>
      <c r="AQ100" s="21"/>
      <c r="AR100" s="21"/>
      <c r="AS100" s="21"/>
      <c r="AT100" s="21"/>
      <c r="AU100" s="21"/>
      <c r="AV100" s="21"/>
      <c r="AW100" s="21"/>
      <c r="AX100" s="21"/>
      <c r="AY100" s="77"/>
      <c r="AZ100" s="21"/>
      <c r="BA100" s="21">
        <v>1</v>
      </c>
      <c r="BB100" s="21"/>
      <c r="BC100" s="21"/>
      <c r="BD100" s="21"/>
      <c r="BE100" s="21"/>
      <c r="BF100" s="77"/>
      <c r="BG100" s="21"/>
      <c r="BH100" s="21"/>
      <c r="BI100" s="21"/>
      <c r="BJ100" s="21"/>
      <c r="BK100" s="21"/>
      <c r="BL100" s="21"/>
      <c r="BM100" s="77"/>
      <c r="BN100" s="21"/>
      <c r="BO100" s="21"/>
      <c r="BP100" s="21"/>
      <c r="BQ100" s="21"/>
      <c r="BR100" s="21"/>
      <c r="BS100" s="21"/>
      <c r="BT100" s="96">
        <f t="shared" si="25"/>
        <v>1</v>
      </c>
      <c r="BU100" s="94">
        <f t="shared" si="26"/>
        <v>1</v>
      </c>
      <c r="BV100" s="26"/>
      <c r="BW100" s="27"/>
      <c r="BX100" s="19" t="s">
        <v>1843</v>
      </c>
      <c r="BY100" s="19" t="b">
        <f t="shared" si="35"/>
        <v>1</v>
      </c>
      <c r="BZ100" s="53" t="s">
        <v>1843</v>
      </c>
      <c r="CA100" s="19" t="s">
        <v>1897</v>
      </c>
      <c r="CB100" s="19" t="s">
        <v>886</v>
      </c>
      <c r="CC100" s="19" t="s">
        <v>887</v>
      </c>
      <c r="CD100" s="19" t="s">
        <v>896</v>
      </c>
      <c r="CE100" s="19" t="s">
        <v>897</v>
      </c>
      <c r="CF100" s="19" t="s">
        <v>898</v>
      </c>
      <c r="CG100" s="19" t="s">
        <v>899</v>
      </c>
      <c r="CH100" s="19" t="s">
        <v>875</v>
      </c>
      <c r="CI100" s="19" t="s">
        <v>876</v>
      </c>
      <c r="CJ100" s="19" t="s">
        <v>913</v>
      </c>
      <c r="CK100" s="19" t="s">
        <v>914</v>
      </c>
      <c r="CL100" s="19" t="s">
        <v>1657</v>
      </c>
      <c r="CM100" s="19" t="s">
        <v>1658</v>
      </c>
      <c r="CN100" s="19"/>
      <c r="CO100" s="19"/>
      <c r="CP100" s="19" t="s">
        <v>904</v>
      </c>
      <c r="CQ100" s="19" t="s">
        <v>905</v>
      </c>
      <c r="CR100" s="19" t="s">
        <v>906</v>
      </c>
      <c r="CS100" s="19" t="s">
        <v>907</v>
      </c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</row>
    <row r="101" spans="1:107" s="7" customFormat="1" x14ac:dyDescent="0.25">
      <c r="A101" s="19" t="s">
        <v>228</v>
      </c>
      <c r="B101" s="19" t="s">
        <v>80</v>
      </c>
      <c r="C101" s="19" t="str">
        <f t="shared" si="33"/>
        <v>95155496India</v>
      </c>
      <c r="D101" s="19">
        <v>95155496</v>
      </c>
      <c r="E101" s="19" t="s">
        <v>439</v>
      </c>
      <c r="F101" s="19" t="s">
        <v>261</v>
      </c>
      <c r="G101" s="20" t="s">
        <v>439</v>
      </c>
      <c r="H101" s="19"/>
      <c r="I101" s="19" t="s">
        <v>230</v>
      </c>
      <c r="J101" s="19" t="s">
        <v>243</v>
      </c>
      <c r="K101" s="19" t="s">
        <v>434</v>
      </c>
      <c r="L101" s="19" t="s">
        <v>252</v>
      </c>
      <c r="M101" s="19" t="s">
        <v>268</v>
      </c>
      <c r="N101" s="19" t="s">
        <v>247</v>
      </c>
      <c r="O101" s="19" t="s">
        <v>275</v>
      </c>
      <c r="P101" s="51" t="s">
        <v>237</v>
      </c>
      <c r="Q101" s="19" t="s">
        <v>440</v>
      </c>
      <c r="R101" s="19">
        <v>5400</v>
      </c>
      <c r="S101" s="19" t="s">
        <v>272</v>
      </c>
      <c r="T101" s="19" t="s">
        <v>263</v>
      </c>
      <c r="U101" s="20" t="s">
        <v>263</v>
      </c>
      <c r="V101" s="19" t="s">
        <v>1993</v>
      </c>
      <c r="W101" s="19" t="s">
        <v>222</v>
      </c>
      <c r="X101" s="35"/>
      <c r="Y101" s="35"/>
      <c r="Z101" s="32"/>
      <c r="AA101" s="22">
        <v>7</v>
      </c>
      <c r="AB101" s="22">
        <v>3</v>
      </c>
      <c r="AC101" s="22"/>
      <c r="AD101" s="22"/>
      <c r="AE101" s="61">
        <f t="shared" si="39"/>
        <v>10</v>
      </c>
      <c r="AF101" s="22"/>
      <c r="AG101" s="40">
        <f t="shared" si="40"/>
        <v>10</v>
      </c>
      <c r="AH101" s="24"/>
      <c r="AI101" s="24"/>
      <c r="AJ101" s="23">
        <f t="shared" si="41"/>
        <v>10</v>
      </c>
      <c r="AK101" s="25">
        <v>10</v>
      </c>
      <c r="AL101" s="25"/>
      <c r="AM101" s="25"/>
      <c r="AN101" s="25"/>
      <c r="AO101" s="25">
        <f t="shared" si="34"/>
        <v>10</v>
      </c>
      <c r="AP101" s="13"/>
      <c r="AQ101" s="21"/>
      <c r="AR101" s="21"/>
      <c r="AS101" s="21">
        <v>2</v>
      </c>
      <c r="AT101" s="21">
        <v>2</v>
      </c>
      <c r="AU101" s="21">
        <v>2</v>
      </c>
      <c r="AV101" s="21">
        <v>2</v>
      </c>
      <c r="AW101" s="21">
        <v>2</v>
      </c>
      <c r="AX101" s="21"/>
      <c r="AY101" s="77"/>
      <c r="AZ101" s="21"/>
      <c r="BA101" s="21"/>
      <c r="BB101" s="21"/>
      <c r="BC101" s="21"/>
      <c r="BD101" s="21"/>
      <c r="BE101" s="21"/>
      <c r="BF101" s="77"/>
      <c r="BG101" s="21"/>
      <c r="BH101" s="21"/>
      <c r="BI101" s="21"/>
      <c r="BJ101" s="21"/>
      <c r="BK101" s="21"/>
      <c r="BL101" s="21"/>
      <c r="BM101" s="77"/>
      <c r="BN101" s="21"/>
      <c r="BO101" s="21"/>
      <c r="BP101" s="21"/>
      <c r="BQ101" s="21"/>
      <c r="BR101" s="21"/>
      <c r="BS101" s="21"/>
      <c r="BT101" s="96">
        <f t="shared" si="25"/>
        <v>10</v>
      </c>
      <c r="BU101" s="94">
        <f t="shared" si="26"/>
        <v>0</v>
      </c>
      <c r="BV101" s="26"/>
      <c r="BW101" s="27"/>
      <c r="BX101" s="19" t="s">
        <v>439</v>
      </c>
      <c r="BY101" s="19" t="b">
        <f t="shared" si="35"/>
        <v>1</v>
      </c>
      <c r="BZ101" s="53" t="s">
        <v>439</v>
      </c>
      <c r="CA101" s="19" t="s">
        <v>895</v>
      </c>
      <c r="CB101" s="19" t="s">
        <v>886</v>
      </c>
      <c r="CC101" s="19" t="s">
        <v>887</v>
      </c>
      <c r="CD101" s="19" t="s">
        <v>896</v>
      </c>
      <c r="CE101" s="19" t="s">
        <v>897</v>
      </c>
      <c r="CF101" s="19" t="s">
        <v>898</v>
      </c>
      <c r="CG101" s="19" t="s">
        <v>899</v>
      </c>
      <c r="CH101" s="19" t="s">
        <v>875</v>
      </c>
      <c r="CI101" s="19" t="s">
        <v>876</v>
      </c>
      <c r="CJ101" s="19" t="s">
        <v>900</v>
      </c>
      <c r="CK101" s="19" t="s">
        <v>901</v>
      </c>
      <c r="CL101" s="19" t="s">
        <v>902</v>
      </c>
      <c r="CM101" s="19" t="s">
        <v>903</v>
      </c>
      <c r="CN101" s="19"/>
      <c r="CO101" s="19"/>
      <c r="CP101" s="19" t="s">
        <v>904</v>
      </c>
      <c r="CQ101" s="19" t="s">
        <v>905</v>
      </c>
      <c r="CR101" s="19" t="s">
        <v>906</v>
      </c>
      <c r="CS101" s="19" t="s">
        <v>907</v>
      </c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</row>
    <row r="102" spans="1:107" s="7" customFormat="1" x14ac:dyDescent="0.25">
      <c r="A102" s="19" t="s">
        <v>228</v>
      </c>
      <c r="B102" s="19" t="s">
        <v>80</v>
      </c>
      <c r="C102" s="19" t="str">
        <f t="shared" si="33"/>
        <v>95158891India</v>
      </c>
      <c r="D102" s="19">
        <v>95158891</v>
      </c>
      <c r="E102" s="19" t="s">
        <v>439</v>
      </c>
      <c r="F102" s="19" t="s">
        <v>261</v>
      </c>
      <c r="G102" s="20" t="s">
        <v>439</v>
      </c>
      <c r="H102" s="19"/>
      <c r="I102" s="19" t="s">
        <v>230</v>
      </c>
      <c r="J102" s="19" t="s">
        <v>243</v>
      </c>
      <c r="K102" s="19" t="s">
        <v>434</v>
      </c>
      <c r="L102" s="19" t="s">
        <v>252</v>
      </c>
      <c r="M102" s="19" t="s">
        <v>268</v>
      </c>
      <c r="N102" s="19" t="s">
        <v>247</v>
      </c>
      <c r="O102" s="19" t="s">
        <v>270</v>
      </c>
      <c r="P102" s="51" t="s">
        <v>237</v>
      </c>
      <c r="Q102" s="19" t="s">
        <v>440</v>
      </c>
      <c r="R102" s="19">
        <v>5400</v>
      </c>
      <c r="S102" s="19" t="s">
        <v>272</v>
      </c>
      <c r="T102" s="19" t="s">
        <v>263</v>
      </c>
      <c r="U102" s="20" t="s">
        <v>263</v>
      </c>
      <c r="V102" s="19" t="s">
        <v>1800</v>
      </c>
      <c r="W102" s="19" t="s">
        <v>219</v>
      </c>
      <c r="X102" s="35">
        <v>1</v>
      </c>
      <c r="Y102" s="35">
        <v>1</v>
      </c>
      <c r="Z102" s="32"/>
      <c r="AA102" s="22">
        <v>1</v>
      </c>
      <c r="AB102" s="22"/>
      <c r="AC102" s="22"/>
      <c r="AD102" s="22"/>
      <c r="AE102" s="61">
        <f t="shared" si="39"/>
        <v>1</v>
      </c>
      <c r="AF102" s="22"/>
      <c r="AG102" s="40">
        <f t="shared" si="40"/>
        <v>1</v>
      </c>
      <c r="AH102" s="24"/>
      <c r="AI102" s="24">
        <v>1</v>
      </c>
      <c r="AJ102" s="23">
        <f t="shared" si="41"/>
        <v>2</v>
      </c>
      <c r="AK102" s="25"/>
      <c r="AL102" s="25"/>
      <c r="AM102" s="25">
        <v>2</v>
      </c>
      <c r="AN102" s="25"/>
      <c r="AO102" s="25">
        <f t="shared" si="34"/>
        <v>2</v>
      </c>
      <c r="AP102" s="13"/>
      <c r="AQ102" s="21"/>
      <c r="AR102" s="21"/>
      <c r="AS102" s="21"/>
      <c r="AT102" s="21"/>
      <c r="AU102" s="21"/>
      <c r="AV102" s="21"/>
      <c r="AW102" s="21"/>
      <c r="AX102" s="21"/>
      <c r="AY102" s="77"/>
      <c r="AZ102" s="21"/>
      <c r="BA102" s="21"/>
      <c r="BB102" s="21"/>
      <c r="BC102" s="21"/>
      <c r="BD102" s="21"/>
      <c r="BE102" s="21"/>
      <c r="BF102" s="77"/>
      <c r="BG102" s="21">
        <v>1</v>
      </c>
      <c r="BH102" s="21"/>
      <c r="BI102" s="21"/>
      <c r="BJ102" s="21"/>
      <c r="BK102" s="21"/>
      <c r="BL102" s="21"/>
      <c r="BM102" s="77"/>
      <c r="BN102" s="21"/>
      <c r="BO102" s="21"/>
      <c r="BP102" s="21"/>
      <c r="BQ102" s="21"/>
      <c r="BR102" s="21"/>
      <c r="BS102" s="21"/>
      <c r="BT102" s="96">
        <f t="shared" si="25"/>
        <v>1</v>
      </c>
      <c r="BU102" s="94">
        <f t="shared" si="26"/>
        <v>1</v>
      </c>
      <c r="BV102" s="26"/>
      <c r="BW102" s="27"/>
      <c r="BX102" s="19" t="s">
        <v>439</v>
      </c>
      <c r="BY102" s="19" t="b">
        <f t="shared" si="35"/>
        <v>1</v>
      </c>
      <c r="BZ102" s="53" t="s">
        <v>439</v>
      </c>
      <c r="CA102" s="19" t="s">
        <v>895</v>
      </c>
      <c r="CB102" s="19" t="s">
        <v>886</v>
      </c>
      <c r="CC102" s="19" t="s">
        <v>887</v>
      </c>
      <c r="CD102" s="19" t="s">
        <v>896</v>
      </c>
      <c r="CE102" s="19" t="s">
        <v>897</v>
      </c>
      <c r="CF102" s="19" t="s">
        <v>898</v>
      </c>
      <c r="CG102" s="19" t="s">
        <v>899</v>
      </c>
      <c r="CH102" s="19" t="s">
        <v>875</v>
      </c>
      <c r="CI102" s="19" t="s">
        <v>876</v>
      </c>
      <c r="CJ102" s="19" t="s">
        <v>900</v>
      </c>
      <c r="CK102" s="19" t="s">
        <v>901</v>
      </c>
      <c r="CL102" s="19" t="s">
        <v>902</v>
      </c>
      <c r="CM102" s="19" t="s">
        <v>903</v>
      </c>
      <c r="CN102" s="19"/>
      <c r="CO102" s="19"/>
      <c r="CP102" s="19" t="s">
        <v>904</v>
      </c>
      <c r="CQ102" s="19" t="s">
        <v>905</v>
      </c>
      <c r="CR102" s="19" t="s">
        <v>906</v>
      </c>
      <c r="CS102" s="19" t="s">
        <v>907</v>
      </c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</row>
    <row r="103" spans="1:107" s="7" customFormat="1" x14ac:dyDescent="0.25">
      <c r="A103" s="19" t="s">
        <v>228</v>
      </c>
      <c r="B103" s="19" t="s">
        <v>80</v>
      </c>
      <c r="C103" s="19" t="str">
        <f t="shared" si="33"/>
        <v>95158942India</v>
      </c>
      <c r="D103" s="19">
        <v>95158942</v>
      </c>
      <c r="E103" s="19" t="s">
        <v>433</v>
      </c>
      <c r="F103" s="19" t="s">
        <v>261</v>
      </c>
      <c r="G103" s="20" t="s">
        <v>433</v>
      </c>
      <c r="H103" s="19"/>
      <c r="I103" s="19" t="s">
        <v>230</v>
      </c>
      <c r="J103" s="19" t="s">
        <v>334</v>
      </c>
      <c r="K103" s="19" t="s">
        <v>434</v>
      </c>
      <c r="L103" s="19" t="s">
        <v>252</v>
      </c>
      <c r="M103" s="19" t="s">
        <v>268</v>
      </c>
      <c r="N103" s="19" t="s">
        <v>247</v>
      </c>
      <c r="O103" s="19" t="s">
        <v>275</v>
      </c>
      <c r="P103" s="51" t="s">
        <v>237</v>
      </c>
      <c r="Q103" s="19" t="s">
        <v>435</v>
      </c>
      <c r="R103" s="19">
        <v>5500</v>
      </c>
      <c r="S103" s="19" t="s">
        <v>272</v>
      </c>
      <c r="T103" s="19" t="s">
        <v>263</v>
      </c>
      <c r="U103" s="20" t="s">
        <v>263</v>
      </c>
      <c r="V103" s="19" t="s">
        <v>167</v>
      </c>
      <c r="W103" s="19" t="s">
        <v>221</v>
      </c>
      <c r="X103" s="35">
        <v>5</v>
      </c>
      <c r="Y103" s="35">
        <v>2</v>
      </c>
      <c r="Z103" s="32"/>
      <c r="AA103" s="22">
        <v>1</v>
      </c>
      <c r="AB103" s="22">
        <v>3</v>
      </c>
      <c r="AC103" s="22">
        <v>1</v>
      </c>
      <c r="AD103" s="22">
        <v>1</v>
      </c>
      <c r="AE103" s="61">
        <f t="shared" si="39"/>
        <v>6</v>
      </c>
      <c r="AF103" s="22"/>
      <c r="AG103" s="40">
        <f t="shared" si="40"/>
        <v>6</v>
      </c>
      <c r="AH103" s="24"/>
      <c r="AI103" s="24">
        <v>5</v>
      </c>
      <c r="AJ103" s="23">
        <f t="shared" si="41"/>
        <v>11</v>
      </c>
      <c r="AK103" s="25">
        <v>5</v>
      </c>
      <c r="AL103" s="25">
        <v>6</v>
      </c>
      <c r="AM103" s="25"/>
      <c r="AN103" s="25"/>
      <c r="AO103" s="25">
        <f t="shared" si="34"/>
        <v>11</v>
      </c>
      <c r="AP103" s="13"/>
      <c r="AQ103" s="21"/>
      <c r="AR103" s="21"/>
      <c r="AS103" s="21"/>
      <c r="AT103" s="21"/>
      <c r="AU103" s="21"/>
      <c r="AV103" s="21"/>
      <c r="AW103" s="21"/>
      <c r="AX103" s="21"/>
      <c r="AY103" s="77"/>
      <c r="AZ103" s="21">
        <v>2</v>
      </c>
      <c r="BA103" s="21">
        <v>2</v>
      </c>
      <c r="BB103" s="21">
        <v>2</v>
      </c>
      <c r="BC103" s="21"/>
      <c r="BD103" s="21"/>
      <c r="BE103" s="21"/>
      <c r="BF103" s="77"/>
      <c r="BG103" s="21"/>
      <c r="BH103" s="21"/>
      <c r="BI103" s="21"/>
      <c r="BJ103" s="21"/>
      <c r="BK103" s="21"/>
      <c r="BL103" s="21"/>
      <c r="BM103" s="77"/>
      <c r="BN103" s="21"/>
      <c r="BO103" s="21"/>
      <c r="BP103" s="21"/>
      <c r="BQ103" s="21"/>
      <c r="BR103" s="21"/>
      <c r="BS103" s="21"/>
      <c r="BT103" s="96">
        <f t="shared" si="25"/>
        <v>6</v>
      </c>
      <c r="BU103" s="94">
        <f t="shared" si="26"/>
        <v>5</v>
      </c>
      <c r="BV103" s="26"/>
      <c r="BW103" s="27"/>
      <c r="BX103" s="19" t="s">
        <v>433</v>
      </c>
      <c r="BY103" s="19" t="b">
        <f t="shared" si="35"/>
        <v>1</v>
      </c>
      <c r="BZ103" s="53" t="s">
        <v>433</v>
      </c>
      <c r="CA103" s="19" t="s">
        <v>920</v>
      </c>
      <c r="CB103" s="19" t="s">
        <v>921</v>
      </c>
      <c r="CC103" s="19" t="s">
        <v>922</v>
      </c>
      <c r="CD103" s="19" t="s">
        <v>923</v>
      </c>
      <c r="CE103" s="19" t="s">
        <v>924</v>
      </c>
      <c r="CF103" s="19" t="s">
        <v>925</v>
      </c>
      <c r="CG103" s="19" t="s">
        <v>926</v>
      </c>
      <c r="CH103" s="19" t="s">
        <v>927</v>
      </c>
      <c r="CI103" s="19" t="s">
        <v>928</v>
      </c>
      <c r="CJ103" s="19" t="s">
        <v>929</v>
      </c>
      <c r="CK103" s="19" t="s">
        <v>930</v>
      </c>
      <c r="CL103" s="19" t="s">
        <v>931</v>
      </c>
      <c r="CM103" s="19" t="s">
        <v>932</v>
      </c>
      <c r="CN103" s="19"/>
      <c r="CO103" s="19"/>
      <c r="CP103" s="19" t="s">
        <v>538</v>
      </c>
      <c r="CQ103" s="19" t="s">
        <v>539</v>
      </c>
      <c r="CR103" s="19" t="s">
        <v>933</v>
      </c>
      <c r="CS103" s="19" t="s">
        <v>934</v>
      </c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</row>
    <row r="104" spans="1:107" s="7" customFormat="1" x14ac:dyDescent="0.25">
      <c r="A104" s="19" t="s">
        <v>228</v>
      </c>
      <c r="B104" s="19" t="s">
        <v>80</v>
      </c>
      <c r="C104" s="19" t="str">
        <f t="shared" si="33"/>
        <v>95158941India</v>
      </c>
      <c r="D104" s="19">
        <v>95158941</v>
      </c>
      <c r="E104" s="19" t="s">
        <v>443</v>
      </c>
      <c r="F104" s="19" t="s">
        <v>261</v>
      </c>
      <c r="G104" s="20" t="s">
        <v>443</v>
      </c>
      <c r="H104" s="19"/>
      <c r="I104" s="19" t="s">
        <v>230</v>
      </c>
      <c r="J104" s="19" t="s">
        <v>334</v>
      </c>
      <c r="K104" s="19" t="s">
        <v>434</v>
      </c>
      <c r="L104" s="19" t="s">
        <v>252</v>
      </c>
      <c r="M104" s="19" t="s">
        <v>268</v>
      </c>
      <c r="N104" s="19" t="s">
        <v>247</v>
      </c>
      <c r="O104" s="19" t="s">
        <v>275</v>
      </c>
      <c r="P104" s="51" t="s">
        <v>237</v>
      </c>
      <c r="Q104" s="19" t="s">
        <v>435</v>
      </c>
      <c r="R104" s="19">
        <v>5500</v>
      </c>
      <c r="S104" s="19" t="s">
        <v>272</v>
      </c>
      <c r="T104" s="19" t="s">
        <v>263</v>
      </c>
      <c r="U104" s="20" t="s">
        <v>263</v>
      </c>
      <c r="V104" s="19" t="s">
        <v>172</v>
      </c>
      <c r="W104" s="19" t="s">
        <v>222</v>
      </c>
      <c r="X104" s="35">
        <v>2</v>
      </c>
      <c r="Y104" s="35">
        <v>1</v>
      </c>
      <c r="Z104" s="32"/>
      <c r="AA104" s="22"/>
      <c r="AB104" s="22"/>
      <c r="AC104" s="22"/>
      <c r="AD104" s="22">
        <v>1</v>
      </c>
      <c r="AE104" s="61">
        <f t="shared" si="39"/>
        <v>1</v>
      </c>
      <c r="AF104" s="22"/>
      <c r="AG104" s="40">
        <f t="shared" si="40"/>
        <v>1</v>
      </c>
      <c r="AH104" s="24"/>
      <c r="AI104" s="24">
        <v>2</v>
      </c>
      <c r="AJ104" s="23">
        <f t="shared" si="41"/>
        <v>3</v>
      </c>
      <c r="AK104" s="25"/>
      <c r="AL104" s="25">
        <v>3</v>
      </c>
      <c r="AM104" s="25"/>
      <c r="AN104" s="25"/>
      <c r="AO104" s="25">
        <f t="shared" si="34"/>
        <v>3</v>
      </c>
      <c r="AP104" s="13"/>
      <c r="AQ104" s="21"/>
      <c r="AR104" s="21"/>
      <c r="AS104" s="21"/>
      <c r="AT104" s="21"/>
      <c r="AU104" s="21"/>
      <c r="AV104" s="21"/>
      <c r="AW104" s="21"/>
      <c r="AX104" s="21"/>
      <c r="AY104" s="77"/>
      <c r="AZ104" s="21"/>
      <c r="BA104" s="21"/>
      <c r="BB104" s="21"/>
      <c r="BC104" s="21"/>
      <c r="BD104" s="21"/>
      <c r="BE104" s="21">
        <v>1</v>
      </c>
      <c r="BF104" s="77"/>
      <c r="BG104" s="21"/>
      <c r="BH104" s="21"/>
      <c r="BI104" s="21"/>
      <c r="BJ104" s="21"/>
      <c r="BK104" s="21"/>
      <c r="BL104" s="21"/>
      <c r="BM104" s="77"/>
      <c r="BN104" s="21"/>
      <c r="BO104" s="21"/>
      <c r="BP104" s="21"/>
      <c r="BQ104" s="21"/>
      <c r="BR104" s="21"/>
      <c r="BS104" s="21"/>
      <c r="BT104" s="96">
        <f t="shared" si="25"/>
        <v>1</v>
      </c>
      <c r="BU104" s="94">
        <f t="shared" si="26"/>
        <v>2</v>
      </c>
      <c r="BV104" s="26"/>
      <c r="BW104" s="27"/>
      <c r="BX104" s="19" t="s">
        <v>443</v>
      </c>
      <c r="BY104" s="19" t="b">
        <f t="shared" si="35"/>
        <v>1</v>
      </c>
      <c r="BZ104" s="53" t="s">
        <v>443</v>
      </c>
      <c r="CA104" s="19" t="s">
        <v>935</v>
      </c>
      <c r="CB104" s="19" t="s">
        <v>921</v>
      </c>
      <c r="CC104" s="19" t="s">
        <v>922</v>
      </c>
      <c r="CD104" s="19" t="s">
        <v>936</v>
      </c>
      <c r="CE104" s="19" t="s">
        <v>937</v>
      </c>
      <c r="CF104" s="19" t="s">
        <v>925</v>
      </c>
      <c r="CG104" s="19" t="s">
        <v>926</v>
      </c>
      <c r="CH104" s="19" t="s">
        <v>938</v>
      </c>
      <c r="CI104" s="19" t="s">
        <v>939</v>
      </c>
      <c r="CJ104" s="19" t="s">
        <v>940</v>
      </c>
      <c r="CK104" s="19" t="s">
        <v>941</v>
      </c>
      <c r="CL104" s="19" t="s">
        <v>942</v>
      </c>
      <c r="CM104" s="19" t="s">
        <v>943</v>
      </c>
      <c r="CN104" s="19"/>
      <c r="CO104" s="19"/>
      <c r="CP104" s="19" t="s">
        <v>538</v>
      </c>
      <c r="CQ104" s="19" t="s">
        <v>539</v>
      </c>
      <c r="CR104" s="19" t="s">
        <v>944</v>
      </c>
      <c r="CS104" s="19" t="s">
        <v>945</v>
      </c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</row>
    <row r="105" spans="1:107" s="7" customFormat="1" x14ac:dyDescent="0.25">
      <c r="A105" s="19" t="s">
        <v>228</v>
      </c>
      <c r="B105" s="19" t="s">
        <v>80</v>
      </c>
      <c r="C105" s="19" t="str">
        <f t="shared" si="33"/>
        <v>95158943India</v>
      </c>
      <c r="D105" s="19">
        <v>95158943</v>
      </c>
      <c r="E105" s="19" t="s">
        <v>480</v>
      </c>
      <c r="F105" s="19" t="s">
        <v>261</v>
      </c>
      <c r="G105" s="20" t="s">
        <v>480</v>
      </c>
      <c r="H105" s="19"/>
      <c r="I105" s="19" t="s">
        <v>230</v>
      </c>
      <c r="J105" s="19" t="s">
        <v>334</v>
      </c>
      <c r="K105" s="19" t="s">
        <v>434</v>
      </c>
      <c r="L105" s="19" t="s">
        <v>252</v>
      </c>
      <c r="M105" s="19" t="s">
        <v>268</v>
      </c>
      <c r="N105" s="19" t="s">
        <v>247</v>
      </c>
      <c r="O105" s="19" t="s">
        <v>275</v>
      </c>
      <c r="P105" s="51" t="s">
        <v>237</v>
      </c>
      <c r="Q105" s="19" t="s">
        <v>435</v>
      </c>
      <c r="R105" s="19">
        <v>5500</v>
      </c>
      <c r="S105" s="19" t="s">
        <v>272</v>
      </c>
      <c r="T105" s="19" t="s">
        <v>263</v>
      </c>
      <c r="U105" s="20" t="s">
        <v>263</v>
      </c>
      <c r="V105" s="19" t="s">
        <v>1610</v>
      </c>
      <c r="W105" s="19" t="s">
        <v>219</v>
      </c>
      <c r="X105" s="35"/>
      <c r="Y105" s="35"/>
      <c r="Z105" s="32"/>
      <c r="AA105" s="22">
        <v>5</v>
      </c>
      <c r="AB105" s="22"/>
      <c r="AC105" s="22"/>
      <c r="AD105" s="22"/>
      <c r="AE105" s="61">
        <f t="shared" si="39"/>
        <v>5</v>
      </c>
      <c r="AF105" s="22"/>
      <c r="AG105" s="40">
        <f t="shared" si="40"/>
        <v>5</v>
      </c>
      <c r="AH105" s="24"/>
      <c r="AI105" s="24"/>
      <c r="AJ105" s="23">
        <f t="shared" si="41"/>
        <v>5</v>
      </c>
      <c r="AK105" s="25"/>
      <c r="AL105" s="25">
        <v>5</v>
      </c>
      <c r="AM105" s="25"/>
      <c r="AN105" s="25"/>
      <c r="AO105" s="25">
        <f t="shared" si="34"/>
        <v>5</v>
      </c>
      <c r="AP105" s="13"/>
      <c r="AQ105" s="21"/>
      <c r="AR105" s="21"/>
      <c r="AS105" s="21"/>
      <c r="AT105" s="21"/>
      <c r="AU105" s="21"/>
      <c r="AV105" s="21"/>
      <c r="AW105" s="21"/>
      <c r="AX105" s="21"/>
      <c r="AY105" s="77"/>
      <c r="AZ105" s="21"/>
      <c r="BA105" s="21">
        <v>1</v>
      </c>
      <c r="BB105" s="21">
        <v>1</v>
      </c>
      <c r="BC105" s="21"/>
      <c r="BD105" s="21"/>
      <c r="BE105" s="21"/>
      <c r="BF105" s="77"/>
      <c r="BG105" s="21">
        <v>1</v>
      </c>
      <c r="BH105" s="21">
        <v>2</v>
      </c>
      <c r="BI105" s="21"/>
      <c r="BJ105" s="21"/>
      <c r="BK105" s="21"/>
      <c r="BL105" s="21"/>
      <c r="BM105" s="77"/>
      <c r="BN105" s="21"/>
      <c r="BO105" s="21"/>
      <c r="BP105" s="21"/>
      <c r="BQ105" s="21"/>
      <c r="BR105" s="21"/>
      <c r="BS105" s="21"/>
      <c r="BT105" s="96">
        <f t="shared" si="25"/>
        <v>5</v>
      </c>
      <c r="BU105" s="94">
        <f t="shared" si="26"/>
        <v>0</v>
      </c>
      <c r="BV105" s="26"/>
      <c r="BW105" s="27"/>
      <c r="BX105" s="19" t="s">
        <v>480</v>
      </c>
      <c r="BY105" s="19" t="b">
        <f t="shared" si="35"/>
        <v>1</v>
      </c>
      <c r="BZ105" s="53" t="s">
        <v>480</v>
      </c>
      <c r="CA105" s="19" t="s">
        <v>213</v>
      </c>
      <c r="CB105" s="19" t="s">
        <v>921</v>
      </c>
      <c r="CC105" s="19" t="s">
        <v>922</v>
      </c>
      <c r="CD105" s="19" t="s">
        <v>923</v>
      </c>
      <c r="CE105" s="19" t="s">
        <v>924</v>
      </c>
      <c r="CF105" s="19" t="s">
        <v>925</v>
      </c>
      <c r="CG105" s="19" t="s">
        <v>926</v>
      </c>
      <c r="CH105" s="19" t="s">
        <v>946</v>
      </c>
      <c r="CI105" s="19" t="s">
        <v>947</v>
      </c>
      <c r="CJ105" s="19" t="s">
        <v>948</v>
      </c>
      <c r="CK105" s="19" t="s">
        <v>949</v>
      </c>
      <c r="CL105" s="19" t="s">
        <v>950</v>
      </c>
      <c r="CM105" s="19" t="s">
        <v>206</v>
      </c>
      <c r="CN105" s="19"/>
      <c r="CO105" s="19"/>
      <c r="CP105" s="19" t="s">
        <v>538</v>
      </c>
      <c r="CQ105" s="19" t="s">
        <v>539</v>
      </c>
      <c r="CR105" s="19" t="s">
        <v>933</v>
      </c>
      <c r="CS105" s="19" t="s">
        <v>934</v>
      </c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</row>
    <row r="106" spans="1:107" s="7" customFormat="1" x14ac:dyDescent="0.25">
      <c r="A106" s="19" t="s">
        <v>74</v>
      </c>
      <c r="B106" s="19" t="s">
        <v>1734</v>
      </c>
      <c r="C106" s="19" t="str">
        <f t="shared" si="33"/>
        <v>95159162PRTC (98)</v>
      </c>
      <c r="D106" s="19">
        <v>95159162</v>
      </c>
      <c r="E106" s="19" t="s">
        <v>431</v>
      </c>
      <c r="F106" s="19" t="s">
        <v>261</v>
      </c>
      <c r="G106" s="20" t="s">
        <v>431</v>
      </c>
      <c r="H106" s="19"/>
      <c r="I106" s="19" t="s">
        <v>230</v>
      </c>
      <c r="J106" s="19" t="s">
        <v>243</v>
      </c>
      <c r="K106" s="19" t="s">
        <v>274</v>
      </c>
      <c r="L106" s="19" t="s">
        <v>233</v>
      </c>
      <c r="M106" s="19" t="s">
        <v>268</v>
      </c>
      <c r="N106" s="19" t="s">
        <v>247</v>
      </c>
      <c r="O106" s="19" t="s">
        <v>270</v>
      </c>
      <c r="P106" s="51" t="s">
        <v>237</v>
      </c>
      <c r="Q106" s="19" t="s">
        <v>276</v>
      </c>
      <c r="R106" s="19">
        <v>5600</v>
      </c>
      <c r="S106" s="19" t="s">
        <v>272</v>
      </c>
      <c r="T106" s="19" t="s">
        <v>263</v>
      </c>
      <c r="U106" s="20" t="s">
        <v>263</v>
      </c>
      <c r="V106" s="19" t="s">
        <v>1753</v>
      </c>
      <c r="W106" s="19" t="s">
        <v>219</v>
      </c>
      <c r="X106" s="35"/>
      <c r="Y106" s="35"/>
      <c r="Z106" s="32"/>
      <c r="AA106" s="22">
        <v>98</v>
      </c>
      <c r="AB106" s="22"/>
      <c r="AC106" s="22"/>
      <c r="AD106" s="22"/>
      <c r="AE106" s="61">
        <f t="shared" si="39"/>
        <v>98</v>
      </c>
      <c r="AF106" s="22"/>
      <c r="AG106" s="40">
        <f t="shared" si="40"/>
        <v>98</v>
      </c>
      <c r="AH106" s="24"/>
      <c r="AI106" s="24"/>
      <c r="AJ106" s="23">
        <f t="shared" si="41"/>
        <v>98</v>
      </c>
      <c r="AK106" s="25">
        <v>98</v>
      </c>
      <c r="AL106" s="25"/>
      <c r="AM106" s="25"/>
      <c r="AN106" s="25"/>
      <c r="AO106" s="25">
        <f t="shared" si="34"/>
        <v>98</v>
      </c>
      <c r="AP106" s="13"/>
      <c r="AQ106" s="21"/>
      <c r="AR106" s="21"/>
      <c r="AS106" s="21">
        <v>15</v>
      </c>
      <c r="AT106" s="21">
        <v>15</v>
      </c>
      <c r="AU106" s="21">
        <v>15</v>
      </c>
      <c r="AV106" s="21">
        <v>15</v>
      </c>
      <c r="AW106" s="21">
        <v>15</v>
      </c>
      <c r="AX106" s="21">
        <v>15</v>
      </c>
      <c r="AY106" s="77"/>
      <c r="AZ106" s="21">
        <v>8</v>
      </c>
      <c r="BA106" s="21"/>
      <c r="BB106" s="21"/>
      <c r="BC106" s="21"/>
      <c r="BD106" s="21"/>
      <c r="BE106" s="21"/>
      <c r="BF106" s="77"/>
      <c r="BG106" s="21"/>
      <c r="BH106" s="21"/>
      <c r="BI106" s="21"/>
      <c r="BJ106" s="21"/>
      <c r="BK106" s="21"/>
      <c r="BL106" s="21"/>
      <c r="BM106" s="77"/>
      <c r="BN106" s="21"/>
      <c r="BO106" s="21"/>
      <c r="BP106" s="21"/>
      <c r="BQ106" s="21"/>
      <c r="BR106" s="21"/>
      <c r="BS106" s="21"/>
      <c r="BT106" s="96">
        <f t="shared" si="25"/>
        <v>98</v>
      </c>
      <c r="BU106" s="94">
        <f t="shared" si="26"/>
        <v>0</v>
      </c>
      <c r="BV106" s="26"/>
      <c r="BW106" s="27"/>
      <c r="BX106" s="19" t="s">
        <v>431</v>
      </c>
      <c r="BY106" s="19" t="b">
        <f t="shared" si="35"/>
        <v>1</v>
      </c>
      <c r="BZ106" s="53" t="s">
        <v>431</v>
      </c>
      <c r="CA106" s="19" t="s">
        <v>964</v>
      </c>
      <c r="CB106" s="19" t="s">
        <v>886</v>
      </c>
      <c r="CC106" s="19" t="s">
        <v>887</v>
      </c>
      <c r="CD106" s="19" t="s">
        <v>908</v>
      </c>
      <c r="CE106" s="19" t="s">
        <v>909</v>
      </c>
      <c r="CF106" s="19" t="s">
        <v>898</v>
      </c>
      <c r="CG106" s="19" t="s">
        <v>899</v>
      </c>
      <c r="CH106" s="19" t="s">
        <v>875</v>
      </c>
      <c r="CI106" s="19" t="s">
        <v>876</v>
      </c>
      <c r="CJ106" s="19" t="s">
        <v>965</v>
      </c>
      <c r="CK106" s="19" t="s">
        <v>966</v>
      </c>
      <c r="CL106" s="19" t="s">
        <v>967</v>
      </c>
      <c r="CM106" s="19" t="s">
        <v>968</v>
      </c>
      <c r="CN106" s="19"/>
      <c r="CO106" s="19"/>
      <c r="CP106" s="19" t="s">
        <v>904</v>
      </c>
      <c r="CQ106" s="19" t="s">
        <v>905</v>
      </c>
      <c r="CR106" s="19" t="s">
        <v>910</v>
      </c>
      <c r="CS106" s="19" t="s">
        <v>911</v>
      </c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</row>
    <row r="107" spans="1:107" s="7" customFormat="1" x14ac:dyDescent="0.25">
      <c r="A107" s="19" t="s">
        <v>81</v>
      </c>
      <c r="B107" s="19" t="s">
        <v>83</v>
      </c>
      <c r="C107" s="19" t="str">
        <f t="shared" si="33"/>
        <v>80752513NEPAL</v>
      </c>
      <c r="D107" s="19">
        <v>80752513</v>
      </c>
      <c r="E107" s="19" t="s">
        <v>1594</v>
      </c>
      <c r="F107" s="19" t="s">
        <v>261</v>
      </c>
      <c r="G107" s="20" t="s">
        <v>1594</v>
      </c>
      <c r="H107" s="19"/>
      <c r="I107" s="19" t="s">
        <v>230</v>
      </c>
      <c r="J107" s="19" t="s">
        <v>243</v>
      </c>
      <c r="K107" s="19" t="s">
        <v>274</v>
      </c>
      <c r="L107" s="19" t="s">
        <v>282</v>
      </c>
      <c r="M107" s="19" t="s">
        <v>268</v>
      </c>
      <c r="N107" s="19" t="s">
        <v>247</v>
      </c>
      <c r="O107" s="19" t="s">
        <v>275</v>
      </c>
      <c r="P107" s="51" t="s">
        <v>237</v>
      </c>
      <c r="Q107" s="19" t="s">
        <v>276</v>
      </c>
      <c r="R107" s="19">
        <v>5600</v>
      </c>
      <c r="S107" s="19" t="s">
        <v>272</v>
      </c>
      <c r="T107" s="19" t="s">
        <v>263</v>
      </c>
      <c r="U107" s="20" t="s">
        <v>263</v>
      </c>
      <c r="V107" s="19" t="s">
        <v>1549</v>
      </c>
      <c r="W107" s="19" t="s">
        <v>219</v>
      </c>
      <c r="X107" s="35">
        <v>2</v>
      </c>
      <c r="Y107" s="35"/>
      <c r="Z107" s="32"/>
      <c r="AA107" s="22"/>
      <c r="AB107" s="22"/>
      <c r="AC107" s="22"/>
      <c r="AD107" s="22"/>
      <c r="AE107" s="61">
        <f t="shared" si="39"/>
        <v>0</v>
      </c>
      <c r="AF107" s="22"/>
      <c r="AG107" s="40">
        <f t="shared" si="40"/>
        <v>0</v>
      </c>
      <c r="AH107" s="24"/>
      <c r="AI107" s="24"/>
      <c r="AJ107" s="23">
        <f t="shared" si="41"/>
        <v>0</v>
      </c>
      <c r="AK107" s="25"/>
      <c r="AL107" s="25"/>
      <c r="AM107" s="25"/>
      <c r="AN107" s="25"/>
      <c r="AO107" s="25">
        <f t="shared" si="34"/>
        <v>0</v>
      </c>
      <c r="AP107" s="13"/>
      <c r="AQ107" s="21"/>
      <c r="AR107" s="21"/>
      <c r="AS107" s="21"/>
      <c r="AT107" s="21"/>
      <c r="AU107" s="21"/>
      <c r="AV107" s="21"/>
      <c r="AW107" s="21"/>
      <c r="AX107" s="21"/>
      <c r="AY107" s="77"/>
      <c r="AZ107" s="21"/>
      <c r="BA107" s="21"/>
      <c r="BB107" s="21"/>
      <c r="BC107" s="21"/>
      <c r="BD107" s="21"/>
      <c r="BE107" s="21"/>
      <c r="BF107" s="77"/>
      <c r="BG107" s="21"/>
      <c r="BH107" s="21"/>
      <c r="BI107" s="21"/>
      <c r="BJ107" s="21"/>
      <c r="BK107" s="21"/>
      <c r="BL107" s="21"/>
      <c r="BM107" s="77"/>
      <c r="BN107" s="21"/>
      <c r="BO107" s="21"/>
      <c r="BP107" s="21"/>
      <c r="BQ107" s="21"/>
      <c r="BR107" s="21"/>
      <c r="BS107" s="21"/>
      <c r="BT107" s="96">
        <f t="shared" si="25"/>
        <v>0</v>
      </c>
      <c r="BU107" s="94">
        <f t="shared" si="26"/>
        <v>0</v>
      </c>
      <c r="BV107" s="26"/>
      <c r="BW107" s="27"/>
      <c r="BX107" s="19" t="s">
        <v>1594</v>
      </c>
      <c r="BY107" s="19" t="b">
        <f t="shared" si="35"/>
        <v>1</v>
      </c>
      <c r="BZ107" s="53" t="s">
        <v>1594</v>
      </c>
      <c r="CA107" s="19" t="s">
        <v>1647</v>
      </c>
      <c r="CB107" s="19" t="s">
        <v>886</v>
      </c>
      <c r="CC107" s="19" t="s">
        <v>887</v>
      </c>
      <c r="CD107" s="19" t="s">
        <v>908</v>
      </c>
      <c r="CE107" s="19" t="s">
        <v>909</v>
      </c>
      <c r="CF107" s="19" t="s">
        <v>898</v>
      </c>
      <c r="CG107" s="19" t="s">
        <v>899</v>
      </c>
      <c r="CH107" s="19" t="s">
        <v>1648</v>
      </c>
      <c r="CI107" s="19" t="s">
        <v>1649</v>
      </c>
      <c r="CJ107" s="19" t="s">
        <v>1650</v>
      </c>
      <c r="CK107" s="19" t="s">
        <v>1651</v>
      </c>
      <c r="CL107" s="19" t="s">
        <v>1652</v>
      </c>
      <c r="CM107" s="19" t="s">
        <v>1653</v>
      </c>
      <c r="CN107" s="19"/>
      <c r="CO107" s="19"/>
      <c r="CP107" s="19" t="s">
        <v>904</v>
      </c>
      <c r="CQ107" s="19" t="s">
        <v>905</v>
      </c>
      <c r="CR107" s="19" t="s">
        <v>910</v>
      </c>
      <c r="CS107" s="19" t="s">
        <v>911</v>
      </c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</row>
    <row r="108" spans="1:107" s="7" customFormat="1" x14ac:dyDescent="0.25">
      <c r="A108" s="19" t="s">
        <v>81</v>
      </c>
      <c r="B108" s="19" t="s">
        <v>83</v>
      </c>
      <c r="C108" s="19" t="str">
        <f t="shared" si="33"/>
        <v>80752514NEPAL</v>
      </c>
      <c r="D108" s="19">
        <v>80752514</v>
      </c>
      <c r="E108" s="19" t="s">
        <v>1595</v>
      </c>
      <c r="F108" s="19" t="s">
        <v>261</v>
      </c>
      <c r="G108" s="20" t="s">
        <v>1595</v>
      </c>
      <c r="H108" s="19"/>
      <c r="I108" s="19" t="s">
        <v>230</v>
      </c>
      <c r="J108" s="19" t="s">
        <v>243</v>
      </c>
      <c r="K108" s="19" t="s">
        <v>274</v>
      </c>
      <c r="L108" s="19" t="s">
        <v>233</v>
      </c>
      <c r="M108" s="19" t="s">
        <v>268</v>
      </c>
      <c r="N108" s="19" t="s">
        <v>247</v>
      </c>
      <c r="O108" s="19" t="s">
        <v>275</v>
      </c>
      <c r="P108" s="51" t="s">
        <v>237</v>
      </c>
      <c r="Q108" s="19" t="s">
        <v>276</v>
      </c>
      <c r="R108" s="19">
        <v>5600</v>
      </c>
      <c r="S108" s="19" t="s">
        <v>272</v>
      </c>
      <c r="T108" s="19" t="s">
        <v>263</v>
      </c>
      <c r="U108" s="20" t="s">
        <v>263</v>
      </c>
      <c r="V108" s="19" t="s">
        <v>1550</v>
      </c>
      <c r="W108" s="19" t="s">
        <v>219</v>
      </c>
      <c r="X108" s="35">
        <v>2</v>
      </c>
      <c r="Y108" s="35">
        <v>4</v>
      </c>
      <c r="Z108" s="32"/>
      <c r="AA108" s="22"/>
      <c r="AB108" s="22"/>
      <c r="AC108" s="22"/>
      <c r="AD108" s="22"/>
      <c r="AE108" s="61">
        <f t="shared" si="39"/>
        <v>0</v>
      </c>
      <c r="AF108" s="22"/>
      <c r="AG108" s="40">
        <f t="shared" si="40"/>
        <v>0</v>
      </c>
      <c r="AH108" s="24"/>
      <c r="AI108" s="24"/>
      <c r="AJ108" s="23">
        <f t="shared" si="41"/>
        <v>0</v>
      </c>
      <c r="AK108" s="25"/>
      <c r="AL108" s="25"/>
      <c r="AM108" s="25"/>
      <c r="AN108" s="25"/>
      <c r="AO108" s="25">
        <f t="shared" si="34"/>
        <v>0</v>
      </c>
      <c r="AP108" s="13"/>
      <c r="AQ108" s="21"/>
      <c r="AR108" s="21"/>
      <c r="AS108" s="21"/>
      <c r="AT108" s="21"/>
      <c r="AU108" s="21"/>
      <c r="AV108" s="21"/>
      <c r="AW108" s="21"/>
      <c r="AX108" s="21"/>
      <c r="AY108" s="77"/>
      <c r="AZ108" s="21"/>
      <c r="BA108" s="21"/>
      <c r="BB108" s="21"/>
      <c r="BC108" s="21"/>
      <c r="BD108" s="21"/>
      <c r="BE108" s="21"/>
      <c r="BF108" s="77"/>
      <c r="BG108" s="21"/>
      <c r="BH108" s="21"/>
      <c r="BI108" s="21"/>
      <c r="BJ108" s="21"/>
      <c r="BK108" s="21"/>
      <c r="BL108" s="21"/>
      <c r="BM108" s="77"/>
      <c r="BN108" s="21"/>
      <c r="BO108" s="21"/>
      <c r="BP108" s="21"/>
      <c r="BQ108" s="21"/>
      <c r="BR108" s="21"/>
      <c r="BS108" s="21"/>
      <c r="BT108" s="96">
        <f t="shared" si="25"/>
        <v>0</v>
      </c>
      <c r="BU108" s="94">
        <f t="shared" si="26"/>
        <v>0</v>
      </c>
      <c r="BV108" s="26"/>
      <c r="BW108" s="27"/>
      <c r="BX108" s="19" t="s">
        <v>1595</v>
      </c>
      <c r="BY108" s="19" t="b">
        <f t="shared" si="35"/>
        <v>1</v>
      </c>
      <c r="BZ108" s="53" t="s">
        <v>1595</v>
      </c>
      <c r="CA108" s="19" t="s">
        <v>1654</v>
      </c>
      <c r="CB108" s="19" t="s">
        <v>886</v>
      </c>
      <c r="CC108" s="19" t="s">
        <v>887</v>
      </c>
      <c r="CD108" s="19" t="s">
        <v>908</v>
      </c>
      <c r="CE108" s="19" t="s">
        <v>909</v>
      </c>
      <c r="CF108" s="19" t="s">
        <v>898</v>
      </c>
      <c r="CG108" s="19" t="s">
        <v>899</v>
      </c>
      <c r="CH108" s="19" t="s">
        <v>1648</v>
      </c>
      <c r="CI108" s="19" t="s">
        <v>1649</v>
      </c>
      <c r="CJ108" s="19" t="s">
        <v>1655</v>
      </c>
      <c r="CK108" s="19" t="s">
        <v>1550</v>
      </c>
      <c r="CL108" s="19" t="s">
        <v>1652</v>
      </c>
      <c r="CM108" s="19" t="s">
        <v>1653</v>
      </c>
      <c r="CN108" s="19"/>
      <c r="CO108" s="19"/>
      <c r="CP108" s="19" t="s">
        <v>904</v>
      </c>
      <c r="CQ108" s="19" t="s">
        <v>905</v>
      </c>
      <c r="CR108" s="19" t="s">
        <v>910</v>
      </c>
      <c r="CS108" s="19" t="s">
        <v>911</v>
      </c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</row>
    <row r="109" spans="1:107" s="7" customFormat="1" x14ac:dyDescent="0.25">
      <c r="A109" s="19" t="s">
        <v>228</v>
      </c>
      <c r="B109" s="19" t="s">
        <v>80</v>
      </c>
      <c r="C109" s="19" t="str">
        <f t="shared" ref="C109:C157" si="42">D109&amp;B109</f>
        <v>95155523India</v>
      </c>
      <c r="D109" s="19">
        <v>95155523</v>
      </c>
      <c r="E109" s="19" t="s">
        <v>423</v>
      </c>
      <c r="F109" s="19" t="s">
        <v>261</v>
      </c>
      <c r="G109" s="20" t="s">
        <v>423</v>
      </c>
      <c r="H109" s="19"/>
      <c r="I109" s="19" t="s">
        <v>230</v>
      </c>
      <c r="J109" s="19" t="s">
        <v>243</v>
      </c>
      <c r="K109" s="19" t="s">
        <v>274</v>
      </c>
      <c r="L109" s="19" t="s">
        <v>233</v>
      </c>
      <c r="M109" s="19" t="s">
        <v>268</v>
      </c>
      <c r="N109" s="19" t="s">
        <v>247</v>
      </c>
      <c r="O109" s="19" t="s">
        <v>275</v>
      </c>
      <c r="P109" s="51" t="s">
        <v>237</v>
      </c>
      <c r="Q109" s="19" t="s">
        <v>276</v>
      </c>
      <c r="R109" s="19">
        <v>5600</v>
      </c>
      <c r="S109" s="19" t="s">
        <v>422</v>
      </c>
      <c r="T109" s="19" t="s">
        <v>263</v>
      </c>
      <c r="U109" s="20" t="s">
        <v>263</v>
      </c>
      <c r="V109" s="19" t="s">
        <v>157</v>
      </c>
      <c r="W109" s="19" t="s">
        <v>221</v>
      </c>
      <c r="X109" s="35">
        <v>85</v>
      </c>
      <c r="Y109" s="35">
        <v>55</v>
      </c>
      <c r="Z109" s="32"/>
      <c r="AA109" s="22">
        <v>31</v>
      </c>
      <c r="AB109" s="22">
        <v>28</v>
      </c>
      <c r="AC109" s="22">
        <v>35</v>
      </c>
      <c r="AD109" s="22">
        <v>10</v>
      </c>
      <c r="AE109" s="61">
        <f t="shared" si="39"/>
        <v>104</v>
      </c>
      <c r="AF109" s="22">
        <v>50</v>
      </c>
      <c r="AG109" s="40">
        <f t="shared" si="40"/>
        <v>154</v>
      </c>
      <c r="AH109" s="24">
        <v>97</v>
      </c>
      <c r="AI109" s="24">
        <v>25</v>
      </c>
      <c r="AJ109" s="23">
        <f t="shared" si="41"/>
        <v>82</v>
      </c>
      <c r="AK109" s="25">
        <v>32</v>
      </c>
      <c r="AL109" s="25"/>
      <c r="AM109" s="25">
        <v>50</v>
      </c>
      <c r="AN109" s="25"/>
      <c r="AO109" s="25">
        <f t="shared" si="34"/>
        <v>82</v>
      </c>
      <c r="AP109" s="13">
        <v>97</v>
      </c>
      <c r="AQ109" s="21">
        <v>47</v>
      </c>
      <c r="AR109" s="21">
        <v>50</v>
      </c>
      <c r="AS109" s="21">
        <v>7</v>
      </c>
      <c r="AT109" s="21"/>
      <c r="AU109" s="21"/>
      <c r="AV109" s="21"/>
      <c r="AW109" s="21"/>
      <c r="AX109" s="21"/>
      <c r="AY109" s="77"/>
      <c r="AZ109" s="21"/>
      <c r="BA109" s="21"/>
      <c r="BB109" s="21"/>
      <c r="BC109" s="21"/>
      <c r="BD109" s="21"/>
      <c r="BE109" s="21"/>
      <c r="BF109" s="77"/>
      <c r="BG109" s="21"/>
      <c r="BH109" s="21"/>
      <c r="BI109" s="21"/>
      <c r="BJ109" s="21"/>
      <c r="BK109" s="21"/>
      <c r="BL109" s="21"/>
      <c r="BM109" s="77"/>
      <c r="BN109" s="21"/>
      <c r="BO109" s="21"/>
      <c r="BP109" s="21"/>
      <c r="BQ109" s="21"/>
      <c r="BR109" s="21"/>
      <c r="BS109" s="21"/>
      <c r="BT109" s="96">
        <f t="shared" si="25"/>
        <v>104</v>
      </c>
      <c r="BU109" s="94">
        <f t="shared" si="26"/>
        <v>-22</v>
      </c>
      <c r="BV109" s="26"/>
      <c r="BW109" s="27"/>
      <c r="BX109" s="19" t="s">
        <v>423</v>
      </c>
      <c r="BY109" s="19" t="b">
        <f t="shared" ref="BY109:BY157" si="43">BZ109=BX109</f>
        <v>1</v>
      </c>
      <c r="BZ109" s="53" t="s">
        <v>423</v>
      </c>
      <c r="CA109" s="19" t="s">
        <v>961</v>
      </c>
      <c r="CB109" s="19" t="s">
        <v>869</v>
      </c>
      <c r="CC109" s="19" t="s">
        <v>870</v>
      </c>
      <c r="CD109" s="19" t="s">
        <v>908</v>
      </c>
      <c r="CE109" s="19" t="s">
        <v>909</v>
      </c>
      <c r="CF109" s="19" t="s">
        <v>898</v>
      </c>
      <c r="CG109" s="19" t="s">
        <v>899</v>
      </c>
      <c r="CH109" s="19" t="s">
        <v>875</v>
      </c>
      <c r="CI109" s="19" t="s">
        <v>876</v>
      </c>
      <c r="CJ109" s="19" t="s">
        <v>952</v>
      </c>
      <c r="CK109" s="19" t="s">
        <v>953</v>
      </c>
      <c r="CL109" s="19" t="s">
        <v>962</v>
      </c>
      <c r="CM109" s="19" t="s">
        <v>963</v>
      </c>
      <c r="CN109" s="19"/>
      <c r="CO109" s="19"/>
      <c r="CP109" s="19" t="s">
        <v>904</v>
      </c>
      <c r="CQ109" s="19" t="s">
        <v>905</v>
      </c>
      <c r="CR109" s="19" t="s">
        <v>910</v>
      </c>
      <c r="CS109" s="19" t="s">
        <v>911</v>
      </c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</row>
    <row r="110" spans="1:107" s="7" customFormat="1" x14ac:dyDescent="0.25">
      <c r="A110" s="19" t="s">
        <v>228</v>
      </c>
      <c r="B110" s="19" t="s">
        <v>80</v>
      </c>
      <c r="C110" s="19" t="str">
        <f t="shared" si="42"/>
        <v>95158906India</v>
      </c>
      <c r="D110" s="19">
        <v>95158906</v>
      </c>
      <c r="E110" s="19" t="s">
        <v>273</v>
      </c>
      <c r="F110" s="19" t="s">
        <v>261</v>
      </c>
      <c r="G110" s="20" t="s">
        <v>273</v>
      </c>
      <c r="H110" s="19"/>
      <c r="I110" s="19" t="s">
        <v>230</v>
      </c>
      <c r="J110" s="19" t="s">
        <v>243</v>
      </c>
      <c r="K110" s="19" t="s">
        <v>274</v>
      </c>
      <c r="L110" s="19" t="s">
        <v>233</v>
      </c>
      <c r="M110" s="19" t="s">
        <v>268</v>
      </c>
      <c r="N110" s="19" t="s">
        <v>247</v>
      </c>
      <c r="O110" s="19" t="s">
        <v>275</v>
      </c>
      <c r="P110" s="51" t="s">
        <v>237</v>
      </c>
      <c r="Q110" s="19" t="s">
        <v>276</v>
      </c>
      <c r="R110" s="19">
        <v>5600</v>
      </c>
      <c r="S110" s="19" t="s">
        <v>272</v>
      </c>
      <c r="T110" s="19" t="s">
        <v>263</v>
      </c>
      <c r="U110" s="20" t="s">
        <v>263</v>
      </c>
      <c r="V110" s="19" t="s">
        <v>159</v>
      </c>
      <c r="W110" s="19" t="s">
        <v>221</v>
      </c>
      <c r="X110" s="35">
        <v>85</v>
      </c>
      <c r="Y110" s="35">
        <v>55</v>
      </c>
      <c r="Z110" s="32"/>
      <c r="AA110" s="22">
        <v>33</v>
      </c>
      <c r="AB110" s="22">
        <v>38</v>
      </c>
      <c r="AC110" s="22">
        <v>25</v>
      </c>
      <c r="AD110" s="22">
        <v>15</v>
      </c>
      <c r="AE110" s="61">
        <f t="shared" si="39"/>
        <v>111</v>
      </c>
      <c r="AF110" s="22">
        <v>40</v>
      </c>
      <c r="AG110" s="40">
        <f t="shared" si="40"/>
        <v>151</v>
      </c>
      <c r="AH110" s="24">
        <v>75</v>
      </c>
      <c r="AI110" s="24">
        <v>20</v>
      </c>
      <c r="AJ110" s="23">
        <f t="shared" si="41"/>
        <v>96</v>
      </c>
      <c r="AK110" s="25"/>
      <c r="AL110" s="25">
        <v>56</v>
      </c>
      <c r="AM110" s="25">
        <v>40</v>
      </c>
      <c r="AN110" s="25"/>
      <c r="AO110" s="25">
        <f t="shared" ref="AO110:AO157" si="44">SUM(AK110:AN110)</f>
        <v>96</v>
      </c>
      <c r="AP110" s="13">
        <v>75</v>
      </c>
      <c r="AQ110" s="21">
        <v>25</v>
      </c>
      <c r="AR110" s="21">
        <v>25</v>
      </c>
      <c r="AS110" s="21">
        <v>25</v>
      </c>
      <c r="AT110" s="21"/>
      <c r="AU110" s="21"/>
      <c r="AV110" s="21"/>
      <c r="AW110" s="21"/>
      <c r="AX110" s="21"/>
      <c r="AY110" s="77"/>
      <c r="AZ110" s="21">
        <v>6</v>
      </c>
      <c r="BA110" s="21">
        <v>6</v>
      </c>
      <c r="BB110" s="21">
        <v>6</v>
      </c>
      <c r="BC110" s="21">
        <v>6</v>
      </c>
      <c r="BD110" s="21">
        <v>6</v>
      </c>
      <c r="BE110" s="21">
        <v>6</v>
      </c>
      <c r="BF110" s="77"/>
      <c r="BG110" s="21"/>
      <c r="BH110" s="21"/>
      <c r="BI110" s="21"/>
      <c r="BJ110" s="21"/>
      <c r="BK110" s="21"/>
      <c r="BL110" s="21"/>
      <c r="BM110" s="77"/>
      <c r="BN110" s="21"/>
      <c r="BO110" s="21"/>
      <c r="BP110" s="21"/>
      <c r="BQ110" s="21"/>
      <c r="BR110" s="21"/>
      <c r="BS110" s="21"/>
      <c r="BT110" s="96">
        <f t="shared" si="25"/>
        <v>111</v>
      </c>
      <c r="BU110" s="94">
        <f t="shared" si="26"/>
        <v>-15</v>
      </c>
      <c r="BV110" s="26"/>
      <c r="BW110" s="27"/>
      <c r="BX110" s="19" t="s">
        <v>273</v>
      </c>
      <c r="BY110" s="19" t="b">
        <f t="shared" si="43"/>
        <v>1</v>
      </c>
      <c r="BZ110" s="53" t="s">
        <v>273</v>
      </c>
      <c r="CA110" s="19" t="s">
        <v>951</v>
      </c>
      <c r="CB110" s="19" t="s">
        <v>886</v>
      </c>
      <c r="CC110" s="19" t="s">
        <v>887</v>
      </c>
      <c r="CD110" s="19" t="s">
        <v>908</v>
      </c>
      <c r="CE110" s="19" t="s">
        <v>909</v>
      </c>
      <c r="CF110" s="19" t="s">
        <v>898</v>
      </c>
      <c r="CG110" s="19" t="s">
        <v>899</v>
      </c>
      <c r="CH110" s="19" t="s">
        <v>875</v>
      </c>
      <c r="CI110" s="19" t="s">
        <v>876</v>
      </c>
      <c r="CJ110" s="19" t="s">
        <v>952</v>
      </c>
      <c r="CK110" s="19" t="s">
        <v>953</v>
      </c>
      <c r="CL110" s="19" t="s">
        <v>954</v>
      </c>
      <c r="CM110" s="19" t="s">
        <v>955</v>
      </c>
      <c r="CN110" s="19"/>
      <c r="CO110" s="19"/>
      <c r="CP110" s="19" t="s">
        <v>904</v>
      </c>
      <c r="CQ110" s="19" t="s">
        <v>905</v>
      </c>
      <c r="CR110" s="19" t="s">
        <v>910</v>
      </c>
      <c r="CS110" s="19" t="s">
        <v>911</v>
      </c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</row>
    <row r="111" spans="1:107" s="7" customFormat="1" x14ac:dyDescent="0.25">
      <c r="A111" s="19" t="s">
        <v>228</v>
      </c>
      <c r="B111" s="19" t="s">
        <v>80</v>
      </c>
      <c r="C111" s="19" t="str">
        <f t="shared" si="42"/>
        <v>95158903India</v>
      </c>
      <c r="D111" s="19">
        <v>95158903</v>
      </c>
      <c r="E111" s="19" t="s">
        <v>431</v>
      </c>
      <c r="F111" s="19" t="s">
        <v>261</v>
      </c>
      <c r="G111" s="20" t="s">
        <v>431</v>
      </c>
      <c r="H111" s="19"/>
      <c r="I111" s="19" t="s">
        <v>230</v>
      </c>
      <c r="J111" s="19" t="s">
        <v>243</v>
      </c>
      <c r="K111" s="19" t="s">
        <v>274</v>
      </c>
      <c r="L111" s="19" t="s">
        <v>233</v>
      </c>
      <c r="M111" s="19" t="s">
        <v>268</v>
      </c>
      <c r="N111" s="19" t="s">
        <v>247</v>
      </c>
      <c r="O111" s="19" t="s">
        <v>275</v>
      </c>
      <c r="P111" s="51" t="s">
        <v>237</v>
      </c>
      <c r="Q111" s="19" t="s">
        <v>276</v>
      </c>
      <c r="R111" s="19">
        <v>5600</v>
      </c>
      <c r="S111" s="19" t="s">
        <v>272</v>
      </c>
      <c r="T111" s="19" t="s">
        <v>263</v>
      </c>
      <c r="U111" s="20" t="s">
        <v>263</v>
      </c>
      <c r="V111" s="19" t="s">
        <v>165</v>
      </c>
      <c r="W111" s="19" t="s">
        <v>221</v>
      </c>
      <c r="X111" s="35">
        <v>21</v>
      </c>
      <c r="Y111" s="35">
        <v>19</v>
      </c>
      <c r="Z111" s="32"/>
      <c r="AA111" s="22">
        <v>7</v>
      </c>
      <c r="AB111" s="22">
        <v>6</v>
      </c>
      <c r="AC111" s="22">
        <v>10</v>
      </c>
      <c r="AD111" s="22">
        <v>9</v>
      </c>
      <c r="AE111" s="61">
        <f t="shared" si="39"/>
        <v>32</v>
      </c>
      <c r="AF111" s="22"/>
      <c r="AG111" s="40">
        <f t="shared" si="40"/>
        <v>32</v>
      </c>
      <c r="AH111" s="24">
        <v>3</v>
      </c>
      <c r="AI111" s="24">
        <v>21</v>
      </c>
      <c r="AJ111" s="23">
        <f t="shared" si="41"/>
        <v>50</v>
      </c>
      <c r="AK111" s="25"/>
      <c r="AL111" s="25">
        <v>50</v>
      </c>
      <c r="AM111" s="25"/>
      <c r="AN111" s="25"/>
      <c r="AO111" s="25">
        <f t="shared" si="44"/>
        <v>50</v>
      </c>
      <c r="AP111" s="13">
        <v>3</v>
      </c>
      <c r="AQ111" s="21">
        <v>3</v>
      </c>
      <c r="AR111" s="21"/>
      <c r="AS111" s="21"/>
      <c r="AT111" s="21"/>
      <c r="AU111" s="21"/>
      <c r="AV111" s="21"/>
      <c r="AW111" s="21"/>
      <c r="AX111" s="21"/>
      <c r="AY111" s="77"/>
      <c r="AZ111" s="21">
        <v>5</v>
      </c>
      <c r="BA111" s="21">
        <v>5</v>
      </c>
      <c r="BB111" s="21">
        <v>5</v>
      </c>
      <c r="BC111" s="21">
        <v>5</v>
      </c>
      <c r="BD111" s="21">
        <v>5</v>
      </c>
      <c r="BE111" s="21">
        <v>4</v>
      </c>
      <c r="BF111" s="77"/>
      <c r="BG111" s="21"/>
      <c r="BH111" s="21"/>
      <c r="BI111" s="21"/>
      <c r="BJ111" s="21"/>
      <c r="BK111" s="21"/>
      <c r="BL111" s="21"/>
      <c r="BM111" s="77"/>
      <c r="BN111" s="21"/>
      <c r="BO111" s="21"/>
      <c r="BP111" s="21"/>
      <c r="BQ111" s="21"/>
      <c r="BR111" s="21"/>
      <c r="BS111" s="21"/>
      <c r="BT111" s="96">
        <f t="shared" si="25"/>
        <v>32</v>
      </c>
      <c r="BU111" s="94">
        <f t="shared" si="26"/>
        <v>18</v>
      </c>
      <c r="BV111" s="26"/>
      <c r="BW111" s="27"/>
      <c r="BX111" s="19" t="s">
        <v>431</v>
      </c>
      <c r="BY111" s="19" t="b">
        <f t="shared" si="43"/>
        <v>1</v>
      </c>
      <c r="BZ111" s="53" t="s">
        <v>431</v>
      </c>
      <c r="CA111" s="19" t="s">
        <v>964</v>
      </c>
      <c r="CB111" s="19" t="s">
        <v>886</v>
      </c>
      <c r="CC111" s="19" t="s">
        <v>887</v>
      </c>
      <c r="CD111" s="19" t="s">
        <v>908</v>
      </c>
      <c r="CE111" s="19" t="s">
        <v>909</v>
      </c>
      <c r="CF111" s="19" t="s">
        <v>898</v>
      </c>
      <c r="CG111" s="19" t="s">
        <v>899</v>
      </c>
      <c r="CH111" s="19" t="s">
        <v>875</v>
      </c>
      <c r="CI111" s="19" t="s">
        <v>876</v>
      </c>
      <c r="CJ111" s="19" t="s">
        <v>965</v>
      </c>
      <c r="CK111" s="19" t="s">
        <v>966</v>
      </c>
      <c r="CL111" s="19" t="s">
        <v>967</v>
      </c>
      <c r="CM111" s="19" t="s">
        <v>968</v>
      </c>
      <c r="CN111" s="19"/>
      <c r="CO111" s="19"/>
      <c r="CP111" s="19" t="s">
        <v>904</v>
      </c>
      <c r="CQ111" s="19" t="s">
        <v>905</v>
      </c>
      <c r="CR111" s="19" t="s">
        <v>910</v>
      </c>
      <c r="CS111" s="19" t="s">
        <v>911</v>
      </c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</row>
    <row r="112" spans="1:107" s="7" customFormat="1" x14ac:dyDescent="0.25">
      <c r="A112" s="19" t="s">
        <v>228</v>
      </c>
      <c r="B112" s="19" t="s">
        <v>80</v>
      </c>
      <c r="C112" s="19" t="str">
        <f t="shared" si="42"/>
        <v>95159058India</v>
      </c>
      <c r="D112" s="19">
        <v>95159058</v>
      </c>
      <c r="E112" s="19" t="s">
        <v>438</v>
      </c>
      <c r="F112" s="19" t="s">
        <v>261</v>
      </c>
      <c r="G112" s="20" t="s">
        <v>438</v>
      </c>
      <c r="H112" s="19"/>
      <c r="I112" s="19" t="s">
        <v>230</v>
      </c>
      <c r="J112" s="19" t="s">
        <v>243</v>
      </c>
      <c r="K112" s="19" t="s">
        <v>274</v>
      </c>
      <c r="L112" s="19" t="s">
        <v>233</v>
      </c>
      <c r="M112" s="19" t="s">
        <v>268</v>
      </c>
      <c r="N112" s="19" t="s">
        <v>247</v>
      </c>
      <c r="O112" s="19" t="s">
        <v>275</v>
      </c>
      <c r="P112" s="51" t="s">
        <v>237</v>
      </c>
      <c r="Q112" s="19" t="s">
        <v>276</v>
      </c>
      <c r="R112" s="19">
        <v>5600</v>
      </c>
      <c r="S112" s="19" t="s">
        <v>272</v>
      </c>
      <c r="T112" s="19" t="s">
        <v>263</v>
      </c>
      <c r="U112" s="20" t="s">
        <v>263</v>
      </c>
      <c r="V112" s="19" t="s">
        <v>169</v>
      </c>
      <c r="W112" s="19" t="s">
        <v>222</v>
      </c>
      <c r="X112" s="35"/>
      <c r="Y112" s="35"/>
      <c r="Z112" s="32"/>
      <c r="AA112" s="22"/>
      <c r="AB112" s="22">
        <v>1</v>
      </c>
      <c r="AC112" s="22">
        <v>1</v>
      </c>
      <c r="AD112" s="22">
        <v>4</v>
      </c>
      <c r="AE112" s="61">
        <f t="shared" si="39"/>
        <v>6</v>
      </c>
      <c r="AF112" s="22"/>
      <c r="AG112" s="40">
        <f t="shared" si="40"/>
        <v>6</v>
      </c>
      <c r="AH112" s="24">
        <v>4</v>
      </c>
      <c r="AI112" s="24"/>
      <c r="AJ112" s="23">
        <f t="shared" si="41"/>
        <v>2</v>
      </c>
      <c r="AK112" s="25"/>
      <c r="AL112" s="25">
        <v>2</v>
      </c>
      <c r="AM112" s="25"/>
      <c r="AN112" s="25"/>
      <c r="AO112" s="25">
        <f t="shared" si="44"/>
        <v>2</v>
      </c>
      <c r="AP112" s="13">
        <v>4</v>
      </c>
      <c r="AQ112" s="21"/>
      <c r="AR112" s="21">
        <v>4</v>
      </c>
      <c r="AS112" s="21"/>
      <c r="AT112" s="21"/>
      <c r="AU112" s="21"/>
      <c r="AV112" s="21"/>
      <c r="AW112" s="21"/>
      <c r="AX112" s="21"/>
      <c r="AY112" s="77"/>
      <c r="AZ112" s="21"/>
      <c r="BA112" s="21"/>
      <c r="BB112" s="21"/>
      <c r="BC112" s="21"/>
      <c r="BD112" s="21"/>
      <c r="BE112" s="21"/>
      <c r="BF112" s="77"/>
      <c r="BG112" s="21">
        <v>2</v>
      </c>
      <c r="BH112" s="21"/>
      <c r="BI112" s="21"/>
      <c r="BJ112" s="21"/>
      <c r="BK112" s="21"/>
      <c r="BL112" s="21"/>
      <c r="BM112" s="77"/>
      <c r="BN112" s="21"/>
      <c r="BO112" s="21"/>
      <c r="BP112" s="21"/>
      <c r="BQ112" s="21"/>
      <c r="BR112" s="21"/>
      <c r="BS112" s="21"/>
      <c r="BT112" s="96">
        <f t="shared" si="25"/>
        <v>6</v>
      </c>
      <c r="BU112" s="94">
        <f t="shared" si="26"/>
        <v>-4</v>
      </c>
      <c r="BV112" s="26"/>
      <c r="BW112" s="27"/>
      <c r="BX112" s="19" t="s">
        <v>438</v>
      </c>
      <c r="BY112" s="19" t="b">
        <f t="shared" si="43"/>
        <v>1</v>
      </c>
      <c r="BZ112" s="53" t="s">
        <v>438</v>
      </c>
      <c r="CA112" s="19" t="s">
        <v>969</v>
      </c>
      <c r="CB112" s="19" t="s">
        <v>886</v>
      </c>
      <c r="CC112" s="19" t="s">
        <v>887</v>
      </c>
      <c r="CD112" s="19" t="s">
        <v>908</v>
      </c>
      <c r="CE112" s="19" t="s">
        <v>909</v>
      </c>
      <c r="CF112" s="19" t="s">
        <v>898</v>
      </c>
      <c r="CG112" s="19" t="s">
        <v>899</v>
      </c>
      <c r="CH112" s="19" t="s">
        <v>875</v>
      </c>
      <c r="CI112" s="19" t="s">
        <v>876</v>
      </c>
      <c r="CJ112" s="19" t="s">
        <v>952</v>
      </c>
      <c r="CK112" s="19" t="s">
        <v>953</v>
      </c>
      <c r="CL112" s="19" t="s">
        <v>918</v>
      </c>
      <c r="CM112" s="19" t="s">
        <v>919</v>
      </c>
      <c r="CN112" s="19"/>
      <c r="CO112" s="19"/>
      <c r="CP112" s="19" t="s">
        <v>904</v>
      </c>
      <c r="CQ112" s="19" t="s">
        <v>905</v>
      </c>
      <c r="CR112" s="19" t="s">
        <v>910</v>
      </c>
      <c r="CS112" s="19" t="s">
        <v>911</v>
      </c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</row>
    <row r="113" spans="1:107" s="7" customFormat="1" x14ac:dyDescent="0.25">
      <c r="A113" s="19" t="s">
        <v>228</v>
      </c>
      <c r="B113" s="19" t="s">
        <v>80</v>
      </c>
      <c r="C113" s="19" t="str">
        <f t="shared" si="42"/>
        <v>95158913India</v>
      </c>
      <c r="D113" s="19">
        <v>95158913</v>
      </c>
      <c r="E113" s="19" t="s">
        <v>442</v>
      </c>
      <c r="F113" s="19" t="s">
        <v>261</v>
      </c>
      <c r="G113" s="20" t="s">
        <v>442</v>
      </c>
      <c r="H113" s="19"/>
      <c r="I113" s="19" t="s">
        <v>230</v>
      </c>
      <c r="J113" s="19" t="s">
        <v>243</v>
      </c>
      <c r="K113" s="19" t="s">
        <v>274</v>
      </c>
      <c r="L113" s="19" t="s">
        <v>233</v>
      </c>
      <c r="M113" s="19" t="s">
        <v>268</v>
      </c>
      <c r="N113" s="19" t="s">
        <v>247</v>
      </c>
      <c r="O113" s="19" t="s">
        <v>275</v>
      </c>
      <c r="P113" s="51" t="s">
        <v>237</v>
      </c>
      <c r="Q113" s="19" t="s">
        <v>276</v>
      </c>
      <c r="R113" s="19">
        <v>5600</v>
      </c>
      <c r="S113" s="19" t="s">
        <v>272</v>
      </c>
      <c r="T113" s="19" t="s">
        <v>263</v>
      </c>
      <c r="U113" s="20" t="s">
        <v>263</v>
      </c>
      <c r="V113" s="19" t="s">
        <v>171</v>
      </c>
      <c r="W113" s="19" t="s">
        <v>222</v>
      </c>
      <c r="X113" s="35">
        <v>7</v>
      </c>
      <c r="Y113" s="35">
        <v>2</v>
      </c>
      <c r="Z113" s="32"/>
      <c r="AA113" s="22">
        <v>6</v>
      </c>
      <c r="AB113" s="22">
        <v>2</v>
      </c>
      <c r="AC113" s="22">
        <v>2</v>
      </c>
      <c r="AD113" s="22">
        <v>2</v>
      </c>
      <c r="AE113" s="61">
        <f t="shared" si="39"/>
        <v>12</v>
      </c>
      <c r="AF113" s="22"/>
      <c r="AG113" s="40">
        <f t="shared" si="40"/>
        <v>12</v>
      </c>
      <c r="AH113" s="24"/>
      <c r="AI113" s="24">
        <v>7</v>
      </c>
      <c r="AJ113" s="23">
        <f t="shared" si="41"/>
        <v>19</v>
      </c>
      <c r="AK113" s="25">
        <v>10</v>
      </c>
      <c r="AL113" s="25">
        <v>9</v>
      </c>
      <c r="AM113" s="25"/>
      <c r="AN113" s="25"/>
      <c r="AO113" s="25">
        <f t="shared" si="44"/>
        <v>19</v>
      </c>
      <c r="AP113" s="13"/>
      <c r="AQ113" s="21"/>
      <c r="AR113" s="21"/>
      <c r="AS113" s="21"/>
      <c r="AT113" s="21"/>
      <c r="AU113" s="21"/>
      <c r="AV113" s="21"/>
      <c r="AW113" s="21"/>
      <c r="AX113" s="21"/>
      <c r="AY113" s="77"/>
      <c r="AZ113" s="21"/>
      <c r="BA113" s="21"/>
      <c r="BB113" s="21"/>
      <c r="BC113" s="21"/>
      <c r="BD113" s="21"/>
      <c r="BE113" s="21"/>
      <c r="BF113" s="77"/>
      <c r="BG113" s="21">
        <v>3</v>
      </c>
      <c r="BH113" s="21">
        <v>3</v>
      </c>
      <c r="BI113" s="21">
        <v>3</v>
      </c>
      <c r="BJ113" s="21">
        <v>3</v>
      </c>
      <c r="BK113" s="21"/>
      <c r="BL113" s="21"/>
      <c r="BM113" s="77"/>
      <c r="BN113" s="21"/>
      <c r="BO113" s="21"/>
      <c r="BP113" s="21"/>
      <c r="BQ113" s="21"/>
      <c r="BR113" s="21"/>
      <c r="BS113" s="21"/>
      <c r="BT113" s="96">
        <f t="shared" si="25"/>
        <v>12</v>
      </c>
      <c r="BU113" s="94">
        <f t="shared" si="26"/>
        <v>7</v>
      </c>
      <c r="BV113" s="26"/>
      <c r="BW113" s="27"/>
      <c r="BX113" s="19" t="s">
        <v>442</v>
      </c>
      <c r="BY113" s="19" t="b">
        <f t="shared" si="43"/>
        <v>1</v>
      </c>
      <c r="BZ113" s="53" t="s">
        <v>442</v>
      </c>
      <c r="CA113" s="19" t="s">
        <v>970</v>
      </c>
      <c r="CB113" s="19" t="s">
        <v>886</v>
      </c>
      <c r="CC113" s="19" t="s">
        <v>887</v>
      </c>
      <c r="CD113" s="19" t="s">
        <v>896</v>
      </c>
      <c r="CE113" s="19" t="s">
        <v>897</v>
      </c>
      <c r="CF113" s="19" t="s">
        <v>898</v>
      </c>
      <c r="CG113" s="19" t="s">
        <v>899</v>
      </c>
      <c r="CH113" s="19" t="s">
        <v>875</v>
      </c>
      <c r="CI113" s="19" t="s">
        <v>876</v>
      </c>
      <c r="CJ113" s="19" t="s">
        <v>952</v>
      </c>
      <c r="CK113" s="19" t="s">
        <v>953</v>
      </c>
      <c r="CL113" s="19" t="s">
        <v>902</v>
      </c>
      <c r="CM113" s="19" t="s">
        <v>903</v>
      </c>
      <c r="CN113" s="19"/>
      <c r="CO113" s="19"/>
      <c r="CP113" s="19" t="s">
        <v>904</v>
      </c>
      <c r="CQ113" s="19" t="s">
        <v>905</v>
      </c>
      <c r="CR113" s="19" t="s">
        <v>906</v>
      </c>
      <c r="CS113" s="19" t="s">
        <v>907</v>
      </c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</row>
    <row r="114" spans="1:107" s="7" customFormat="1" x14ac:dyDescent="0.25">
      <c r="A114" s="19" t="s">
        <v>228</v>
      </c>
      <c r="B114" s="19" t="s">
        <v>80</v>
      </c>
      <c r="C114" s="19" t="str">
        <f t="shared" si="42"/>
        <v>95158914India</v>
      </c>
      <c r="D114" s="19">
        <v>95158914</v>
      </c>
      <c r="E114" s="19" t="s">
        <v>273</v>
      </c>
      <c r="F114" s="19" t="s">
        <v>261</v>
      </c>
      <c r="G114" s="20" t="s">
        <v>273</v>
      </c>
      <c r="H114" s="19"/>
      <c r="I114" s="19" t="s">
        <v>230</v>
      </c>
      <c r="J114" s="19" t="s">
        <v>243</v>
      </c>
      <c r="K114" s="19" t="s">
        <v>274</v>
      </c>
      <c r="L114" s="19" t="s">
        <v>233</v>
      </c>
      <c r="M114" s="19" t="s">
        <v>268</v>
      </c>
      <c r="N114" s="19" t="s">
        <v>247</v>
      </c>
      <c r="O114" s="19" t="s">
        <v>275</v>
      </c>
      <c r="P114" s="51" t="s">
        <v>237</v>
      </c>
      <c r="Q114" s="19" t="s">
        <v>276</v>
      </c>
      <c r="R114" s="19">
        <v>5600</v>
      </c>
      <c r="S114" s="19" t="s">
        <v>272</v>
      </c>
      <c r="T114" s="19" t="s">
        <v>263</v>
      </c>
      <c r="U114" s="20" t="s">
        <v>263</v>
      </c>
      <c r="V114" s="19" t="s">
        <v>1780</v>
      </c>
      <c r="W114" s="19" t="s">
        <v>222</v>
      </c>
      <c r="X114" s="35">
        <v>1</v>
      </c>
      <c r="Y114" s="35">
        <v>1</v>
      </c>
      <c r="Z114" s="32"/>
      <c r="AA114" s="22">
        <v>1</v>
      </c>
      <c r="AB114" s="22"/>
      <c r="AC114" s="22"/>
      <c r="AD114" s="22"/>
      <c r="AE114" s="61">
        <f t="shared" si="39"/>
        <v>1</v>
      </c>
      <c r="AF114" s="22"/>
      <c r="AG114" s="40">
        <f t="shared" si="40"/>
        <v>1</v>
      </c>
      <c r="AH114" s="24">
        <v>1</v>
      </c>
      <c r="AI114" s="24">
        <v>1</v>
      </c>
      <c r="AJ114" s="23">
        <f t="shared" si="41"/>
        <v>1</v>
      </c>
      <c r="AK114" s="25"/>
      <c r="AL114" s="25">
        <v>1</v>
      </c>
      <c r="AM114" s="25"/>
      <c r="AN114" s="25"/>
      <c r="AO114" s="25">
        <f t="shared" si="44"/>
        <v>1</v>
      </c>
      <c r="AP114" s="13">
        <v>1</v>
      </c>
      <c r="AQ114" s="21"/>
      <c r="AR114" s="21"/>
      <c r="AS114" s="21">
        <v>1</v>
      </c>
      <c r="AT114" s="21"/>
      <c r="AU114" s="21"/>
      <c r="AV114" s="21"/>
      <c r="AW114" s="21"/>
      <c r="AX114" s="21"/>
      <c r="AY114" s="77"/>
      <c r="AZ114" s="21"/>
      <c r="BA114" s="21"/>
      <c r="BB114" s="21"/>
      <c r="BC114" s="21"/>
      <c r="BD114" s="21"/>
      <c r="BE114" s="21"/>
      <c r="BF114" s="77"/>
      <c r="BG114" s="21"/>
      <c r="BH114" s="21"/>
      <c r="BI114" s="21"/>
      <c r="BJ114" s="21"/>
      <c r="BK114" s="21"/>
      <c r="BL114" s="21"/>
      <c r="BM114" s="77"/>
      <c r="BN114" s="21"/>
      <c r="BO114" s="21"/>
      <c r="BP114" s="21"/>
      <c r="BQ114" s="21"/>
      <c r="BR114" s="21"/>
      <c r="BS114" s="21"/>
      <c r="BT114" s="96">
        <f t="shared" si="25"/>
        <v>1</v>
      </c>
      <c r="BU114" s="94">
        <f t="shared" si="26"/>
        <v>0</v>
      </c>
      <c r="BV114" s="26"/>
      <c r="BW114" s="27"/>
      <c r="BX114" s="19" t="s">
        <v>273</v>
      </c>
      <c r="BY114" s="19" t="b">
        <f t="shared" si="43"/>
        <v>1</v>
      </c>
      <c r="BZ114" s="53" t="s">
        <v>273</v>
      </c>
      <c r="CA114" s="19" t="s">
        <v>951</v>
      </c>
      <c r="CB114" s="19" t="s">
        <v>886</v>
      </c>
      <c r="CC114" s="19" t="s">
        <v>887</v>
      </c>
      <c r="CD114" s="19" t="s">
        <v>908</v>
      </c>
      <c r="CE114" s="19" t="s">
        <v>909</v>
      </c>
      <c r="CF114" s="19" t="s">
        <v>898</v>
      </c>
      <c r="CG114" s="19" t="s">
        <v>899</v>
      </c>
      <c r="CH114" s="19" t="s">
        <v>875</v>
      </c>
      <c r="CI114" s="19" t="s">
        <v>876</v>
      </c>
      <c r="CJ114" s="19" t="s">
        <v>952</v>
      </c>
      <c r="CK114" s="19" t="s">
        <v>953</v>
      </c>
      <c r="CL114" s="19" t="s">
        <v>954</v>
      </c>
      <c r="CM114" s="19" t="s">
        <v>955</v>
      </c>
      <c r="CN114" s="19"/>
      <c r="CO114" s="19"/>
      <c r="CP114" s="19" t="s">
        <v>904</v>
      </c>
      <c r="CQ114" s="19" t="s">
        <v>905</v>
      </c>
      <c r="CR114" s="19" t="s">
        <v>910</v>
      </c>
      <c r="CS114" s="19" t="s">
        <v>911</v>
      </c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</row>
    <row r="115" spans="1:107" s="7" customFormat="1" x14ac:dyDescent="0.25">
      <c r="A115" s="19" t="s">
        <v>228</v>
      </c>
      <c r="B115" s="19" t="s">
        <v>80</v>
      </c>
      <c r="C115" s="19" t="str">
        <f t="shared" si="42"/>
        <v>95159067India</v>
      </c>
      <c r="D115" s="19">
        <v>95159067</v>
      </c>
      <c r="E115" s="19" t="s">
        <v>1841</v>
      </c>
      <c r="F115" s="19" t="s">
        <v>261</v>
      </c>
      <c r="G115" s="20" t="s">
        <v>1841</v>
      </c>
      <c r="H115" s="19"/>
      <c r="I115" s="19" t="s">
        <v>230</v>
      </c>
      <c r="J115" s="19" t="s">
        <v>243</v>
      </c>
      <c r="K115" s="19" t="s">
        <v>274</v>
      </c>
      <c r="L115" s="19" t="s">
        <v>233</v>
      </c>
      <c r="M115" s="19" t="s">
        <v>268</v>
      </c>
      <c r="N115" s="19" t="s">
        <v>247</v>
      </c>
      <c r="O115" s="19" t="s">
        <v>275</v>
      </c>
      <c r="P115" s="51" t="s">
        <v>237</v>
      </c>
      <c r="Q115" s="19" t="s">
        <v>276</v>
      </c>
      <c r="R115" s="19">
        <v>5600</v>
      </c>
      <c r="S115" s="19" t="s">
        <v>272</v>
      </c>
      <c r="T115" s="19" t="s">
        <v>263</v>
      </c>
      <c r="U115" s="20" t="s">
        <v>263</v>
      </c>
      <c r="V115" s="19" t="s">
        <v>1785</v>
      </c>
      <c r="W115" s="19" t="s">
        <v>222</v>
      </c>
      <c r="X115" s="35">
        <v>2</v>
      </c>
      <c r="Y115" s="35">
        <v>2</v>
      </c>
      <c r="Z115" s="32"/>
      <c r="AA115" s="22"/>
      <c r="AB115" s="22"/>
      <c r="AC115" s="22">
        <v>1</v>
      </c>
      <c r="AD115" s="22">
        <v>1</v>
      </c>
      <c r="AE115" s="61">
        <f t="shared" si="39"/>
        <v>2</v>
      </c>
      <c r="AF115" s="22"/>
      <c r="AG115" s="40">
        <f t="shared" si="40"/>
        <v>2</v>
      </c>
      <c r="AH115" s="24"/>
      <c r="AI115" s="24">
        <v>2</v>
      </c>
      <c r="AJ115" s="23">
        <f t="shared" si="41"/>
        <v>4</v>
      </c>
      <c r="AK115" s="25"/>
      <c r="AL115" s="25">
        <v>4</v>
      </c>
      <c r="AM115" s="25"/>
      <c r="AN115" s="25"/>
      <c r="AO115" s="25">
        <f t="shared" si="44"/>
        <v>4</v>
      </c>
      <c r="AP115" s="13"/>
      <c r="AQ115" s="21"/>
      <c r="AR115" s="21"/>
      <c r="AS115" s="21"/>
      <c r="AT115" s="21"/>
      <c r="AU115" s="21"/>
      <c r="AV115" s="21"/>
      <c r="AW115" s="21"/>
      <c r="AX115" s="21"/>
      <c r="AY115" s="77"/>
      <c r="AZ115" s="21"/>
      <c r="BA115" s="21"/>
      <c r="BB115" s="21"/>
      <c r="BC115" s="21"/>
      <c r="BD115" s="21">
        <v>2</v>
      </c>
      <c r="BE115" s="21"/>
      <c r="BF115" s="77"/>
      <c r="BG115" s="21"/>
      <c r="BH115" s="21"/>
      <c r="BI115" s="21"/>
      <c r="BJ115" s="21"/>
      <c r="BK115" s="21"/>
      <c r="BL115" s="21"/>
      <c r="BM115" s="77"/>
      <c r="BN115" s="21"/>
      <c r="BO115" s="21"/>
      <c r="BP115" s="21"/>
      <c r="BQ115" s="21"/>
      <c r="BR115" s="21"/>
      <c r="BS115" s="21"/>
      <c r="BT115" s="96">
        <f t="shared" si="25"/>
        <v>2</v>
      </c>
      <c r="BU115" s="94">
        <f t="shared" si="26"/>
        <v>2</v>
      </c>
      <c r="BV115" s="26"/>
      <c r="BW115" s="27"/>
      <c r="BX115" s="19" t="s">
        <v>1841</v>
      </c>
      <c r="BY115" s="19" t="b">
        <f t="shared" si="43"/>
        <v>1</v>
      </c>
      <c r="BZ115" s="53" t="s">
        <v>1841</v>
      </c>
      <c r="CA115" s="19" t="s">
        <v>1898</v>
      </c>
      <c r="CB115" s="19" t="s">
        <v>886</v>
      </c>
      <c r="CC115" s="19" t="s">
        <v>887</v>
      </c>
      <c r="CD115" s="19" t="s">
        <v>896</v>
      </c>
      <c r="CE115" s="19" t="s">
        <v>897</v>
      </c>
      <c r="CF115" s="19" t="s">
        <v>898</v>
      </c>
      <c r="CG115" s="19" t="s">
        <v>899</v>
      </c>
      <c r="CH115" s="19" t="s">
        <v>875</v>
      </c>
      <c r="CI115" s="19" t="s">
        <v>876</v>
      </c>
      <c r="CJ115" s="19" t="s">
        <v>959</v>
      </c>
      <c r="CK115" s="19" t="s">
        <v>960</v>
      </c>
      <c r="CL115" s="19" t="s">
        <v>1899</v>
      </c>
      <c r="CM115" s="19" t="s">
        <v>1900</v>
      </c>
      <c r="CN115" s="19"/>
      <c r="CO115" s="19"/>
      <c r="CP115" s="19" t="s">
        <v>904</v>
      </c>
      <c r="CQ115" s="19" t="s">
        <v>905</v>
      </c>
      <c r="CR115" s="19" t="s">
        <v>906</v>
      </c>
      <c r="CS115" s="19" t="s">
        <v>907</v>
      </c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</row>
    <row r="116" spans="1:107" s="7" customFormat="1" x14ac:dyDescent="0.25">
      <c r="A116" s="19" t="s">
        <v>228</v>
      </c>
      <c r="B116" s="19" t="s">
        <v>80</v>
      </c>
      <c r="C116" s="19" t="str">
        <f t="shared" si="42"/>
        <v>95159068India</v>
      </c>
      <c r="D116" s="19">
        <v>95159068</v>
      </c>
      <c r="E116" s="19" t="s">
        <v>1841</v>
      </c>
      <c r="F116" s="19" t="s">
        <v>261</v>
      </c>
      <c r="G116" s="20" t="s">
        <v>1841</v>
      </c>
      <c r="H116" s="19"/>
      <c r="I116" s="19" t="s">
        <v>230</v>
      </c>
      <c r="J116" s="19" t="s">
        <v>243</v>
      </c>
      <c r="K116" s="19" t="s">
        <v>274</v>
      </c>
      <c r="L116" s="19" t="s">
        <v>233</v>
      </c>
      <c r="M116" s="19" t="s">
        <v>268</v>
      </c>
      <c r="N116" s="19" t="s">
        <v>247</v>
      </c>
      <c r="O116" s="19" t="s">
        <v>275</v>
      </c>
      <c r="P116" s="51" t="s">
        <v>237</v>
      </c>
      <c r="Q116" s="19" t="s">
        <v>276</v>
      </c>
      <c r="R116" s="19">
        <v>5600</v>
      </c>
      <c r="S116" s="19" t="s">
        <v>272</v>
      </c>
      <c r="T116" s="19" t="s">
        <v>263</v>
      </c>
      <c r="U116" s="20" t="s">
        <v>263</v>
      </c>
      <c r="V116" s="19" t="s">
        <v>1786</v>
      </c>
      <c r="W116" s="19" t="s">
        <v>222</v>
      </c>
      <c r="X116" s="35">
        <v>2</v>
      </c>
      <c r="Y116" s="35">
        <v>2</v>
      </c>
      <c r="Z116" s="32"/>
      <c r="AA116" s="22"/>
      <c r="AB116" s="22"/>
      <c r="AC116" s="22">
        <v>1</v>
      </c>
      <c r="AD116" s="22">
        <v>1</v>
      </c>
      <c r="AE116" s="61">
        <f t="shared" si="39"/>
        <v>2</v>
      </c>
      <c r="AF116" s="22"/>
      <c r="AG116" s="40">
        <f t="shared" si="40"/>
        <v>2</v>
      </c>
      <c r="AH116" s="24"/>
      <c r="AI116" s="24">
        <v>2</v>
      </c>
      <c r="AJ116" s="23">
        <f t="shared" si="41"/>
        <v>4</v>
      </c>
      <c r="AK116" s="25"/>
      <c r="AL116" s="25">
        <v>4</v>
      </c>
      <c r="AM116" s="25"/>
      <c r="AN116" s="25"/>
      <c r="AO116" s="25">
        <f t="shared" si="44"/>
        <v>4</v>
      </c>
      <c r="AP116" s="13"/>
      <c r="AQ116" s="21"/>
      <c r="AR116" s="21"/>
      <c r="AS116" s="21"/>
      <c r="AT116" s="21"/>
      <c r="AU116" s="21"/>
      <c r="AV116" s="21"/>
      <c r="AW116" s="21"/>
      <c r="AX116" s="21"/>
      <c r="AY116" s="77"/>
      <c r="AZ116" s="21"/>
      <c r="BA116" s="21"/>
      <c r="BB116" s="21"/>
      <c r="BC116" s="21"/>
      <c r="BD116" s="21"/>
      <c r="BE116" s="21">
        <v>2</v>
      </c>
      <c r="BF116" s="77"/>
      <c r="BG116" s="21"/>
      <c r="BH116" s="21"/>
      <c r="BI116" s="21"/>
      <c r="BJ116" s="21"/>
      <c r="BK116" s="21"/>
      <c r="BL116" s="21"/>
      <c r="BM116" s="77"/>
      <c r="BN116" s="21"/>
      <c r="BO116" s="21"/>
      <c r="BP116" s="21"/>
      <c r="BQ116" s="21"/>
      <c r="BR116" s="21"/>
      <c r="BS116" s="21"/>
      <c r="BT116" s="96">
        <f t="shared" si="25"/>
        <v>2</v>
      </c>
      <c r="BU116" s="94">
        <f t="shared" si="26"/>
        <v>2</v>
      </c>
      <c r="BV116" s="26"/>
      <c r="BW116" s="27"/>
      <c r="BX116" s="19" t="s">
        <v>1841</v>
      </c>
      <c r="BY116" s="19" t="b">
        <f t="shared" si="43"/>
        <v>1</v>
      </c>
      <c r="BZ116" s="53" t="s">
        <v>1841</v>
      </c>
      <c r="CA116" s="19" t="s">
        <v>1898</v>
      </c>
      <c r="CB116" s="19" t="s">
        <v>886</v>
      </c>
      <c r="CC116" s="19" t="s">
        <v>887</v>
      </c>
      <c r="CD116" s="19" t="s">
        <v>896</v>
      </c>
      <c r="CE116" s="19" t="s">
        <v>897</v>
      </c>
      <c r="CF116" s="19" t="s">
        <v>898</v>
      </c>
      <c r="CG116" s="19" t="s">
        <v>899</v>
      </c>
      <c r="CH116" s="19" t="s">
        <v>875</v>
      </c>
      <c r="CI116" s="19" t="s">
        <v>876</v>
      </c>
      <c r="CJ116" s="19" t="s">
        <v>959</v>
      </c>
      <c r="CK116" s="19" t="s">
        <v>960</v>
      </c>
      <c r="CL116" s="19" t="s">
        <v>1899</v>
      </c>
      <c r="CM116" s="19" t="s">
        <v>1900</v>
      </c>
      <c r="CN116" s="19"/>
      <c r="CO116" s="19"/>
      <c r="CP116" s="19" t="s">
        <v>904</v>
      </c>
      <c r="CQ116" s="19" t="s">
        <v>905</v>
      </c>
      <c r="CR116" s="19" t="s">
        <v>906</v>
      </c>
      <c r="CS116" s="19" t="s">
        <v>907</v>
      </c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</row>
    <row r="117" spans="1:107" s="7" customFormat="1" x14ac:dyDescent="0.25">
      <c r="A117" s="19" t="s">
        <v>228</v>
      </c>
      <c r="B117" s="19" t="s">
        <v>80</v>
      </c>
      <c r="C117" s="19" t="str">
        <f t="shared" si="42"/>
        <v>95158904India</v>
      </c>
      <c r="D117" s="19">
        <v>95158904</v>
      </c>
      <c r="E117" s="19" t="s">
        <v>1603</v>
      </c>
      <c r="F117" s="19" t="s">
        <v>261</v>
      </c>
      <c r="G117" s="20" t="s">
        <v>1603</v>
      </c>
      <c r="H117" s="19"/>
      <c r="I117" s="19" t="s">
        <v>230</v>
      </c>
      <c r="J117" s="19" t="s">
        <v>243</v>
      </c>
      <c r="K117" s="19" t="s">
        <v>274</v>
      </c>
      <c r="L117" s="19" t="s">
        <v>233</v>
      </c>
      <c r="M117" s="19" t="s">
        <v>268</v>
      </c>
      <c r="N117" s="19" t="s">
        <v>247</v>
      </c>
      <c r="O117" s="19" t="s">
        <v>275</v>
      </c>
      <c r="P117" s="51" t="s">
        <v>237</v>
      </c>
      <c r="Q117" s="19" t="s">
        <v>276</v>
      </c>
      <c r="R117" s="19">
        <v>5600</v>
      </c>
      <c r="S117" s="19" t="s">
        <v>272</v>
      </c>
      <c r="T117" s="19" t="s">
        <v>263</v>
      </c>
      <c r="U117" s="20" t="s">
        <v>263</v>
      </c>
      <c r="V117" s="19" t="s">
        <v>1557</v>
      </c>
      <c r="W117" s="19" t="s">
        <v>222</v>
      </c>
      <c r="X117" s="35"/>
      <c r="Y117" s="35"/>
      <c r="Z117" s="32"/>
      <c r="AA117" s="22">
        <v>1</v>
      </c>
      <c r="AB117" s="22"/>
      <c r="AC117" s="22"/>
      <c r="AD117" s="22"/>
      <c r="AE117" s="61">
        <f t="shared" si="39"/>
        <v>1</v>
      </c>
      <c r="AF117" s="22"/>
      <c r="AG117" s="40">
        <f t="shared" si="40"/>
        <v>1</v>
      </c>
      <c r="AH117" s="24"/>
      <c r="AI117" s="24"/>
      <c r="AJ117" s="23">
        <f t="shared" si="41"/>
        <v>1</v>
      </c>
      <c r="AK117" s="25"/>
      <c r="AL117" s="25">
        <v>1</v>
      </c>
      <c r="AM117" s="25"/>
      <c r="AN117" s="25"/>
      <c r="AO117" s="25">
        <f t="shared" si="44"/>
        <v>1</v>
      </c>
      <c r="AP117" s="13"/>
      <c r="AQ117" s="21"/>
      <c r="AR117" s="21"/>
      <c r="AS117" s="21"/>
      <c r="AT117" s="21"/>
      <c r="AU117" s="21"/>
      <c r="AV117" s="21"/>
      <c r="AW117" s="21"/>
      <c r="AX117" s="21"/>
      <c r="AY117" s="77"/>
      <c r="AZ117" s="21"/>
      <c r="BA117" s="21">
        <v>1</v>
      </c>
      <c r="BB117" s="21"/>
      <c r="BC117" s="21"/>
      <c r="BD117" s="21"/>
      <c r="BE117" s="21"/>
      <c r="BF117" s="77"/>
      <c r="BG117" s="21"/>
      <c r="BH117" s="21"/>
      <c r="BI117" s="21"/>
      <c r="BJ117" s="21"/>
      <c r="BK117" s="21"/>
      <c r="BL117" s="21"/>
      <c r="BM117" s="77"/>
      <c r="BN117" s="21"/>
      <c r="BO117" s="21"/>
      <c r="BP117" s="21"/>
      <c r="BQ117" s="21"/>
      <c r="BR117" s="21"/>
      <c r="BS117" s="21"/>
      <c r="BT117" s="96">
        <f t="shared" si="25"/>
        <v>1</v>
      </c>
      <c r="BU117" s="94">
        <f t="shared" si="26"/>
        <v>0</v>
      </c>
      <c r="BV117" s="26"/>
      <c r="BW117" s="27"/>
      <c r="BX117" s="19" t="s">
        <v>1603</v>
      </c>
      <c r="BY117" s="19" t="b">
        <f t="shared" si="43"/>
        <v>1</v>
      </c>
      <c r="BZ117" s="53" t="s">
        <v>1603</v>
      </c>
      <c r="CA117" s="19" t="s">
        <v>1656</v>
      </c>
      <c r="CB117" s="19" t="s">
        <v>886</v>
      </c>
      <c r="CC117" s="19" t="s">
        <v>887</v>
      </c>
      <c r="CD117" s="19" t="s">
        <v>896</v>
      </c>
      <c r="CE117" s="19" t="s">
        <v>897</v>
      </c>
      <c r="CF117" s="19" t="s">
        <v>898</v>
      </c>
      <c r="CG117" s="19" t="s">
        <v>899</v>
      </c>
      <c r="CH117" s="19" t="s">
        <v>875</v>
      </c>
      <c r="CI117" s="19" t="s">
        <v>876</v>
      </c>
      <c r="CJ117" s="19" t="s">
        <v>965</v>
      </c>
      <c r="CK117" s="19" t="s">
        <v>966</v>
      </c>
      <c r="CL117" s="19" t="s">
        <v>1657</v>
      </c>
      <c r="CM117" s="19" t="s">
        <v>1658</v>
      </c>
      <c r="CN117" s="19"/>
      <c r="CO117" s="19"/>
      <c r="CP117" s="19" t="s">
        <v>904</v>
      </c>
      <c r="CQ117" s="19" t="s">
        <v>905</v>
      </c>
      <c r="CR117" s="19" t="s">
        <v>906</v>
      </c>
      <c r="CS117" s="19" t="s">
        <v>907</v>
      </c>
      <c r="CT117" s="19"/>
      <c r="CU117" s="19"/>
      <c r="CV117" s="19"/>
      <c r="CW117" s="19"/>
      <c r="CX117" s="19"/>
      <c r="CY117" s="19"/>
      <c r="CZ117" s="19"/>
      <c r="DA117" s="19"/>
      <c r="DB117" s="19"/>
      <c r="DC117" s="19"/>
    </row>
    <row r="118" spans="1:107" s="7" customFormat="1" x14ac:dyDescent="0.25">
      <c r="A118" s="19" t="s">
        <v>228</v>
      </c>
      <c r="B118" s="19" t="s">
        <v>80</v>
      </c>
      <c r="C118" s="19" t="str">
        <f t="shared" si="42"/>
        <v>95158916India</v>
      </c>
      <c r="D118" s="19">
        <v>95158916</v>
      </c>
      <c r="E118" s="19" t="s">
        <v>281</v>
      </c>
      <c r="F118" s="19" t="s">
        <v>261</v>
      </c>
      <c r="G118" s="20" t="s">
        <v>281</v>
      </c>
      <c r="H118" s="19"/>
      <c r="I118" s="19" t="s">
        <v>230</v>
      </c>
      <c r="J118" s="19" t="s">
        <v>243</v>
      </c>
      <c r="K118" s="19" t="s">
        <v>274</v>
      </c>
      <c r="L118" s="19" t="s">
        <v>282</v>
      </c>
      <c r="M118" s="19" t="s">
        <v>268</v>
      </c>
      <c r="N118" s="19" t="s">
        <v>247</v>
      </c>
      <c r="O118" s="19" t="s">
        <v>275</v>
      </c>
      <c r="P118" s="51" t="s">
        <v>237</v>
      </c>
      <c r="Q118" s="19" t="s">
        <v>276</v>
      </c>
      <c r="R118" s="19">
        <v>5600</v>
      </c>
      <c r="S118" s="19" t="s">
        <v>272</v>
      </c>
      <c r="T118" s="19" t="s">
        <v>263</v>
      </c>
      <c r="U118" s="20" t="s">
        <v>263</v>
      </c>
      <c r="V118" s="19" t="s">
        <v>190</v>
      </c>
      <c r="W118" s="19" t="s">
        <v>221</v>
      </c>
      <c r="X118" s="35">
        <v>16</v>
      </c>
      <c r="Y118" s="35">
        <v>5</v>
      </c>
      <c r="Z118" s="32"/>
      <c r="AA118" s="22">
        <v>3</v>
      </c>
      <c r="AB118" s="22">
        <v>7</v>
      </c>
      <c r="AC118" s="22">
        <v>6</v>
      </c>
      <c r="AD118" s="22">
        <v>5</v>
      </c>
      <c r="AE118" s="61">
        <f t="shared" si="39"/>
        <v>21</v>
      </c>
      <c r="AF118" s="22"/>
      <c r="AG118" s="40">
        <f t="shared" si="40"/>
        <v>21</v>
      </c>
      <c r="AH118" s="24">
        <v>4</v>
      </c>
      <c r="AI118" s="24">
        <v>16</v>
      </c>
      <c r="AJ118" s="23">
        <f t="shared" si="41"/>
        <v>33</v>
      </c>
      <c r="AK118" s="25"/>
      <c r="AL118" s="25">
        <v>33</v>
      </c>
      <c r="AM118" s="25"/>
      <c r="AN118" s="25"/>
      <c r="AO118" s="25">
        <f t="shared" si="44"/>
        <v>33</v>
      </c>
      <c r="AP118" s="13">
        <v>4</v>
      </c>
      <c r="AQ118" s="21">
        <v>2</v>
      </c>
      <c r="AR118" s="21">
        <v>2</v>
      </c>
      <c r="AS118" s="21"/>
      <c r="AT118" s="21"/>
      <c r="AU118" s="21"/>
      <c r="AV118" s="21"/>
      <c r="AW118" s="21"/>
      <c r="AX118" s="21"/>
      <c r="AY118" s="77"/>
      <c r="AZ118" s="21">
        <v>2</v>
      </c>
      <c r="BA118" s="21"/>
      <c r="BB118" s="21">
        <v>2</v>
      </c>
      <c r="BC118" s="21"/>
      <c r="BD118" s="21"/>
      <c r="BE118" s="21"/>
      <c r="BF118" s="77"/>
      <c r="BG118" s="21">
        <v>3</v>
      </c>
      <c r="BH118" s="21">
        <v>5</v>
      </c>
      <c r="BI118" s="21">
        <v>5</v>
      </c>
      <c r="BJ118" s="21"/>
      <c r="BK118" s="21"/>
      <c r="BL118" s="21"/>
      <c r="BM118" s="77"/>
      <c r="BN118" s="21"/>
      <c r="BO118" s="21"/>
      <c r="BP118" s="21"/>
      <c r="BQ118" s="21"/>
      <c r="BR118" s="21"/>
      <c r="BS118" s="21"/>
      <c r="BT118" s="96">
        <f t="shared" si="25"/>
        <v>21</v>
      </c>
      <c r="BU118" s="94">
        <f t="shared" si="26"/>
        <v>12</v>
      </c>
      <c r="BV118" s="26"/>
      <c r="BW118" s="27"/>
      <c r="BX118" s="19" t="s">
        <v>281</v>
      </c>
      <c r="BY118" s="19" t="b">
        <f t="shared" si="43"/>
        <v>1</v>
      </c>
      <c r="BZ118" s="53" t="s">
        <v>281</v>
      </c>
      <c r="CA118" s="19" t="s">
        <v>956</v>
      </c>
      <c r="CB118" s="19" t="s">
        <v>886</v>
      </c>
      <c r="CC118" s="19" t="s">
        <v>887</v>
      </c>
      <c r="CD118" s="19" t="s">
        <v>908</v>
      </c>
      <c r="CE118" s="19" t="s">
        <v>909</v>
      </c>
      <c r="CF118" s="19" t="s">
        <v>898</v>
      </c>
      <c r="CG118" s="19" t="s">
        <v>899</v>
      </c>
      <c r="CH118" s="19" t="s">
        <v>875</v>
      </c>
      <c r="CI118" s="19" t="s">
        <v>876</v>
      </c>
      <c r="CJ118" s="19" t="s">
        <v>957</v>
      </c>
      <c r="CK118" s="19" t="s">
        <v>958</v>
      </c>
      <c r="CL118" s="19" t="s">
        <v>954</v>
      </c>
      <c r="CM118" s="19" t="s">
        <v>955</v>
      </c>
      <c r="CN118" s="19"/>
      <c r="CO118" s="19"/>
      <c r="CP118" s="19" t="s">
        <v>904</v>
      </c>
      <c r="CQ118" s="19" t="s">
        <v>905</v>
      </c>
      <c r="CR118" s="19" t="s">
        <v>910</v>
      </c>
      <c r="CS118" s="19" t="s">
        <v>911</v>
      </c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</row>
    <row r="119" spans="1:107" s="7" customFormat="1" x14ac:dyDescent="0.25">
      <c r="A119" s="19" t="s">
        <v>228</v>
      </c>
      <c r="B119" s="19" t="s">
        <v>80</v>
      </c>
      <c r="C119" s="19" t="str">
        <f t="shared" si="42"/>
        <v>95159050India</v>
      </c>
      <c r="D119" s="19">
        <v>95159050</v>
      </c>
      <c r="E119" s="19" t="s">
        <v>466</v>
      </c>
      <c r="F119" s="19" t="s">
        <v>261</v>
      </c>
      <c r="G119" s="20" t="s">
        <v>466</v>
      </c>
      <c r="H119" s="19"/>
      <c r="I119" s="19" t="s">
        <v>230</v>
      </c>
      <c r="J119" s="19" t="s">
        <v>243</v>
      </c>
      <c r="K119" s="19" t="s">
        <v>274</v>
      </c>
      <c r="L119" s="19" t="s">
        <v>233</v>
      </c>
      <c r="M119" s="19" t="s">
        <v>268</v>
      </c>
      <c r="N119" s="19" t="s">
        <v>247</v>
      </c>
      <c r="O119" s="19" t="s">
        <v>275</v>
      </c>
      <c r="P119" s="51" t="s">
        <v>237</v>
      </c>
      <c r="Q119" s="19" t="s">
        <v>276</v>
      </c>
      <c r="R119" s="19">
        <v>5600</v>
      </c>
      <c r="S119" s="19" t="s">
        <v>272</v>
      </c>
      <c r="T119" s="19" t="s">
        <v>263</v>
      </c>
      <c r="U119" s="20" t="s">
        <v>263</v>
      </c>
      <c r="V119" s="19" t="s">
        <v>191</v>
      </c>
      <c r="W119" s="19" t="s">
        <v>222</v>
      </c>
      <c r="X119" s="35">
        <v>8</v>
      </c>
      <c r="Y119" s="35">
        <v>7</v>
      </c>
      <c r="Z119" s="32"/>
      <c r="AA119" s="22">
        <v>5</v>
      </c>
      <c r="AB119" s="22">
        <v>1</v>
      </c>
      <c r="AC119" s="22">
        <v>2</v>
      </c>
      <c r="AD119" s="22">
        <v>1</v>
      </c>
      <c r="AE119" s="61">
        <f t="shared" si="39"/>
        <v>9</v>
      </c>
      <c r="AF119" s="22"/>
      <c r="AG119" s="40">
        <f t="shared" si="40"/>
        <v>9</v>
      </c>
      <c r="AH119" s="24"/>
      <c r="AI119" s="24">
        <v>8</v>
      </c>
      <c r="AJ119" s="23">
        <f t="shared" si="41"/>
        <v>17</v>
      </c>
      <c r="AK119" s="25"/>
      <c r="AL119" s="25">
        <v>17</v>
      </c>
      <c r="AM119" s="25"/>
      <c r="AN119" s="25"/>
      <c r="AO119" s="25">
        <f t="shared" si="44"/>
        <v>17</v>
      </c>
      <c r="AP119" s="13"/>
      <c r="AQ119" s="21"/>
      <c r="AR119" s="21"/>
      <c r="AS119" s="21"/>
      <c r="AT119" s="21"/>
      <c r="AU119" s="21"/>
      <c r="AV119" s="21"/>
      <c r="AW119" s="21"/>
      <c r="AX119" s="21"/>
      <c r="AY119" s="77"/>
      <c r="AZ119" s="21"/>
      <c r="BA119" s="21"/>
      <c r="BB119" s="21"/>
      <c r="BC119" s="21"/>
      <c r="BD119" s="21"/>
      <c r="BE119" s="21"/>
      <c r="BF119" s="77"/>
      <c r="BG119" s="21">
        <v>3</v>
      </c>
      <c r="BH119" s="21">
        <v>3</v>
      </c>
      <c r="BI119" s="21">
        <v>3</v>
      </c>
      <c r="BJ119" s="21"/>
      <c r="BK119" s="21"/>
      <c r="BL119" s="21"/>
      <c r="BM119" s="77"/>
      <c r="BN119" s="21"/>
      <c r="BO119" s="21"/>
      <c r="BP119" s="21"/>
      <c r="BQ119" s="21"/>
      <c r="BR119" s="21"/>
      <c r="BS119" s="21"/>
      <c r="BT119" s="96">
        <f t="shared" si="25"/>
        <v>9</v>
      </c>
      <c r="BU119" s="94">
        <f t="shared" si="26"/>
        <v>8</v>
      </c>
      <c r="BV119" s="26"/>
      <c r="BW119" s="27"/>
      <c r="BX119" s="19" t="s">
        <v>466</v>
      </c>
      <c r="BY119" s="19" t="b">
        <f t="shared" si="43"/>
        <v>1</v>
      </c>
      <c r="BZ119" s="53" t="s">
        <v>466</v>
      </c>
      <c r="CA119" s="19" t="s">
        <v>974</v>
      </c>
      <c r="CB119" s="19" t="s">
        <v>886</v>
      </c>
      <c r="CC119" s="19" t="s">
        <v>887</v>
      </c>
      <c r="CD119" s="19" t="s">
        <v>908</v>
      </c>
      <c r="CE119" s="19" t="s">
        <v>909</v>
      </c>
      <c r="CF119" s="19" t="s">
        <v>898</v>
      </c>
      <c r="CG119" s="19" t="s">
        <v>899</v>
      </c>
      <c r="CH119" s="19" t="s">
        <v>875</v>
      </c>
      <c r="CI119" s="19" t="s">
        <v>876</v>
      </c>
      <c r="CJ119" s="19" t="s">
        <v>959</v>
      </c>
      <c r="CK119" s="19" t="s">
        <v>960</v>
      </c>
      <c r="CL119" s="19" t="s">
        <v>967</v>
      </c>
      <c r="CM119" s="19" t="s">
        <v>968</v>
      </c>
      <c r="CN119" s="19"/>
      <c r="CO119" s="19"/>
      <c r="CP119" s="19" t="s">
        <v>904</v>
      </c>
      <c r="CQ119" s="19" t="s">
        <v>905</v>
      </c>
      <c r="CR119" s="19" t="s">
        <v>910</v>
      </c>
      <c r="CS119" s="19" t="s">
        <v>911</v>
      </c>
      <c r="CT119" s="19"/>
      <c r="CU119" s="19"/>
      <c r="CV119" s="19"/>
      <c r="CW119" s="19"/>
      <c r="CX119" s="19"/>
      <c r="CY119" s="19"/>
      <c r="CZ119" s="19"/>
      <c r="DA119" s="19"/>
      <c r="DB119" s="19"/>
      <c r="DC119" s="19"/>
    </row>
    <row r="120" spans="1:107" s="7" customFormat="1" x14ac:dyDescent="0.25">
      <c r="A120" s="19" t="s">
        <v>228</v>
      </c>
      <c r="B120" s="19" t="s">
        <v>80</v>
      </c>
      <c r="C120" s="19" t="str">
        <f t="shared" si="42"/>
        <v>95155497India</v>
      </c>
      <c r="D120" s="19">
        <v>95155497</v>
      </c>
      <c r="E120" s="19" t="s">
        <v>469</v>
      </c>
      <c r="F120" s="19" t="s">
        <v>261</v>
      </c>
      <c r="G120" s="20" t="s">
        <v>469</v>
      </c>
      <c r="H120" s="19"/>
      <c r="I120" s="19" t="s">
        <v>230</v>
      </c>
      <c r="J120" s="19" t="s">
        <v>243</v>
      </c>
      <c r="K120" s="19" t="s">
        <v>274</v>
      </c>
      <c r="L120" s="19" t="s">
        <v>282</v>
      </c>
      <c r="M120" s="19" t="s">
        <v>268</v>
      </c>
      <c r="N120" s="19" t="s">
        <v>247</v>
      </c>
      <c r="O120" s="19" t="s">
        <v>275</v>
      </c>
      <c r="P120" s="51" t="s">
        <v>237</v>
      </c>
      <c r="Q120" s="19" t="s">
        <v>276</v>
      </c>
      <c r="R120" s="19">
        <v>5600</v>
      </c>
      <c r="S120" s="19" t="s">
        <v>462</v>
      </c>
      <c r="T120" s="19" t="s">
        <v>263</v>
      </c>
      <c r="U120" s="20" t="s">
        <v>263</v>
      </c>
      <c r="V120" s="19" t="s">
        <v>1792</v>
      </c>
      <c r="W120" s="19" t="s">
        <v>221</v>
      </c>
      <c r="X120" s="35">
        <v>2</v>
      </c>
      <c r="Y120" s="35">
        <v>2</v>
      </c>
      <c r="Z120" s="32"/>
      <c r="AA120" s="22">
        <v>4</v>
      </c>
      <c r="AB120" s="22"/>
      <c r="AC120" s="22"/>
      <c r="AD120" s="22">
        <v>2</v>
      </c>
      <c r="AE120" s="61">
        <f t="shared" si="39"/>
        <v>6</v>
      </c>
      <c r="AF120" s="22"/>
      <c r="AG120" s="40">
        <f t="shared" si="40"/>
        <v>6</v>
      </c>
      <c r="AH120" s="24">
        <v>5</v>
      </c>
      <c r="AI120" s="24"/>
      <c r="AJ120" s="23">
        <f t="shared" si="41"/>
        <v>1</v>
      </c>
      <c r="AK120" s="25"/>
      <c r="AL120" s="25">
        <v>1</v>
      </c>
      <c r="AM120" s="25"/>
      <c r="AN120" s="25"/>
      <c r="AO120" s="25">
        <f t="shared" si="44"/>
        <v>1</v>
      </c>
      <c r="AP120" s="13">
        <v>5</v>
      </c>
      <c r="AQ120" s="21">
        <v>2</v>
      </c>
      <c r="AR120" s="21">
        <v>3</v>
      </c>
      <c r="AS120" s="21"/>
      <c r="AT120" s="21"/>
      <c r="AU120" s="21"/>
      <c r="AV120" s="21"/>
      <c r="AW120" s="21"/>
      <c r="AX120" s="21"/>
      <c r="AY120" s="77"/>
      <c r="AZ120" s="21">
        <v>1</v>
      </c>
      <c r="BA120" s="21"/>
      <c r="BB120" s="21"/>
      <c r="BC120" s="21"/>
      <c r="BD120" s="21"/>
      <c r="BE120" s="21"/>
      <c r="BF120" s="77"/>
      <c r="BG120" s="21"/>
      <c r="BH120" s="21"/>
      <c r="BI120" s="21"/>
      <c r="BJ120" s="21"/>
      <c r="BK120" s="21"/>
      <c r="BL120" s="21"/>
      <c r="BM120" s="77"/>
      <c r="BN120" s="21"/>
      <c r="BO120" s="21"/>
      <c r="BP120" s="21"/>
      <c r="BQ120" s="21"/>
      <c r="BR120" s="21"/>
      <c r="BS120" s="21"/>
      <c r="BT120" s="96">
        <f t="shared" si="25"/>
        <v>6</v>
      </c>
      <c r="BU120" s="94">
        <f t="shared" si="26"/>
        <v>-5</v>
      </c>
      <c r="BV120" s="26"/>
      <c r="BW120" s="27"/>
      <c r="BX120" s="19" t="s">
        <v>469</v>
      </c>
      <c r="BY120" s="19" t="b">
        <f t="shared" si="43"/>
        <v>1</v>
      </c>
      <c r="BZ120" s="53" t="s">
        <v>469</v>
      </c>
      <c r="CA120" s="19" t="s">
        <v>975</v>
      </c>
      <c r="CB120" s="19" t="s">
        <v>886</v>
      </c>
      <c r="CC120" s="19" t="s">
        <v>976</v>
      </c>
      <c r="CD120" s="19" t="s">
        <v>908</v>
      </c>
      <c r="CE120" s="19" t="s">
        <v>909</v>
      </c>
      <c r="CF120" s="19" t="s">
        <v>898</v>
      </c>
      <c r="CG120" s="19" t="s">
        <v>899</v>
      </c>
      <c r="CH120" s="19" t="s">
        <v>875</v>
      </c>
      <c r="CI120" s="19" t="s">
        <v>876</v>
      </c>
      <c r="CJ120" s="19" t="s">
        <v>957</v>
      </c>
      <c r="CK120" s="19" t="s">
        <v>958</v>
      </c>
      <c r="CL120" s="19" t="s">
        <v>977</v>
      </c>
      <c r="CM120" s="19" t="s">
        <v>978</v>
      </c>
      <c r="CN120" s="19"/>
      <c r="CO120" s="19"/>
      <c r="CP120" s="19" t="s">
        <v>904</v>
      </c>
      <c r="CQ120" s="19" t="s">
        <v>905</v>
      </c>
      <c r="CR120" s="19" t="s">
        <v>910</v>
      </c>
      <c r="CS120" s="19" t="s">
        <v>911</v>
      </c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</row>
    <row r="121" spans="1:107" s="7" customFormat="1" x14ac:dyDescent="0.25">
      <c r="A121" s="19" t="s">
        <v>228</v>
      </c>
      <c r="B121" s="19" t="s">
        <v>80</v>
      </c>
      <c r="C121" s="19" t="str">
        <f t="shared" si="42"/>
        <v>95155500India</v>
      </c>
      <c r="D121" s="19">
        <v>95155500</v>
      </c>
      <c r="E121" s="19" t="s">
        <v>469</v>
      </c>
      <c r="F121" s="19" t="s">
        <v>261</v>
      </c>
      <c r="G121" s="20" t="s">
        <v>469</v>
      </c>
      <c r="H121" s="19"/>
      <c r="I121" s="19" t="s">
        <v>230</v>
      </c>
      <c r="J121" s="19" t="s">
        <v>243</v>
      </c>
      <c r="K121" s="19" t="s">
        <v>274</v>
      </c>
      <c r="L121" s="19" t="s">
        <v>282</v>
      </c>
      <c r="M121" s="19" t="s">
        <v>268</v>
      </c>
      <c r="N121" s="19" t="s">
        <v>247</v>
      </c>
      <c r="O121" s="19" t="s">
        <v>275</v>
      </c>
      <c r="P121" s="51" t="s">
        <v>237</v>
      </c>
      <c r="Q121" s="19" t="s">
        <v>276</v>
      </c>
      <c r="R121" s="19">
        <v>5600</v>
      </c>
      <c r="S121" s="19" t="s">
        <v>422</v>
      </c>
      <c r="T121" s="19" t="s">
        <v>263</v>
      </c>
      <c r="U121" s="20" t="s">
        <v>1861</v>
      </c>
      <c r="V121" s="19" t="s">
        <v>194</v>
      </c>
      <c r="W121" s="19" t="s">
        <v>221</v>
      </c>
      <c r="X121" s="35">
        <v>26</v>
      </c>
      <c r="Y121" s="35">
        <v>12</v>
      </c>
      <c r="Z121" s="32"/>
      <c r="AA121" s="22">
        <v>12</v>
      </c>
      <c r="AB121" s="22">
        <v>3</v>
      </c>
      <c r="AC121" s="22">
        <v>6</v>
      </c>
      <c r="AD121" s="22">
        <v>12</v>
      </c>
      <c r="AE121" s="61">
        <f t="shared" si="39"/>
        <v>33</v>
      </c>
      <c r="AF121" s="22"/>
      <c r="AG121" s="40">
        <f t="shared" si="40"/>
        <v>33</v>
      </c>
      <c r="AH121" s="24"/>
      <c r="AI121" s="24"/>
      <c r="AJ121" s="23">
        <f t="shared" si="41"/>
        <v>33</v>
      </c>
      <c r="AK121" s="25">
        <v>33</v>
      </c>
      <c r="AL121" s="25"/>
      <c r="AM121" s="25"/>
      <c r="AN121" s="25"/>
      <c r="AO121" s="25">
        <f t="shared" si="44"/>
        <v>33</v>
      </c>
      <c r="AP121" s="13"/>
      <c r="AQ121" s="21"/>
      <c r="AR121" s="21"/>
      <c r="AS121" s="21">
        <v>13</v>
      </c>
      <c r="AT121" s="21">
        <v>20</v>
      </c>
      <c r="AU121" s="21"/>
      <c r="AV121" s="21"/>
      <c r="AW121" s="21"/>
      <c r="AX121" s="21"/>
      <c r="AY121" s="77"/>
      <c r="AZ121" s="21"/>
      <c r="BA121" s="21"/>
      <c r="BB121" s="21"/>
      <c r="BC121" s="21"/>
      <c r="BD121" s="21"/>
      <c r="BE121" s="21"/>
      <c r="BF121" s="77"/>
      <c r="BG121" s="21"/>
      <c r="BH121" s="21"/>
      <c r="BI121" s="21"/>
      <c r="BJ121" s="21"/>
      <c r="BK121" s="21"/>
      <c r="BL121" s="21"/>
      <c r="BM121" s="77"/>
      <c r="BN121" s="21"/>
      <c r="BO121" s="21"/>
      <c r="BP121" s="21"/>
      <c r="BQ121" s="21"/>
      <c r="BR121" s="21"/>
      <c r="BS121" s="21"/>
      <c r="BT121" s="96">
        <f t="shared" si="25"/>
        <v>33</v>
      </c>
      <c r="BU121" s="94">
        <f t="shared" si="26"/>
        <v>0</v>
      </c>
      <c r="BV121" s="26"/>
      <c r="BW121" s="27"/>
      <c r="BX121" s="19" t="s">
        <v>469</v>
      </c>
      <c r="BY121" s="19" t="b">
        <f t="shared" si="43"/>
        <v>1</v>
      </c>
      <c r="BZ121" s="53" t="s">
        <v>469</v>
      </c>
      <c r="CA121" s="19" t="s">
        <v>975</v>
      </c>
      <c r="CB121" s="19" t="s">
        <v>886</v>
      </c>
      <c r="CC121" s="19" t="s">
        <v>976</v>
      </c>
      <c r="CD121" s="19" t="s">
        <v>908</v>
      </c>
      <c r="CE121" s="19" t="s">
        <v>909</v>
      </c>
      <c r="CF121" s="19" t="s">
        <v>898</v>
      </c>
      <c r="CG121" s="19" t="s">
        <v>899</v>
      </c>
      <c r="CH121" s="19" t="s">
        <v>875</v>
      </c>
      <c r="CI121" s="19" t="s">
        <v>876</v>
      </c>
      <c r="CJ121" s="19" t="s">
        <v>957</v>
      </c>
      <c r="CK121" s="19" t="s">
        <v>958</v>
      </c>
      <c r="CL121" s="19" t="s">
        <v>977</v>
      </c>
      <c r="CM121" s="19" t="s">
        <v>978</v>
      </c>
      <c r="CN121" s="19"/>
      <c r="CO121" s="19"/>
      <c r="CP121" s="19" t="s">
        <v>904</v>
      </c>
      <c r="CQ121" s="19" t="s">
        <v>905</v>
      </c>
      <c r="CR121" s="19" t="s">
        <v>910</v>
      </c>
      <c r="CS121" s="19" t="s">
        <v>911</v>
      </c>
      <c r="CT121" s="19"/>
      <c r="CU121" s="19"/>
      <c r="CV121" s="19"/>
      <c r="CW121" s="19"/>
      <c r="CX121" s="19"/>
      <c r="CY121" s="19"/>
      <c r="CZ121" s="19"/>
      <c r="DA121" s="19"/>
      <c r="DB121" s="19"/>
      <c r="DC121" s="19"/>
    </row>
    <row r="122" spans="1:107" s="7" customFormat="1" x14ac:dyDescent="0.25">
      <c r="A122" s="19" t="s">
        <v>228</v>
      </c>
      <c r="B122" s="19" t="s">
        <v>80</v>
      </c>
      <c r="C122" s="19" t="str">
        <f t="shared" si="42"/>
        <v>95156779India</v>
      </c>
      <c r="D122" s="19">
        <v>95156779</v>
      </c>
      <c r="E122" s="19" t="s">
        <v>471</v>
      </c>
      <c r="F122" s="19" t="s">
        <v>261</v>
      </c>
      <c r="G122" s="20" t="s">
        <v>471</v>
      </c>
      <c r="H122" s="19"/>
      <c r="I122" s="19" t="s">
        <v>230</v>
      </c>
      <c r="J122" s="19" t="s">
        <v>243</v>
      </c>
      <c r="K122" s="19" t="s">
        <v>274</v>
      </c>
      <c r="L122" s="19" t="s">
        <v>233</v>
      </c>
      <c r="M122" s="19" t="s">
        <v>268</v>
      </c>
      <c r="N122" s="19" t="s">
        <v>247</v>
      </c>
      <c r="O122" s="19" t="s">
        <v>275</v>
      </c>
      <c r="P122" s="51" t="s">
        <v>237</v>
      </c>
      <c r="Q122" s="19" t="s">
        <v>276</v>
      </c>
      <c r="R122" s="19">
        <v>5600</v>
      </c>
      <c r="S122" s="19" t="s">
        <v>272</v>
      </c>
      <c r="T122" s="19" t="s">
        <v>263</v>
      </c>
      <c r="U122" s="20" t="s">
        <v>263</v>
      </c>
      <c r="V122" s="19" t="s">
        <v>196</v>
      </c>
      <c r="W122" s="19" t="s">
        <v>222</v>
      </c>
      <c r="X122" s="35">
        <v>2</v>
      </c>
      <c r="Y122" s="35">
        <v>2</v>
      </c>
      <c r="Z122" s="32"/>
      <c r="AA122" s="22"/>
      <c r="AB122" s="22">
        <v>1</v>
      </c>
      <c r="AC122" s="22">
        <v>3</v>
      </c>
      <c r="AD122" s="22"/>
      <c r="AE122" s="61">
        <f t="shared" si="39"/>
        <v>4</v>
      </c>
      <c r="AF122" s="22"/>
      <c r="AG122" s="40">
        <f t="shared" si="40"/>
        <v>4</v>
      </c>
      <c r="AH122" s="24"/>
      <c r="AI122" s="24">
        <v>2</v>
      </c>
      <c r="AJ122" s="23">
        <f t="shared" si="41"/>
        <v>6</v>
      </c>
      <c r="AK122" s="25">
        <v>6</v>
      </c>
      <c r="AL122" s="25"/>
      <c r="AM122" s="25"/>
      <c r="AN122" s="25"/>
      <c r="AO122" s="25">
        <f t="shared" si="44"/>
        <v>6</v>
      </c>
      <c r="AP122" s="13"/>
      <c r="AQ122" s="21"/>
      <c r="AR122" s="21"/>
      <c r="AS122" s="21">
        <v>2</v>
      </c>
      <c r="AT122" s="21">
        <v>2</v>
      </c>
      <c r="AU122" s="21"/>
      <c r="AV122" s="21"/>
      <c r="AW122" s="21"/>
      <c r="AX122" s="21"/>
      <c r="AY122" s="77"/>
      <c r="AZ122" s="21"/>
      <c r="BA122" s="21"/>
      <c r="BB122" s="21"/>
      <c r="BC122" s="21"/>
      <c r="BD122" s="21"/>
      <c r="BE122" s="21"/>
      <c r="BF122" s="77"/>
      <c r="BG122" s="21"/>
      <c r="BH122" s="21"/>
      <c r="BI122" s="21"/>
      <c r="BJ122" s="21"/>
      <c r="BK122" s="21"/>
      <c r="BL122" s="21"/>
      <c r="BM122" s="77"/>
      <c r="BN122" s="21"/>
      <c r="BO122" s="21"/>
      <c r="BP122" s="21"/>
      <c r="BQ122" s="21"/>
      <c r="BR122" s="21"/>
      <c r="BS122" s="21"/>
      <c r="BT122" s="96">
        <f t="shared" si="25"/>
        <v>4</v>
      </c>
      <c r="BU122" s="94">
        <f t="shared" si="26"/>
        <v>2</v>
      </c>
      <c r="BV122" s="26"/>
      <c r="BW122" s="27"/>
      <c r="BX122" s="19" t="s">
        <v>471</v>
      </c>
      <c r="BY122" s="19" t="b">
        <f t="shared" si="43"/>
        <v>1</v>
      </c>
      <c r="BZ122" s="53" t="s">
        <v>471</v>
      </c>
      <c r="CA122" s="19" t="s">
        <v>979</v>
      </c>
      <c r="CB122" s="19" t="s">
        <v>886</v>
      </c>
      <c r="CC122" s="19" t="s">
        <v>887</v>
      </c>
      <c r="CD122" s="19" t="s">
        <v>908</v>
      </c>
      <c r="CE122" s="19" t="s">
        <v>909</v>
      </c>
      <c r="CF122" s="19" t="s">
        <v>898</v>
      </c>
      <c r="CG122" s="19" t="s">
        <v>899</v>
      </c>
      <c r="CH122" s="19" t="s">
        <v>875</v>
      </c>
      <c r="CI122" s="19" t="s">
        <v>876</v>
      </c>
      <c r="CJ122" s="19" t="s">
        <v>952</v>
      </c>
      <c r="CK122" s="19" t="s">
        <v>953</v>
      </c>
      <c r="CL122" s="19" t="s">
        <v>954</v>
      </c>
      <c r="CM122" s="19" t="s">
        <v>955</v>
      </c>
      <c r="CN122" s="19"/>
      <c r="CO122" s="19"/>
      <c r="CP122" s="19" t="s">
        <v>904</v>
      </c>
      <c r="CQ122" s="19" t="s">
        <v>905</v>
      </c>
      <c r="CR122" s="19" t="s">
        <v>910</v>
      </c>
      <c r="CS122" s="19" t="s">
        <v>911</v>
      </c>
      <c r="CT122" s="19"/>
      <c r="CU122" s="19"/>
      <c r="CV122" s="19"/>
      <c r="CW122" s="19"/>
      <c r="CX122" s="19"/>
      <c r="CY122" s="19"/>
      <c r="CZ122" s="19"/>
      <c r="DA122" s="19"/>
      <c r="DB122" s="19"/>
      <c r="DC122" s="19"/>
    </row>
    <row r="123" spans="1:107" s="7" customFormat="1" x14ac:dyDescent="0.25">
      <c r="A123" s="19" t="s">
        <v>228</v>
      </c>
      <c r="B123" s="19" t="s">
        <v>80</v>
      </c>
      <c r="C123" s="19" t="str">
        <f t="shared" si="42"/>
        <v>95159056India</v>
      </c>
      <c r="D123" s="19">
        <v>95159056</v>
      </c>
      <c r="E123" s="19" t="s">
        <v>472</v>
      </c>
      <c r="F123" s="19" t="s">
        <v>261</v>
      </c>
      <c r="G123" s="20" t="s">
        <v>472</v>
      </c>
      <c r="H123" s="19"/>
      <c r="I123" s="19" t="s">
        <v>230</v>
      </c>
      <c r="J123" s="19" t="s">
        <v>243</v>
      </c>
      <c r="K123" s="19" t="s">
        <v>274</v>
      </c>
      <c r="L123" s="19" t="s">
        <v>282</v>
      </c>
      <c r="M123" s="19" t="s">
        <v>268</v>
      </c>
      <c r="N123" s="19" t="s">
        <v>247</v>
      </c>
      <c r="O123" s="19" t="s">
        <v>275</v>
      </c>
      <c r="P123" s="51" t="s">
        <v>237</v>
      </c>
      <c r="Q123" s="19" t="s">
        <v>276</v>
      </c>
      <c r="R123" s="19">
        <v>5600</v>
      </c>
      <c r="S123" s="19" t="s">
        <v>272</v>
      </c>
      <c r="T123" s="19" t="s">
        <v>263</v>
      </c>
      <c r="U123" s="20" t="s">
        <v>263</v>
      </c>
      <c r="V123" s="19" t="s">
        <v>197</v>
      </c>
      <c r="W123" s="19" t="s">
        <v>221</v>
      </c>
      <c r="X123" s="35">
        <v>11</v>
      </c>
      <c r="Y123" s="35">
        <v>3</v>
      </c>
      <c r="Z123" s="32"/>
      <c r="AA123" s="22">
        <v>14</v>
      </c>
      <c r="AB123" s="22">
        <v>4</v>
      </c>
      <c r="AC123" s="22">
        <v>2</v>
      </c>
      <c r="AD123" s="22">
        <v>6</v>
      </c>
      <c r="AE123" s="61">
        <f t="shared" si="39"/>
        <v>26</v>
      </c>
      <c r="AF123" s="22"/>
      <c r="AG123" s="40">
        <f t="shared" si="40"/>
        <v>26</v>
      </c>
      <c r="AH123" s="24"/>
      <c r="AI123" s="24">
        <v>11</v>
      </c>
      <c r="AJ123" s="23">
        <f t="shared" si="41"/>
        <v>37</v>
      </c>
      <c r="AK123" s="25">
        <v>37</v>
      </c>
      <c r="AL123" s="25"/>
      <c r="AM123" s="25"/>
      <c r="AN123" s="25"/>
      <c r="AO123" s="25">
        <f t="shared" si="44"/>
        <v>37</v>
      </c>
      <c r="AP123" s="13"/>
      <c r="AQ123" s="21"/>
      <c r="AR123" s="21"/>
      <c r="AS123" s="21"/>
      <c r="AT123" s="21"/>
      <c r="AU123" s="21">
        <v>5</v>
      </c>
      <c r="AV123" s="21">
        <v>5</v>
      </c>
      <c r="AW123" s="21">
        <v>5</v>
      </c>
      <c r="AX123" s="21">
        <v>5</v>
      </c>
      <c r="AY123" s="77"/>
      <c r="AZ123" s="21">
        <v>3</v>
      </c>
      <c r="BA123" s="21">
        <v>3</v>
      </c>
      <c r="BB123" s="21"/>
      <c r="BC123" s="21"/>
      <c r="BD123" s="21"/>
      <c r="BE123" s="21"/>
      <c r="BF123" s="77"/>
      <c r="BG123" s="21"/>
      <c r="BH123" s="21"/>
      <c r="BI123" s="21"/>
      <c r="BJ123" s="21"/>
      <c r="BK123" s="21"/>
      <c r="BL123" s="21"/>
      <c r="BM123" s="77"/>
      <c r="BN123" s="21"/>
      <c r="BO123" s="21"/>
      <c r="BP123" s="21"/>
      <c r="BQ123" s="21">
        <v>5</v>
      </c>
      <c r="BR123" s="21">
        <v>6</v>
      </c>
      <c r="BS123" s="21"/>
      <c r="BT123" s="96">
        <f t="shared" si="25"/>
        <v>37</v>
      </c>
      <c r="BU123" s="94">
        <f t="shared" si="26"/>
        <v>0</v>
      </c>
      <c r="BV123" s="26"/>
      <c r="BW123" s="27"/>
      <c r="BX123" s="19" t="s">
        <v>472</v>
      </c>
      <c r="BY123" s="19" t="b">
        <f t="shared" si="43"/>
        <v>1</v>
      </c>
      <c r="BZ123" s="53" t="s">
        <v>472</v>
      </c>
      <c r="CA123" s="19" t="s">
        <v>980</v>
      </c>
      <c r="CB123" s="19" t="s">
        <v>886</v>
      </c>
      <c r="CC123" s="19" t="s">
        <v>887</v>
      </c>
      <c r="CD123" s="19" t="s">
        <v>908</v>
      </c>
      <c r="CE123" s="19" t="s">
        <v>909</v>
      </c>
      <c r="CF123" s="19" t="s">
        <v>898</v>
      </c>
      <c r="CG123" s="19" t="s">
        <v>899</v>
      </c>
      <c r="CH123" s="19" t="s">
        <v>875</v>
      </c>
      <c r="CI123" s="19" t="s">
        <v>876</v>
      </c>
      <c r="CJ123" s="19" t="s">
        <v>981</v>
      </c>
      <c r="CK123" s="19" t="s">
        <v>982</v>
      </c>
      <c r="CL123" s="19" t="s">
        <v>918</v>
      </c>
      <c r="CM123" s="19" t="s">
        <v>919</v>
      </c>
      <c r="CN123" s="19"/>
      <c r="CO123" s="19"/>
      <c r="CP123" s="19" t="s">
        <v>904</v>
      </c>
      <c r="CQ123" s="19" t="s">
        <v>905</v>
      </c>
      <c r="CR123" s="19" t="s">
        <v>910</v>
      </c>
      <c r="CS123" s="19" t="s">
        <v>911</v>
      </c>
      <c r="CT123" s="19"/>
      <c r="CU123" s="19"/>
      <c r="CV123" s="19"/>
      <c r="CW123" s="19"/>
      <c r="CX123" s="19"/>
      <c r="CY123" s="19"/>
      <c r="CZ123" s="19"/>
      <c r="DA123" s="19"/>
      <c r="DB123" s="19"/>
      <c r="DC123" s="19"/>
    </row>
    <row r="124" spans="1:107" s="7" customFormat="1" x14ac:dyDescent="0.25">
      <c r="A124" s="19" t="s">
        <v>228</v>
      </c>
      <c r="B124" s="19" t="s">
        <v>80</v>
      </c>
      <c r="C124" s="19" t="str">
        <f t="shared" si="42"/>
        <v>95159572India</v>
      </c>
      <c r="D124" s="19">
        <v>95159572</v>
      </c>
      <c r="E124" s="19" t="s">
        <v>442</v>
      </c>
      <c r="F124" s="19" t="s">
        <v>261</v>
      </c>
      <c r="G124" s="20" t="s">
        <v>442</v>
      </c>
      <c r="H124" s="19"/>
      <c r="I124" s="19" t="s">
        <v>230</v>
      </c>
      <c r="J124" s="19" t="s">
        <v>243</v>
      </c>
      <c r="K124" s="19" t="s">
        <v>274</v>
      </c>
      <c r="L124" s="19" t="s">
        <v>233</v>
      </c>
      <c r="M124" s="19" t="s">
        <v>268</v>
      </c>
      <c r="N124" s="19" t="s">
        <v>247</v>
      </c>
      <c r="O124" s="19" t="s">
        <v>275</v>
      </c>
      <c r="P124" s="51" t="s">
        <v>237</v>
      </c>
      <c r="Q124" s="19" t="s">
        <v>276</v>
      </c>
      <c r="R124" s="19">
        <v>5600</v>
      </c>
      <c r="S124" s="19" t="s">
        <v>272</v>
      </c>
      <c r="T124" s="19" t="s">
        <v>263</v>
      </c>
      <c r="U124" s="20" t="s">
        <v>263</v>
      </c>
      <c r="V124" s="19" t="s">
        <v>1994</v>
      </c>
      <c r="W124" s="19" t="s">
        <v>222</v>
      </c>
      <c r="X124" s="35"/>
      <c r="Y124" s="35"/>
      <c r="Z124" s="32"/>
      <c r="AA124" s="22">
        <v>6</v>
      </c>
      <c r="AB124" s="22"/>
      <c r="AC124" s="22"/>
      <c r="AD124" s="22"/>
      <c r="AE124" s="61">
        <f t="shared" si="39"/>
        <v>6</v>
      </c>
      <c r="AF124" s="22"/>
      <c r="AG124" s="40">
        <f t="shared" si="40"/>
        <v>6</v>
      </c>
      <c r="AH124" s="24">
        <v>5</v>
      </c>
      <c r="AI124" s="24"/>
      <c r="AJ124" s="23">
        <f t="shared" si="41"/>
        <v>1</v>
      </c>
      <c r="AK124" s="25"/>
      <c r="AL124" s="25">
        <v>1</v>
      </c>
      <c r="AM124" s="25"/>
      <c r="AN124" s="25"/>
      <c r="AO124" s="25">
        <f t="shared" si="44"/>
        <v>1</v>
      </c>
      <c r="AP124" s="13">
        <v>5</v>
      </c>
      <c r="AQ124" s="21">
        <v>2</v>
      </c>
      <c r="AR124" s="21">
        <v>3</v>
      </c>
      <c r="AS124" s="21"/>
      <c r="AT124" s="21"/>
      <c r="AU124" s="21"/>
      <c r="AV124" s="21"/>
      <c r="AW124" s="21"/>
      <c r="AX124" s="21"/>
      <c r="AY124" s="77"/>
      <c r="AZ124" s="21"/>
      <c r="BA124" s="21"/>
      <c r="BB124" s="21">
        <v>1</v>
      </c>
      <c r="BC124" s="21"/>
      <c r="BD124" s="21"/>
      <c r="BE124" s="21"/>
      <c r="BF124" s="77"/>
      <c r="BG124" s="21"/>
      <c r="BH124" s="21"/>
      <c r="BI124" s="21"/>
      <c r="BJ124" s="21"/>
      <c r="BK124" s="21"/>
      <c r="BL124" s="21"/>
      <c r="BM124" s="77"/>
      <c r="BN124" s="21"/>
      <c r="BO124" s="21"/>
      <c r="BP124" s="21"/>
      <c r="BQ124" s="21"/>
      <c r="BR124" s="21"/>
      <c r="BS124" s="21"/>
      <c r="BT124" s="96">
        <f t="shared" si="25"/>
        <v>6</v>
      </c>
      <c r="BU124" s="94">
        <f t="shared" si="26"/>
        <v>-5</v>
      </c>
      <c r="BV124" s="26"/>
      <c r="BW124" s="27"/>
      <c r="BX124" s="19" t="s">
        <v>442</v>
      </c>
      <c r="BY124" s="19" t="b">
        <f t="shared" si="43"/>
        <v>1</v>
      </c>
      <c r="BZ124" s="53" t="s">
        <v>442</v>
      </c>
      <c r="CA124" s="19" t="s">
        <v>970</v>
      </c>
      <c r="CB124" s="19" t="s">
        <v>886</v>
      </c>
      <c r="CC124" s="19" t="s">
        <v>887</v>
      </c>
      <c r="CD124" s="19" t="s">
        <v>896</v>
      </c>
      <c r="CE124" s="19" t="s">
        <v>897</v>
      </c>
      <c r="CF124" s="19" t="s">
        <v>898</v>
      </c>
      <c r="CG124" s="19" t="s">
        <v>899</v>
      </c>
      <c r="CH124" s="19" t="s">
        <v>875</v>
      </c>
      <c r="CI124" s="19" t="s">
        <v>876</v>
      </c>
      <c r="CJ124" s="19" t="s">
        <v>952</v>
      </c>
      <c r="CK124" s="19" t="s">
        <v>953</v>
      </c>
      <c r="CL124" s="19" t="s">
        <v>902</v>
      </c>
      <c r="CM124" s="19" t="s">
        <v>903</v>
      </c>
      <c r="CN124" s="19"/>
      <c r="CO124" s="19"/>
      <c r="CP124" s="19" t="s">
        <v>904</v>
      </c>
      <c r="CQ124" s="19" t="s">
        <v>905</v>
      </c>
      <c r="CR124" s="19" t="s">
        <v>906</v>
      </c>
      <c r="CS124" s="19" t="s">
        <v>907</v>
      </c>
      <c r="CT124" s="19"/>
      <c r="CU124" s="19"/>
      <c r="CV124" s="19"/>
      <c r="CW124" s="19"/>
      <c r="CX124" s="19"/>
      <c r="CY124" s="19"/>
      <c r="CZ124" s="19"/>
      <c r="DA124" s="19"/>
      <c r="DB124" s="19"/>
      <c r="DC124" s="19"/>
    </row>
    <row r="125" spans="1:107" s="7" customFormat="1" x14ac:dyDescent="0.25">
      <c r="A125" s="19" t="s">
        <v>228</v>
      </c>
      <c r="B125" s="19" t="s">
        <v>80</v>
      </c>
      <c r="C125" s="19" t="str">
        <f t="shared" si="42"/>
        <v>95158915India</v>
      </c>
      <c r="D125" s="19">
        <v>95158915</v>
      </c>
      <c r="E125" s="19" t="s">
        <v>281</v>
      </c>
      <c r="F125" s="19" t="s">
        <v>261</v>
      </c>
      <c r="G125" s="20" t="s">
        <v>281</v>
      </c>
      <c r="H125" s="19"/>
      <c r="I125" s="19" t="s">
        <v>230</v>
      </c>
      <c r="J125" s="19" t="s">
        <v>243</v>
      </c>
      <c r="K125" s="19" t="s">
        <v>274</v>
      </c>
      <c r="L125" s="19" t="s">
        <v>282</v>
      </c>
      <c r="M125" s="19" t="s">
        <v>268</v>
      </c>
      <c r="N125" s="19" t="s">
        <v>247</v>
      </c>
      <c r="O125" s="19" t="s">
        <v>275</v>
      </c>
      <c r="P125" s="51" t="s">
        <v>237</v>
      </c>
      <c r="Q125" s="19" t="s">
        <v>276</v>
      </c>
      <c r="R125" s="19">
        <v>5600</v>
      </c>
      <c r="S125" s="19" t="s">
        <v>272</v>
      </c>
      <c r="T125" s="19" t="s">
        <v>263</v>
      </c>
      <c r="U125" s="20" t="s">
        <v>263</v>
      </c>
      <c r="V125" s="19" t="s">
        <v>1797</v>
      </c>
      <c r="W125" s="19" t="s">
        <v>222</v>
      </c>
      <c r="X125" s="35">
        <v>1</v>
      </c>
      <c r="Y125" s="35">
        <v>1</v>
      </c>
      <c r="Z125" s="32"/>
      <c r="AA125" s="22">
        <v>1</v>
      </c>
      <c r="AB125" s="22"/>
      <c r="AC125" s="22"/>
      <c r="AD125" s="22"/>
      <c r="AE125" s="61">
        <f t="shared" si="39"/>
        <v>1</v>
      </c>
      <c r="AF125" s="22"/>
      <c r="AG125" s="40">
        <f t="shared" si="40"/>
        <v>1</v>
      </c>
      <c r="AH125" s="24">
        <v>1</v>
      </c>
      <c r="AI125" s="24">
        <v>1</v>
      </c>
      <c r="AJ125" s="23">
        <f t="shared" si="41"/>
        <v>1</v>
      </c>
      <c r="AK125" s="25"/>
      <c r="AL125" s="25">
        <v>1</v>
      </c>
      <c r="AM125" s="25"/>
      <c r="AN125" s="25"/>
      <c r="AO125" s="25">
        <f t="shared" si="44"/>
        <v>1</v>
      </c>
      <c r="AP125" s="13">
        <v>1</v>
      </c>
      <c r="AQ125" s="21"/>
      <c r="AR125" s="21"/>
      <c r="AS125" s="21">
        <v>1</v>
      </c>
      <c r="AT125" s="21"/>
      <c r="AU125" s="21"/>
      <c r="AV125" s="21"/>
      <c r="AW125" s="21"/>
      <c r="AX125" s="21"/>
      <c r="AY125" s="77"/>
      <c r="AZ125" s="21"/>
      <c r="BA125" s="21"/>
      <c r="BB125" s="21"/>
      <c r="BC125" s="21"/>
      <c r="BD125" s="21"/>
      <c r="BE125" s="21"/>
      <c r="BF125" s="77"/>
      <c r="BG125" s="21"/>
      <c r="BH125" s="21"/>
      <c r="BI125" s="21"/>
      <c r="BJ125" s="21"/>
      <c r="BK125" s="21"/>
      <c r="BL125" s="21"/>
      <c r="BM125" s="77"/>
      <c r="BN125" s="21"/>
      <c r="BO125" s="21"/>
      <c r="BP125" s="21"/>
      <c r="BQ125" s="21"/>
      <c r="BR125" s="21"/>
      <c r="BS125" s="21"/>
      <c r="BT125" s="96">
        <f t="shared" si="25"/>
        <v>1</v>
      </c>
      <c r="BU125" s="94">
        <f t="shared" si="26"/>
        <v>0</v>
      </c>
      <c r="BV125" s="26"/>
      <c r="BW125" s="27"/>
      <c r="BX125" s="19" t="s">
        <v>281</v>
      </c>
      <c r="BY125" s="19" t="b">
        <f t="shared" si="43"/>
        <v>1</v>
      </c>
      <c r="BZ125" s="53" t="s">
        <v>281</v>
      </c>
      <c r="CA125" s="19" t="s">
        <v>956</v>
      </c>
      <c r="CB125" s="19" t="s">
        <v>886</v>
      </c>
      <c r="CC125" s="19" t="s">
        <v>887</v>
      </c>
      <c r="CD125" s="19" t="s">
        <v>908</v>
      </c>
      <c r="CE125" s="19" t="s">
        <v>909</v>
      </c>
      <c r="CF125" s="19" t="s">
        <v>898</v>
      </c>
      <c r="CG125" s="19" t="s">
        <v>899</v>
      </c>
      <c r="CH125" s="19" t="s">
        <v>875</v>
      </c>
      <c r="CI125" s="19" t="s">
        <v>876</v>
      </c>
      <c r="CJ125" s="19" t="s">
        <v>957</v>
      </c>
      <c r="CK125" s="19" t="s">
        <v>958</v>
      </c>
      <c r="CL125" s="19" t="s">
        <v>954</v>
      </c>
      <c r="CM125" s="19" t="s">
        <v>955</v>
      </c>
      <c r="CN125" s="19"/>
      <c r="CO125" s="19"/>
      <c r="CP125" s="19" t="s">
        <v>904</v>
      </c>
      <c r="CQ125" s="19" t="s">
        <v>905</v>
      </c>
      <c r="CR125" s="19" t="s">
        <v>910</v>
      </c>
      <c r="CS125" s="19" t="s">
        <v>911</v>
      </c>
      <c r="CT125" s="19"/>
      <c r="CU125" s="19"/>
      <c r="CV125" s="19"/>
      <c r="CW125" s="19"/>
      <c r="CX125" s="19"/>
      <c r="CY125" s="19"/>
      <c r="CZ125" s="19"/>
      <c r="DA125" s="19"/>
      <c r="DB125" s="19"/>
      <c r="DC125" s="19"/>
    </row>
    <row r="126" spans="1:107" s="7" customFormat="1" x14ac:dyDescent="0.25">
      <c r="A126" s="19" t="s">
        <v>228</v>
      </c>
      <c r="B126" s="19" t="s">
        <v>80</v>
      </c>
      <c r="C126" s="19" t="str">
        <f t="shared" si="42"/>
        <v>95158898India</v>
      </c>
      <c r="D126" s="19">
        <v>95158898</v>
      </c>
      <c r="E126" s="19" t="s">
        <v>1848</v>
      </c>
      <c r="F126" s="19" t="s">
        <v>261</v>
      </c>
      <c r="G126" s="20" t="s">
        <v>1848</v>
      </c>
      <c r="H126" s="19"/>
      <c r="I126" s="19" t="s">
        <v>230</v>
      </c>
      <c r="J126" s="19" t="s">
        <v>243</v>
      </c>
      <c r="K126" s="19" t="s">
        <v>274</v>
      </c>
      <c r="L126" s="19" t="s">
        <v>282</v>
      </c>
      <c r="M126" s="19" t="s">
        <v>268</v>
      </c>
      <c r="N126" s="19" t="s">
        <v>247</v>
      </c>
      <c r="O126" s="19" t="s">
        <v>270</v>
      </c>
      <c r="P126" s="51" t="s">
        <v>237</v>
      </c>
      <c r="Q126" s="19" t="s">
        <v>276</v>
      </c>
      <c r="R126" s="19">
        <v>5600</v>
      </c>
      <c r="S126" s="19" t="s">
        <v>272</v>
      </c>
      <c r="T126" s="19" t="s">
        <v>263</v>
      </c>
      <c r="U126" s="20" t="s">
        <v>263</v>
      </c>
      <c r="V126" s="19" t="s">
        <v>1804</v>
      </c>
      <c r="W126" s="19" t="s">
        <v>219</v>
      </c>
      <c r="X126" s="35"/>
      <c r="Y126" s="35"/>
      <c r="Z126" s="32"/>
      <c r="AA126" s="22"/>
      <c r="AB126" s="22"/>
      <c r="AC126" s="22"/>
      <c r="AD126" s="22">
        <v>1</v>
      </c>
      <c r="AE126" s="61">
        <f t="shared" si="39"/>
        <v>1</v>
      </c>
      <c r="AF126" s="22"/>
      <c r="AG126" s="40">
        <f t="shared" si="40"/>
        <v>1</v>
      </c>
      <c r="AH126" s="24"/>
      <c r="AI126" s="24"/>
      <c r="AJ126" s="23">
        <f t="shared" si="41"/>
        <v>1</v>
      </c>
      <c r="AK126" s="25"/>
      <c r="AL126" s="25">
        <v>1</v>
      </c>
      <c r="AM126" s="25"/>
      <c r="AN126" s="25"/>
      <c r="AO126" s="25">
        <f t="shared" si="44"/>
        <v>1</v>
      </c>
      <c r="AP126" s="13"/>
      <c r="AQ126" s="21"/>
      <c r="AR126" s="21"/>
      <c r="AS126" s="21"/>
      <c r="AT126" s="21"/>
      <c r="AU126" s="21"/>
      <c r="AV126" s="21"/>
      <c r="AW126" s="21"/>
      <c r="AX126" s="21"/>
      <c r="AY126" s="77"/>
      <c r="AZ126" s="21"/>
      <c r="BA126" s="21">
        <v>1</v>
      </c>
      <c r="BB126" s="21"/>
      <c r="BC126" s="21"/>
      <c r="BD126" s="21"/>
      <c r="BE126" s="21"/>
      <c r="BF126" s="77"/>
      <c r="BG126" s="21"/>
      <c r="BH126" s="21"/>
      <c r="BI126" s="21"/>
      <c r="BJ126" s="21"/>
      <c r="BK126" s="21"/>
      <c r="BL126" s="21"/>
      <c r="BM126" s="77"/>
      <c r="BN126" s="21"/>
      <c r="BO126" s="21"/>
      <c r="BP126" s="21"/>
      <c r="BQ126" s="21"/>
      <c r="BR126" s="21"/>
      <c r="BS126" s="21"/>
      <c r="BT126" s="96">
        <f t="shared" si="25"/>
        <v>1</v>
      </c>
      <c r="BU126" s="94">
        <f t="shared" si="26"/>
        <v>0</v>
      </c>
      <c r="BV126" s="26"/>
      <c r="BW126" s="27"/>
      <c r="BX126" s="19" t="s">
        <v>1848</v>
      </c>
      <c r="BY126" s="19" t="b">
        <f t="shared" si="43"/>
        <v>1</v>
      </c>
      <c r="BZ126" s="53" t="s">
        <v>1848</v>
      </c>
      <c r="CA126" s="19" t="s">
        <v>1901</v>
      </c>
      <c r="CB126" s="19" t="s">
        <v>886</v>
      </c>
      <c r="CC126" s="19" t="s">
        <v>887</v>
      </c>
      <c r="CD126" s="19" t="s">
        <v>896</v>
      </c>
      <c r="CE126" s="19" t="s">
        <v>897</v>
      </c>
      <c r="CF126" s="19" t="s">
        <v>898</v>
      </c>
      <c r="CG126" s="19" t="s">
        <v>899</v>
      </c>
      <c r="CH126" s="19" t="s">
        <v>875</v>
      </c>
      <c r="CI126" s="19" t="s">
        <v>876</v>
      </c>
      <c r="CJ126" s="19" t="s">
        <v>972</v>
      </c>
      <c r="CK126" s="19" t="s">
        <v>973</v>
      </c>
      <c r="CL126" s="19" t="s">
        <v>1657</v>
      </c>
      <c r="CM126" s="19" t="s">
        <v>1658</v>
      </c>
      <c r="CN126" s="19"/>
      <c r="CO126" s="19"/>
      <c r="CP126" s="19" t="s">
        <v>904</v>
      </c>
      <c r="CQ126" s="19" t="s">
        <v>905</v>
      </c>
      <c r="CR126" s="19" t="s">
        <v>906</v>
      </c>
      <c r="CS126" s="19" t="s">
        <v>907</v>
      </c>
      <c r="CT126" s="19"/>
      <c r="CU126" s="19"/>
      <c r="CV126" s="19"/>
      <c r="CW126" s="19"/>
      <c r="CX126" s="19"/>
      <c r="CY126" s="19"/>
      <c r="CZ126" s="19"/>
      <c r="DA126" s="19"/>
      <c r="DB126" s="19"/>
      <c r="DC126" s="19"/>
    </row>
    <row r="127" spans="1:107" s="7" customFormat="1" x14ac:dyDescent="0.25">
      <c r="A127" s="19" t="s">
        <v>228</v>
      </c>
      <c r="B127" s="19" t="s">
        <v>80</v>
      </c>
      <c r="C127" s="19" t="str">
        <f t="shared" si="42"/>
        <v>95158918India</v>
      </c>
      <c r="D127" s="19">
        <v>95158918</v>
      </c>
      <c r="E127" s="19" t="s">
        <v>470</v>
      </c>
      <c r="F127" s="19" t="s">
        <v>261</v>
      </c>
      <c r="G127" s="20" t="s">
        <v>470</v>
      </c>
      <c r="H127" s="19"/>
      <c r="I127" s="19" t="s">
        <v>230</v>
      </c>
      <c r="J127" s="19" t="s">
        <v>243</v>
      </c>
      <c r="K127" s="19" t="s">
        <v>274</v>
      </c>
      <c r="L127" s="19" t="s">
        <v>282</v>
      </c>
      <c r="M127" s="19" t="s">
        <v>268</v>
      </c>
      <c r="N127" s="19" t="s">
        <v>247</v>
      </c>
      <c r="O127" s="19" t="s">
        <v>270</v>
      </c>
      <c r="P127" s="51" t="s">
        <v>237</v>
      </c>
      <c r="Q127" s="19" t="s">
        <v>276</v>
      </c>
      <c r="R127" s="19">
        <v>5600</v>
      </c>
      <c r="S127" s="19" t="s">
        <v>272</v>
      </c>
      <c r="T127" s="19" t="s">
        <v>263</v>
      </c>
      <c r="U127" s="20" t="s">
        <v>263</v>
      </c>
      <c r="V127" s="19" t="s">
        <v>1805</v>
      </c>
      <c r="W127" s="19" t="s">
        <v>219</v>
      </c>
      <c r="X127" s="35">
        <v>1</v>
      </c>
      <c r="Y127" s="35">
        <v>1</v>
      </c>
      <c r="Z127" s="32"/>
      <c r="AA127" s="22">
        <v>1</v>
      </c>
      <c r="AB127" s="22"/>
      <c r="AC127" s="22"/>
      <c r="AD127" s="22"/>
      <c r="AE127" s="61">
        <f t="shared" si="39"/>
        <v>1</v>
      </c>
      <c r="AF127" s="22"/>
      <c r="AG127" s="40">
        <f t="shared" si="40"/>
        <v>1</v>
      </c>
      <c r="AH127" s="24"/>
      <c r="AI127" s="24">
        <v>1</v>
      </c>
      <c r="AJ127" s="23">
        <f t="shared" si="41"/>
        <v>2</v>
      </c>
      <c r="AK127" s="25"/>
      <c r="AL127" s="25">
        <v>2</v>
      </c>
      <c r="AM127" s="25"/>
      <c r="AN127" s="25"/>
      <c r="AO127" s="25">
        <f t="shared" si="44"/>
        <v>2</v>
      </c>
      <c r="AP127" s="13"/>
      <c r="AQ127" s="21"/>
      <c r="AR127" s="21"/>
      <c r="AS127" s="21"/>
      <c r="AT127" s="21"/>
      <c r="AU127" s="21"/>
      <c r="AV127" s="21"/>
      <c r="AW127" s="21"/>
      <c r="AX127" s="21"/>
      <c r="AY127" s="77"/>
      <c r="AZ127" s="21"/>
      <c r="BA127" s="21">
        <v>1</v>
      </c>
      <c r="BB127" s="21"/>
      <c r="BC127" s="21"/>
      <c r="BD127" s="21"/>
      <c r="BE127" s="21"/>
      <c r="BF127" s="77"/>
      <c r="BG127" s="21"/>
      <c r="BH127" s="21"/>
      <c r="BI127" s="21"/>
      <c r="BJ127" s="21"/>
      <c r="BK127" s="21"/>
      <c r="BL127" s="21"/>
      <c r="BM127" s="77"/>
      <c r="BN127" s="21"/>
      <c r="BO127" s="21"/>
      <c r="BP127" s="21"/>
      <c r="BQ127" s="21"/>
      <c r="BR127" s="21"/>
      <c r="BS127" s="21"/>
      <c r="BT127" s="96">
        <f t="shared" si="25"/>
        <v>1</v>
      </c>
      <c r="BU127" s="94">
        <f t="shared" si="26"/>
        <v>1</v>
      </c>
      <c r="BV127" s="26"/>
      <c r="BW127" s="27"/>
      <c r="BX127" s="19" t="s">
        <v>470</v>
      </c>
      <c r="BY127" s="19" t="b">
        <f t="shared" si="43"/>
        <v>1</v>
      </c>
      <c r="BZ127" s="53" t="s">
        <v>470</v>
      </c>
      <c r="CA127" s="19" t="s">
        <v>205</v>
      </c>
      <c r="CB127" s="19" t="s">
        <v>886</v>
      </c>
      <c r="CC127" s="19" t="s">
        <v>887</v>
      </c>
      <c r="CD127" s="19" t="s">
        <v>896</v>
      </c>
      <c r="CE127" s="19" t="s">
        <v>897</v>
      </c>
      <c r="CF127" s="19" t="s">
        <v>898</v>
      </c>
      <c r="CG127" s="19" t="s">
        <v>899</v>
      </c>
      <c r="CH127" s="19" t="s">
        <v>875</v>
      </c>
      <c r="CI127" s="19" t="s">
        <v>876</v>
      </c>
      <c r="CJ127" s="19" t="s">
        <v>957</v>
      </c>
      <c r="CK127" s="19" t="s">
        <v>958</v>
      </c>
      <c r="CL127" s="19" t="s">
        <v>902</v>
      </c>
      <c r="CM127" s="19" t="s">
        <v>903</v>
      </c>
      <c r="CN127" s="19"/>
      <c r="CO127" s="19"/>
      <c r="CP127" s="19" t="s">
        <v>904</v>
      </c>
      <c r="CQ127" s="19" t="s">
        <v>905</v>
      </c>
      <c r="CR127" s="19" t="s">
        <v>906</v>
      </c>
      <c r="CS127" s="19" t="s">
        <v>907</v>
      </c>
      <c r="CT127" s="19"/>
      <c r="CU127" s="19"/>
      <c r="CV127" s="19"/>
      <c r="CW127" s="19"/>
      <c r="CX127" s="19"/>
      <c r="CY127" s="19"/>
      <c r="CZ127" s="19"/>
      <c r="DA127" s="19"/>
      <c r="DB127" s="19"/>
      <c r="DC127" s="19"/>
    </row>
    <row r="128" spans="1:107" s="7" customFormat="1" x14ac:dyDescent="0.25">
      <c r="A128" s="19" t="s">
        <v>228</v>
      </c>
      <c r="B128" s="19" t="s">
        <v>80</v>
      </c>
      <c r="C128" s="19" t="str">
        <f t="shared" si="42"/>
        <v>95159054India</v>
      </c>
      <c r="D128" s="19">
        <v>95159054</v>
      </c>
      <c r="E128" s="19" t="s">
        <v>472</v>
      </c>
      <c r="F128" s="19" t="s">
        <v>261</v>
      </c>
      <c r="G128" s="20" t="s">
        <v>472</v>
      </c>
      <c r="H128" s="19"/>
      <c r="I128" s="19" t="s">
        <v>230</v>
      </c>
      <c r="J128" s="19" t="s">
        <v>243</v>
      </c>
      <c r="K128" s="19" t="s">
        <v>274</v>
      </c>
      <c r="L128" s="19" t="s">
        <v>282</v>
      </c>
      <c r="M128" s="19" t="s">
        <v>268</v>
      </c>
      <c r="N128" s="19" t="s">
        <v>247</v>
      </c>
      <c r="O128" s="19" t="s">
        <v>275</v>
      </c>
      <c r="P128" s="51" t="s">
        <v>237</v>
      </c>
      <c r="Q128" s="19" t="s">
        <v>276</v>
      </c>
      <c r="R128" s="19">
        <v>5600</v>
      </c>
      <c r="S128" s="19" t="s">
        <v>272</v>
      </c>
      <c r="T128" s="19" t="s">
        <v>263</v>
      </c>
      <c r="U128" s="20" t="s">
        <v>263</v>
      </c>
      <c r="V128" s="19" t="s">
        <v>1526</v>
      </c>
      <c r="W128" s="19" t="s">
        <v>222</v>
      </c>
      <c r="X128" s="35"/>
      <c r="Y128" s="35"/>
      <c r="Z128" s="32"/>
      <c r="AA128" s="22"/>
      <c r="AB128" s="22"/>
      <c r="AC128" s="22">
        <v>2</v>
      </c>
      <c r="AD128" s="22"/>
      <c r="AE128" s="61">
        <f t="shared" si="39"/>
        <v>2</v>
      </c>
      <c r="AF128" s="22"/>
      <c r="AG128" s="40">
        <f t="shared" si="40"/>
        <v>2</v>
      </c>
      <c r="AH128" s="24"/>
      <c r="AI128" s="24"/>
      <c r="AJ128" s="23">
        <f t="shared" si="41"/>
        <v>2</v>
      </c>
      <c r="AK128" s="25"/>
      <c r="AL128" s="25">
        <v>2</v>
      </c>
      <c r="AM128" s="25"/>
      <c r="AN128" s="25"/>
      <c r="AO128" s="25">
        <f t="shared" si="44"/>
        <v>2</v>
      </c>
      <c r="AP128" s="13"/>
      <c r="AQ128" s="21"/>
      <c r="AR128" s="21"/>
      <c r="AS128" s="21"/>
      <c r="AT128" s="21"/>
      <c r="AU128" s="21"/>
      <c r="AV128" s="21"/>
      <c r="AW128" s="21"/>
      <c r="AX128" s="21"/>
      <c r="AY128" s="77"/>
      <c r="AZ128" s="21"/>
      <c r="BA128" s="21"/>
      <c r="BB128" s="21"/>
      <c r="BC128" s="21"/>
      <c r="BD128" s="21"/>
      <c r="BE128" s="21"/>
      <c r="BF128" s="77"/>
      <c r="BG128" s="21">
        <v>2</v>
      </c>
      <c r="BH128" s="21"/>
      <c r="BI128" s="21"/>
      <c r="BJ128" s="21"/>
      <c r="BK128" s="21"/>
      <c r="BL128" s="21"/>
      <c r="BM128" s="77"/>
      <c r="BN128" s="21"/>
      <c r="BO128" s="21"/>
      <c r="BP128" s="21"/>
      <c r="BQ128" s="21"/>
      <c r="BR128" s="21"/>
      <c r="BS128" s="21"/>
      <c r="BT128" s="96">
        <f t="shared" si="25"/>
        <v>2</v>
      </c>
      <c r="BU128" s="94">
        <f t="shared" si="26"/>
        <v>0</v>
      </c>
      <c r="BV128" s="26"/>
      <c r="BW128" s="27"/>
      <c r="BX128" s="19" t="s">
        <v>472</v>
      </c>
      <c r="BY128" s="19" t="b">
        <f t="shared" si="43"/>
        <v>1</v>
      </c>
      <c r="BZ128" s="53" t="s">
        <v>472</v>
      </c>
      <c r="CA128" s="19" t="s">
        <v>980</v>
      </c>
      <c r="CB128" s="19" t="s">
        <v>886</v>
      </c>
      <c r="CC128" s="19" t="s">
        <v>887</v>
      </c>
      <c r="CD128" s="19" t="s">
        <v>908</v>
      </c>
      <c r="CE128" s="19" t="s">
        <v>909</v>
      </c>
      <c r="CF128" s="19" t="s">
        <v>898</v>
      </c>
      <c r="CG128" s="19" t="s">
        <v>899</v>
      </c>
      <c r="CH128" s="19" t="s">
        <v>875</v>
      </c>
      <c r="CI128" s="19" t="s">
        <v>876</v>
      </c>
      <c r="CJ128" s="19" t="s">
        <v>981</v>
      </c>
      <c r="CK128" s="19" t="s">
        <v>982</v>
      </c>
      <c r="CL128" s="19" t="s">
        <v>918</v>
      </c>
      <c r="CM128" s="19" t="s">
        <v>919</v>
      </c>
      <c r="CN128" s="19"/>
      <c r="CO128" s="19"/>
      <c r="CP128" s="19" t="s">
        <v>904</v>
      </c>
      <c r="CQ128" s="19" t="s">
        <v>905</v>
      </c>
      <c r="CR128" s="19" t="s">
        <v>910</v>
      </c>
      <c r="CS128" s="19" t="s">
        <v>911</v>
      </c>
      <c r="CT128" s="19"/>
      <c r="CU128" s="19"/>
      <c r="CV128" s="19"/>
      <c r="CW128" s="19"/>
      <c r="CX128" s="19"/>
      <c r="CY128" s="19"/>
      <c r="CZ128" s="19"/>
      <c r="DA128" s="19"/>
      <c r="DB128" s="19"/>
      <c r="DC128" s="19"/>
    </row>
    <row r="129" spans="1:107" s="7" customFormat="1" x14ac:dyDescent="0.25">
      <c r="A129" s="19" t="s">
        <v>228</v>
      </c>
      <c r="B129" s="19" t="s">
        <v>80</v>
      </c>
      <c r="C129" s="19" t="str">
        <f t="shared" si="42"/>
        <v>95159053India</v>
      </c>
      <c r="D129" s="19">
        <v>95159053</v>
      </c>
      <c r="E129" s="19" t="s">
        <v>1854</v>
      </c>
      <c r="F129" s="19" t="s">
        <v>261</v>
      </c>
      <c r="G129" s="20" t="s">
        <v>1854</v>
      </c>
      <c r="H129" s="19"/>
      <c r="I129" s="19" t="s">
        <v>230</v>
      </c>
      <c r="J129" s="19" t="s">
        <v>243</v>
      </c>
      <c r="K129" s="19" t="s">
        <v>274</v>
      </c>
      <c r="L129" s="19" t="s">
        <v>282</v>
      </c>
      <c r="M129" s="19" t="s">
        <v>268</v>
      </c>
      <c r="N129" s="19" t="s">
        <v>247</v>
      </c>
      <c r="O129" s="19" t="s">
        <v>275</v>
      </c>
      <c r="P129" s="51" t="s">
        <v>237</v>
      </c>
      <c r="Q129" s="19" t="s">
        <v>276</v>
      </c>
      <c r="R129" s="19">
        <v>5600</v>
      </c>
      <c r="S129" s="19" t="s">
        <v>272</v>
      </c>
      <c r="T129" s="19" t="s">
        <v>263</v>
      </c>
      <c r="U129" s="20" t="s">
        <v>263</v>
      </c>
      <c r="V129" s="19" t="s">
        <v>1810</v>
      </c>
      <c r="W129" s="19" t="s">
        <v>219</v>
      </c>
      <c r="X129" s="35"/>
      <c r="Y129" s="35"/>
      <c r="Z129" s="32"/>
      <c r="AA129" s="22"/>
      <c r="AB129" s="22">
        <v>5</v>
      </c>
      <c r="AC129" s="22"/>
      <c r="AD129" s="22"/>
      <c r="AE129" s="61">
        <f t="shared" si="39"/>
        <v>5</v>
      </c>
      <c r="AF129" s="22"/>
      <c r="AG129" s="40">
        <f t="shared" si="40"/>
        <v>5</v>
      </c>
      <c r="AH129" s="24"/>
      <c r="AI129" s="24"/>
      <c r="AJ129" s="23">
        <f t="shared" si="41"/>
        <v>5</v>
      </c>
      <c r="AK129" s="25"/>
      <c r="AL129" s="25">
        <v>5</v>
      </c>
      <c r="AM129" s="25"/>
      <c r="AN129" s="25"/>
      <c r="AO129" s="25">
        <f t="shared" si="44"/>
        <v>5</v>
      </c>
      <c r="AP129" s="13"/>
      <c r="AQ129" s="21"/>
      <c r="AR129" s="21"/>
      <c r="AS129" s="21"/>
      <c r="AT129" s="21"/>
      <c r="AU129" s="21"/>
      <c r="AV129" s="21"/>
      <c r="AW129" s="21"/>
      <c r="AX129" s="21"/>
      <c r="AY129" s="77"/>
      <c r="AZ129" s="21"/>
      <c r="BA129" s="21"/>
      <c r="BB129" s="21"/>
      <c r="BC129" s="21"/>
      <c r="BD129" s="21"/>
      <c r="BE129" s="21"/>
      <c r="BF129" s="77"/>
      <c r="BG129" s="21">
        <v>2</v>
      </c>
      <c r="BH129" s="21">
        <v>3</v>
      </c>
      <c r="BI129" s="21"/>
      <c r="BJ129" s="21"/>
      <c r="BK129" s="21"/>
      <c r="BL129" s="21"/>
      <c r="BM129" s="77"/>
      <c r="BN129" s="21"/>
      <c r="BO129" s="21"/>
      <c r="BP129" s="21"/>
      <c r="BQ129" s="21"/>
      <c r="BR129" s="21"/>
      <c r="BS129" s="21"/>
      <c r="BT129" s="96">
        <f t="shared" si="25"/>
        <v>5</v>
      </c>
      <c r="BU129" s="94">
        <f t="shared" si="26"/>
        <v>0</v>
      </c>
      <c r="BV129" s="26"/>
      <c r="BW129" s="27"/>
      <c r="BX129" s="19" t="s">
        <v>1854</v>
      </c>
      <c r="BY129" s="19" t="b">
        <f t="shared" si="43"/>
        <v>1</v>
      </c>
      <c r="BZ129" s="53" t="s">
        <v>1854</v>
      </c>
      <c r="CA129" s="19" t="s">
        <v>1902</v>
      </c>
      <c r="CB129" s="19" t="s">
        <v>886</v>
      </c>
      <c r="CC129" s="19" t="s">
        <v>887</v>
      </c>
      <c r="CD129" s="19" t="s">
        <v>908</v>
      </c>
      <c r="CE129" s="19" t="s">
        <v>909</v>
      </c>
      <c r="CF129" s="19" t="s">
        <v>898</v>
      </c>
      <c r="CG129" s="19" t="s">
        <v>899</v>
      </c>
      <c r="CH129" s="19" t="s">
        <v>875</v>
      </c>
      <c r="CI129" s="19" t="s">
        <v>876</v>
      </c>
      <c r="CJ129" s="19" t="s">
        <v>1903</v>
      </c>
      <c r="CK129" s="19" t="s">
        <v>1904</v>
      </c>
      <c r="CL129" s="19" t="s">
        <v>918</v>
      </c>
      <c r="CM129" s="19" t="s">
        <v>919</v>
      </c>
      <c r="CN129" s="19"/>
      <c r="CO129" s="19"/>
      <c r="CP129" s="19" t="s">
        <v>904</v>
      </c>
      <c r="CQ129" s="19" t="s">
        <v>905</v>
      </c>
      <c r="CR129" s="19" t="s">
        <v>910</v>
      </c>
      <c r="CS129" s="19" t="s">
        <v>911</v>
      </c>
      <c r="CT129" s="19"/>
      <c r="CU129" s="19"/>
      <c r="CV129" s="19"/>
      <c r="CW129" s="19"/>
      <c r="CX129" s="19"/>
      <c r="CY129" s="19"/>
      <c r="CZ129" s="19"/>
      <c r="DA129" s="19"/>
      <c r="DB129" s="19"/>
      <c r="DC129" s="19"/>
    </row>
    <row r="130" spans="1:107" s="7" customFormat="1" x14ac:dyDescent="0.25">
      <c r="A130" s="19" t="s">
        <v>228</v>
      </c>
      <c r="B130" s="19" t="s">
        <v>80</v>
      </c>
      <c r="C130" s="19" t="str">
        <f t="shared" si="42"/>
        <v>95158945India</v>
      </c>
      <c r="D130" s="19">
        <v>95158945</v>
      </c>
      <c r="E130" s="19" t="s">
        <v>444</v>
      </c>
      <c r="F130" s="19" t="s">
        <v>261</v>
      </c>
      <c r="G130" s="20" t="s">
        <v>444</v>
      </c>
      <c r="H130" s="19"/>
      <c r="I130" s="19" t="s">
        <v>230</v>
      </c>
      <c r="J130" s="19" t="s">
        <v>334</v>
      </c>
      <c r="K130" s="19" t="s">
        <v>274</v>
      </c>
      <c r="L130" s="19" t="s">
        <v>233</v>
      </c>
      <c r="M130" s="19" t="s">
        <v>268</v>
      </c>
      <c r="N130" s="19" t="s">
        <v>247</v>
      </c>
      <c r="O130" s="19" t="s">
        <v>275</v>
      </c>
      <c r="P130" s="51" t="s">
        <v>237</v>
      </c>
      <c r="Q130" s="19" t="s">
        <v>441</v>
      </c>
      <c r="R130" s="19">
        <v>5700</v>
      </c>
      <c r="S130" s="19" t="s">
        <v>272</v>
      </c>
      <c r="T130" s="19" t="s">
        <v>263</v>
      </c>
      <c r="U130" s="20" t="s">
        <v>263</v>
      </c>
      <c r="V130" s="19" t="s">
        <v>173</v>
      </c>
      <c r="W130" s="19" t="s">
        <v>222</v>
      </c>
      <c r="X130" s="35">
        <v>8</v>
      </c>
      <c r="Y130" s="35">
        <v>5</v>
      </c>
      <c r="Z130" s="32"/>
      <c r="AA130" s="22">
        <v>2</v>
      </c>
      <c r="AB130" s="22"/>
      <c r="AC130" s="22">
        <v>6</v>
      </c>
      <c r="AD130" s="22">
        <v>6</v>
      </c>
      <c r="AE130" s="61">
        <f t="shared" ref="AE130:AE156" si="45">SUM(AA130:AD130)</f>
        <v>14</v>
      </c>
      <c r="AF130" s="22"/>
      <c r="AG130" s="40">
        <f t="shared" ref="AG130:AG156" si="46">AE130+AF130</f>
        <v>14</v>
      </c>
      <c r="AH130" s="24">
        <v>6</v>
      </c>
      <c r="AI130" s="24">
        <v>8</v>
      </c>
      <c r="AJ130" s="23">
        <f t="shared" ref="AJ130:AJ140" si="47">AG130-AH130+AI130</f>
        <v>16</v>
      </c>
      <c r="AK130" s="25">
        <v>8</v>
      </c>
      <c r="AL130" s="25">
        <v>8</v>
      </c>
      <c r="AM130" s="25"/>
      <c r="AN130" s="25"/>
      <c r="AO130" s="25">
        <f t="shared" si="44"/>
        <v>16</v>
      </c>
      <c r="AP130" s="13">
        <v>6</v>
      </c>
      <c r="AQ130" s="21">
        <v>3</v>
      </c>
      <c r="AR130" s="21">
        <v>3</v>
      </c>
      <c r="AS130" s="21"/>
      <c r="AT130" s="21"/>
      <c r="AU130" s="21"/>
      <c r="AV130" s="21"/>
      <c r="AW130" s="21"/>
      <c r="AX130" s="21"/>
      <c r="AY130" s="77"/>
      <c r="AZ130" s="21"/>
      <c r="BA130" s="21"/>
      <c r="BB130" s="21"/>
      <c r="BC130" s="21"/>
      <c r="BD130" s="21"/>
      <c r="BE130" s="21"/>
      <c r="BF130" s="77"/>
      <c r="BG130" s="21">
        <v>4</v>
      </c>
      <c r="BH130" s="21">
        <v>4</v>
      </c>
      <c r="BI130" s="21"/>
      <c r="BJ130" s="21"/>
      <c r="BK130" s="21"/>
      <c r="BL130" s="21"/>
      <c r="BM130" s="77"/>
      <c r="BN130" s="21"/>
      <c r="BO130" s="21"/>
      <c r="BP130" s="21"/>
      <c r="BQ130" s="21"/>
      <c r="BR130" s="21"/>
      <c r="BS130" s="21"/>
      <c r="BT130" s="96">
        <f t="shared" si="25"/>
        <v>14</v>
      </c>
      <c r="BU130" s="94">
        <f t="shared" si="26"/>
        <v>2</v>
      </c>
      <c r="BV130" s="26"/>
      <c r="BW130" s="27"/>
      <c r="BX130" s="19" t="s">
        <v>444</v>
      </c>
      <c r="BY130" s="19" t="b">
        <f t="shared" si="43"/>
        <v>1</v>
      </c>
      <c r="BZ130" s="53" t="s">
        <v>444</v>
      </c>
      <c r="CA130" s="19" t="s">
        <v>990</v>
      </c>
      <c r="CB130" s="19" t="s">
        <v>921</v>
      </c>
      <c r="CC130" s="19" t="s">
        <v>922</v>
      </c>
      <c r="CD130" s="19" t="s">
        <v>936</v>
      </c>
      <c r="CE130" s="19" t="s">
        <v>937</v>
      </c>
      <c r="CF130" s="19" t="s">
        <v>925</v>
      </c>
      <c r="CG130" s="19" t="s">
        <v>926</v>
      </c>
      <c r="CH130" s="19" t="s">
        <v>938</v>
      </c>
      <c r="CI130" s="19" t="s">
        <v>939</v>
      </c>
      <c r="CJ130" s="19" t="s">
        <v>989</v>
      </c>
      <c r="CK130" s="19" t="s">
        <v>176</v>
      </c>
      <c r="CL130" s="19" t="s">
        <v>942</v>
      </c>
      <c r="CM130" s="19" t="s">
        <v>943</v>
      </c>
      <c r="CN130" s="19"/>
      <c r="CO130" s="19"/>
      <c r="CP130" s="19" t="s">
        <v>538</v>
      </c>
      <c r="CQ130" s="19" t="s">
        <v>539</v>
      </c>
      <c r="CR130" s="19" t="s">
        <v>944</v>
      </c>
      <c r="CS130" s="19" t="s">
        <v>945</v>
      </c>
      <c r="CT130" s="19"/>
      <c r="CU130" s="19"/>
      <c r="CV130" s="19"/>
      <c r="CW130" s="19"/>
      <c r="CX130" s="19"/>
      <c r="CY130" s="19"/>
      <c r="CZ130" s="19"/>
      <c r="DA130" s="19"/>
      <c r="DB130" s="19"/>
      <c r="DC130" s="19"/>
    </row>
    <row r="131" spans="1:107" s="7" customFormat="1" x14ac:dyDescent="0.25">
      <c r="A131" s="19" t="s">
        <v>228</v>
      </c>
      <c r="B131" s="19" t="s">
        <v>80</v>
      </c>
      <c r="C131" s="19" t="str">
        <f t="shared" si="42"/>
        <v>95158946India</v>
      </c>
      <c r="D131" s="19">
        <v>95158946</v>
      </c>
      <c r="E131" s="19" t="s">
        <v>449</v>
      </c>
      <c r="F131" s="19" t="s">
        <v>261</v>
      </c>
      <c r="G131" s="20" t="s">
        <v>449</v>
      </c>
      <c r="H131" s="19"/>
      <c r="I131" s="19" t="s">
        <v>230</v>
      </c>
      <c r="J131" s="19" t="s">
        <v>334</v>
      </c>
      <c r="K131" s="19" t="s">
        <v>274</v>
      </c>
      <c r="L131" s="19" t="s">
        <v>233</v>
      </c>
      <c r="M131" s="19" t="s">
        <v>268</v>
      </c>
      <c r="N131" s="19" t="s">
        <v>247</v>
      </c>
      <c r="O131" s="19" t="s">
        <v>275</v>
      </c>
      <c r="P131" s="51" t="s">
        <v>237</v>
      </c>
      <c r="Q131" s="19" t="s">
        <v>441</v>
      </c>
      <c r="R131" s="19">
        <v>5700</v>
      </c>
      <c r="S131" s="19" t="s">
        <v>272</v>
      </c>
      <c r="T131" s="19" t="s">
        <v>263</v>
      </c>
      <c r="U131" s="20" t="s">
        <v>263</v>
      </c>
      <c r="V131" s="19" t="s">
        <v>176</v>
      </c>
      <c r="W131" s="19" t="s">
        <v>221</v>
      </c>
      <c r="X131" s="35">
        <v>15</v>
      </c>
      <c r="Y131" s="35">
        <v>8</v>
      </c>
      <c r="Z131" s="32"/>
      <c r="AA131" s="22">
        <v>10</v>
      </c>
      <c r="AB131" s="22">
        <v>2</v>
      </c>
      <c r="AC131" s="22">
        <v>1</v>
      </c>
      <c r="AD131" s="22">
        <v>5</v>
      </c>
      <c r="AE131" s="61">
        <f t="shared" si="45"/>
        <v>18</v>
      </c>
      <c r="AF131" s="22"/>
      <c r="AG131" s="40">
        <f t="shared" si="46"/>
        <v>18</v>
      </c>
      <c r="AH131" s="24"/>
      <c r="AI131" s="24">
        <v>15</v>
      </c>
      <c r="AJ131" s="23">
        <f t="shared" si="47"/>
        <v>33</v>
      </c>
      <c r="AK131" s="25">
        <v>11</v>
      </c>
      <c r="AL131" s="25">
        <v>11</v>
      </c>
      <c r="AM131" s="25">
        <v>11</v>
      </c>
      <c r="AN131" s="25"/>
      <c r="AO131" s="25">
        <f t="shared" si="44"/>
        <v>33</v>
      </c>
      <c r="AP131" s="13"/>
      <c r="AQ131" s="21"/>
      <c r="AR131" s="21"/>
      <c r="AS131" s="21">
        <v>3</v>
      </c>
      <c r="AT131" s="21">
        <v>3</v>
      </c>
      <c r="AU131" s="21">
        <v>3</v>
      </c>
      <c r="AV131" s="21"/>
      <c r="AW131" s="21"/>
      <c r="AX131" s="21"/>
      <c r="AY131" s="77"/>
      <c r="AZ131" s="21">
        <v>3</v>
      </c>
      <c r="BA131" s="21">
        <v>3</v>
      </c>
      <c r="BB131" s="21"/>
      <c r="BC131" s="21"/>
      <c r="BD131" s="21"/>
      <c r="BE131" s="21">
        <v>3</v>
      </c>
      <c r="BF131" s="77"/>
      <c r="BG131" s="21"/>
      <c r="BH131" s="21"/>
      <c r="BI131" s="21"/>
      <c r="BJ131" s="21"/>
      <c r="BK131" s="21"/>
      <c r="BL131" s="21"/>
      <c r="BM131" s="77"/>
      <c r="BN131" s="21"/>
      <c r="BO131" s="21"/>
      <c r="BP131" s="21"/>
      <c r="BQ131" s="21"/>
      <c r="BR131" s="21"/>
      <c r="BS131" s="21"/>
      <c r="BT131" s="96">
        <f t="shared" si="25"/>
        <v>18</v>
      </c>
      <c r="BU131" s="94">
        <f t="shared" si="26"/>
        <v>15</v>
      </c>
      <c r="BV131" s="26"/>
      <c r="BW131" s="27"/>
      <c r="BX131" s="19" t="s">
        <v>449</v>
      </c>
      <c r="BY131" s="19" t="b">
        <f t="shared" si="43"/>
        <v>1</v>
      </c>
      <c r="BZ131" s="53" t="s">
        <v>449</v>
      </c>
      <c r="CA131" s="19" t="s">
        <v>991</v>
      </c>
      <c r="CB131" s="19" t="s">
        <v>921</v>
      </c>
      <c r="CC131" s="19" t="s">
        <v>922</v>
      </c>
      <c r="CD131" s="19" t="s">
        <v>923</v>
      </c>
      <c r="CE131" s="19" t="s">
        <v>924</v>
      </c>
      <c r="CF131" s="19" t="s">
        <v>925</v>
      </c>
      <c r="CG131" s="19" t="s">
        <v>926</v>
      </c>
      <c r="CH131" s="19" t="s">
        <v>927</v>
      </c>
      <c r="CI131" s="19" t="s">
        <v>928</v>
      </c>
      <c r="CJ131" s="19" t="s">
        <v>989</v>
      </c>
      <c r="CK131" s="19" t="s">
        <v>176</v>
      </c>
      <c r="CL131" s="19" t="s">
        <v>992</v>
      </c>
      <c r="CM131" s="19" t="s">
        <v>993</v>
      </c>
      <c r="CN131" s="19"/>
      <c r="CO131" s="19"/>
      <c r="CP131" s="19" t="s">
        <v>538</v>
      </c>
      <c r="CQ131" s="19" t="s">
        <v>539</v>
      </c>
      <c r="CR131" s="19" t="s">
        <v>933</v>
      </c>
      <c r="CS131" s="19" t="s">
        <v>934</v>
      </c>
      <c r="CT131" s="19"/>
      <c r="CU131" s="19"/>
      <c r="CV131" s="19"/>
      <c r="CW131" s="19"/>
      <c r="CX131" s="19"/>
      <c r="CY131" s="19"/>
      <c r="CZ131" s="19"/>
      <c r="DA131" s="19"/>
      <c r="DB131" s="19"/>
      <c r="DC131" s="19"/>
    </row>
    <row r="132" spans="1:107" s="7" customFormat="1" x14ac:dyDescent="0.25">
      <c r="A132" s="19" t="s">
        <v>228</v>
      </c>
      <c r="B132" s="19" t="s">
        <v>80</v>
      </c>
      <c r="C132" s="19" t="str">
        <f t="shared" si="42"/>
        <v>95158953India</v>
      </c>
      <c r="D132" s="19">
        <v>95158953</v>
      </c>
      <c r="E132" s="19" t="s">
        <v>1602</v>
      </c>
      <c r="F132" s="19" t="s">
        <v>261</v>
      </c>
      <c r="G132" s="20" t="s">
        <v>1602</v>
      </c>
      <c r="H132" s="19"/>
      <c r="I132" s="19" t="s">
        <v>230</v>
      </c>
      <c r="J132" s="19" t="s">
        <v>334</v>
      </c>
      <c r="K132" s="19" t="s">
        <v>274</v>
      </c>
      <c r="L132" s="19" t="s">
        <v>233</v>
      </c>
      <c r="M132" s="19" t="s">
        <v>268</v>
      </c>
      <c r="N132" s="19" t="s">
        <v>247</v>
      </c>
      <c r="O132" s="19" t="s">
        <v>275</v>
      </c>
      <c r="P132" s="51" t="s">
        <v>237</v>
      </c>
      <c r="Q132" s="19" t="s">
        <v>441</v>
      </c>
      <c r="R132" s="19">
        <v>5700</v>
      </c>
      <c r="S132" s="19" t="s">
        <v>272</v>
      </c>
      <c r="T132" s="19" t="s">
        <v>263</v>
      </c>
      <c r="U132" s="20" t="s">
        <v>263</v>
      </c>
      <c r="V132" s="19" t="s">
        <v>1554</v>
      </c>
      <c r="W132" s="19" t="s">
        <v>222</v>
      </c>
      <c r="X132" s="35"/>
      <c r="Y132" s="35"/>
      <c r="Z132" s="32"/>
      <c r="AA132" s="22"/>
      <c r="AB132" s="22"/>
      <c r="AC132" s="22"/>
      <c r="AD132" s="22">
        <v>1</v>
      </c>
      <c r="AE132" s="61">
        <f t="shared" si="45"/>
        <v>1</v>
      </c>
      <c r="AF132" s="22"/>
      <c r="AG132" s="40">
        <f t="shared" si="46"/>
        <v>1</v>
      </c>
      <c r="AH132" s="24"/>
      <c r="AI132" s="24"/>
      <c r="AJ132" s="23">
        <f t="shared" si="47"/>
        <v>1</v>
      </c>
      <c r="AK132" s="25"/>
      <c r="AL132" s="25"/>
      <c r="AM132" s="25">
        <v>1</v>
      </c>
      <c r="AN132" s="25"/>
      <c r="AO132" s="25">
        <f t="shared" si="44"/>
        <v>1</v>
      </c>
      <c r="AP132" s="13"/>
      <c r="AQ132" s="21"/>
      <c r="AR132" s="21"/>
      <c r="AS132" s="21"/>
      <c r="AT132" s="21"/>
      <c r="AU132" s="21"/>
      <c r="AV132" s="21"/>
      <c r="AW132" s="21"/>
      <c r="AX132" s="21"/>
      <c r="AY132" s="77"/>
      <c r="AZ132" s="21"/>
      <c r="BA132" s="21"/>
      <c r="BB132" s="21"/>
      <c r="BC132" s="21"/>
      <c r="BD132" s="21"/>
      <c r="BE132" s="21"/>
      <c r="BF132" s="77"/>
      <c r="BG132" s="21">
        <v>1</v>
      </c>
      <c r="BH132" s="21"/>
      <c r="BI132" s="21"/>
      <c r="BJ132" s="21"/>
      <c r="BK132" s="21"/>
      <c r="BL132" s="21"/>
      <c r="BM132" s="77"/>
      <c r="BN132" s="21"/>
      <c r="BO132" s="21"/>
      <c r="BP132" s="21"/>
      <c r="BQ132" s="21"/>
      <c r="BR132" s="21"/>
      <c r="BS132" s="21"/>
      <c r="BT132" s="96">
        <f t="shared" si="25"/>
        <v>1</v>
      </c>
      <c r="BU132" s="94">
        <f t="shared" si="26"/>
        <v>0</v>
      </c>
      <c r="BV132" s="26"/>
      <c r="BW132" s="27"/>
      <c r="BX132" s="19" t="s">
        <v>1602</v>
      </c>
      <c r="BY132" s="19" t="b">
        <f t="shared" si="43"/>
        <v>1</v>
      </c>
      <c r="BZ132" s="53" t="s">
        <v>1602</v>
      </c>
      <c r="CA132" s="19" t="s">
        <v>1659</v>
      </c>
      <c r="CB132" s="19" t="s">
        <v>921</v>
      </c>
      <c r="CC132" s="19" t="s">
        <v>922</v>
      </c>
      <c r="CD132" s="19" t="s">
        <v>923</v>
      </c>
      <c r="CE132" s="19" t="s">
        <v>924</v>
      </c>
      <c r="CF132" s="19" t="s">
        <v>925</v>
      </c>
      <c r="CG132" s="19" t="s">
        <v>926</v>
      </c>
      <c r="CH132" s="19" t="s">
        <v>946</v>
      </c>
      <c r="CI132" s="19" t="s">
        <v>947</v>
      </c>
      <c r="CJ132" s="19" t="s">
        <v>1660</v>
      </c>
      <c r="CK132" s="19" t="s">
        <v>1661</v>
      </c>
      <c r="CL132" s="19" t="s">
        <v>1662</v>
      </c>
      <c r="CM132" s="19" t="s">
        <v>1663</v>
      </c>
      <c r="CN132" s="19"/>
      <c r="CO132" s="19"/>
      <c r="CP132" s="19" t="s">
        <v>538</v>
      </c>
      <c r="CQ132" s="19" t="s">
        <v>539</v>
      </c>
      <c r="CR132" s="19" t="s">
        <v>933</v>
      </c>
      <c r="CS132" s="19" t="s">
        <v>934</v>
      </c>
      <c r="CT132" s="19"/>
      <c r="CU132" s="19"/>
      <c r="CV132" s="19"/>
      <c r="CW132" s="19"/>
      <c r="CX132" s="19"/>
      <c r="CY132" s="19"/>
      <c r="CZ132" s="19"/>
      <c r="DA132" s="19"/>
      <c r="DB132" s="19"/>
      <c r="DC132" s="19"/>
    </row>
    <row r="133" spans="1:107" s="7" customFormat="1" x14ac:dyDescent="0.25">
      <c r="A133" s="19" t="s">
        <v>74</v>
      </c>
      <c r="B133" s="19" t="s">
        <v>1736</v>
      </c>
      <c r="C133" s="19" t="str">
        <f t="shared" si="42"/>
        <v>95258933Registrar IIT Indore</v>
      </c>
      <c r="D133" s="19">
        <v>95258933</v>
      </c>
      <c r="E133" s="19" t="s">
        <v>1820</v>
      </c>
      <c r="F133" s="19" t="s">
        <v>261</v>
      </c>
      <c r="G133" s="20" t="s">
        <v>1820</v>
      </c>
      <c r="H133" s="19"/>
      <c r="I133" s="19" t="s">
        <v>230</v>
      </c>
      <c r="J133" s="19" t="s">
        <v>243</v>
      </c>
      <c r="K133" s="19" t="s">
        <v>266</v>
      </c>
      <c r="L133" s="19" t="s">
        <v>279</v>
      </c>
      <c r="M133" s="19" t="s">
        <v>268</v>
      </c>
      <c r="N133" s="19" t="s">
        <v>269</v>
      </c>
      <c r="O133" s="19" t="s">
        <v>275</v>
      </c>
      <c r="P133" s="51" t="s">
        <v>237</v>
      </c>
      <c r="Q133" s="19" t="s">
        <v>271</v>
      </c>
      <c r="R133" s="19">
        <v>5800</v>
      </c>
      <c r="S133" s="19" t="s">
        <v>272</v>
      </c>
      <c r="T133" s="19" t="s">
        <v>263</v>
      </c>
      <c r="U133" s="20" t="s">
        <v>263</v>
      </c>
      <c r="V133" s="19" t="s">
        <v>1755</v>
      </c>
      <c r="W133" s="19" t="s">
        <v>219</v>
      </c>
      <c r="X133" s="35"/>
      <c r="Y133" s="35"/>
      <c r="Z133" s="32"/>
      <c r="AA133" s="22">
        <v>1</v>
      </c>
      <c r="AB133" s="22"/>
      <c r="AC133" s="22"/>
      <c r="AD133" s="22"/>
      <c r="AE133" s="61">
        <f t="shared" si="45"/>
        <v>1</v>
      </c>
      <c r="AF133" s="22"/>
      <c r="AG133" s="40">
        <f t="shared" si="46"/>
        <v>1</v>
      </c>
      <c r="AH133" s="24"/>
      <c r="AI133" s="24"/>
      <c r="AJ133" s="23">
        <f t="shared" si="47"/>
        <v>1</v>
      </c>
      <c r="AK133" s="25"/>
      <c r="AL133" s="25">
        <v>1</v>
      </c>
      <c r="AM133" s="25"/>
      <c r="AN133" s="25"/>
      <c r="AO133" s="25">
        <f t="shared" si="44"/>
        <v>1</v>
      </c>
      <c r="AP133" s="13"/>
      <c r="AQ133" s="21"/>
      <c r="AR133" s="21"/>
      <c r="AS133" s="21"/>
      <c r="AT133" s="21"/>
      <c r="AU133" s="21"/>
      <c r="AV133" s="21"/>
      <c r="AW133" s="21"/>
      <c r="AX133" s="21"/>
      <c r="AY133" s="77"/>
      <c r="AZ133" s="21"/>
      <c r="BA133" s="21"/>
      <c r="BB133" s="21"/>
      <c r="BC133" s="21"/>
      <c r="BD133" s="21">
        <v>1</v>
      </c>
      <c r="BE133" s="21"/>
      <c r="BF133" s="77"/>
      <c r="BG133" s="21"/>
      <c r="BH133" s="21"/>
      <c r="BI133" s="21"/>
      <c r="BJ133" s="21"/>
      <c r="BK133" s="21"/>
      <c r="BL133" s="21"/>
      <c r="BM133" s="77"/>
      <c r="BN133" s="21"/>
      <c r="BO133" s="21"/>
      <c r="BP133" s="21"/>
      <c r="BQ133" s="21"/>
      <c r="BR133" s="21"/>
      <c r="BS133" s="21"/>
      <c r="BT133" s="96">
        <f t="shared" si="25"/>
        <v>1</v>
      </c>
      <c r="BU133" s="94">
        <f t="shared" si="26"/>
        <v>0</v>
      </c>
      <c r="BV133" s="26"/>
      <c r="BW133" s="27"/>
      <c r="BX133" s="19" t="s">
        <v>1820</v>
      </c>
      <c r="BY133" s="19" t="b">
        <f t="shared" si="43"/>
        <v>1</v>
      </c>
      <c r="BZ133" s="53" t="s">
        <v>1820</v>
      </c>
      <c r="CA133" s="19" t="s">
        <v>1007</v>
      </c>
      <c r="CB133" s="19" t="s">
        <v>886</v>
      </c>
      <c r="CC133" s="19" t="s">
        <v>887</v>
      </c>
      <c r="CD133" s="19" t="s">
        <v>908</v>
      </c>
      <c r="CE133" s="19" t="s">
        <v>909</v>
      </c>
      <c r="CF133" s="19" t="s">
        <v>898</v>
      </c>
      <c r="CG133" s="19" t="s">
        <v>899</v>
      </c>
      <c r="CH133" s="19" t="s">
        <v>875</v>
      </c>
      <c r="CI133" s="19" t="s">
        <v>876</v>
      </c>
      <c r="CJ133" s="19" t="s">
        <v>1003</v>
      </c>
      <c r="CK133" s="19" t="s">
        <v>1004</v>
      </c>
      <c r="CL133" s="19" t="s">
        <v>1008</v>
      </c>
      <c r="CM133" s="19" t="s">
        <v>1009</v>
      </c>
      <c r="CN133" s="19"/>
      <c r="CO133" s="19"/>
      <c r="CP133" s="19" t="s">
        <v>904</v>
      </c>
      <c r="CQ133" s="19" t="s">
        <v>905</v>
      </c>
      <c r="CR133" s="19" t="s">
        <v>910</v>
      </c>
      <c r="CS133" s="19" t="s">
        <v>911</v>
      </c>
      <c r="CT133" s="19"/>
      <c r="CU133" s="19"/>
      <c r="CV133" s="19"/>
      <c r="CW133" s="19"/>
      <c r="CX133" s="19"/>
      <c r="CY133" s="19"/>
      <c r="CZ133" s="19"/>
      <c r="DA133" s="19"/>
      <c r="DB133" s="19"/>
      <c r="DC133" s="19"/>
    </row>
    <row r="134" spans="1:107" s="7" customFormat="1" x14ac:dyDescent="0.25">
      <c r="A134" s="19" t="s">
        <v>228</v>
      </c>
      <c r="B134" s="19" t="s">
        <v>80</v>
      </c>
      <c r="C134" s="19" t="str">
        <f t="shared" si="42"/>
        <v>95255574India</v>
      </c>
      <c r="D134" s="19">
        <v>95255574</v>
      </c>
      <c r="E134" s="19" t="s">
        <v>424</v>
      </c>
      <c r="F134" s="19" t="s">
        <v>261</v>
      </c>
      <c r="G134" s="20" t="s">
        <v>424</v>
      </c>
      <c r="H134" s="19"/>
      <c r="I134" s="19" t="s">
        <v>230</v>
      </c>
      <c r="J134" s="19" t="s">
        <v>243</v>
      </c>
      <c r="K134" s="19" t="s">
        <v>266</v>
      </c>
      <c r="L134" s="19" t="s">
        <v>279</v>
      </c>
      <c r="M134" s="19" t="s">
        <v>268</v>
      </c>
      <c r="N134" s="19" t="s">
        <v>269</v>
      </c>
      <c r="O134" s="19" t="s">
        <v>275</v>
      </c>
      <c r="P134" s="51" t="s">
        <v>237</v>
      </c>
      <c r="Q134" s="19" t="s">
        <v>271</v>
      </c>
      <c r="R134" s="19">
        <v>5800</v>
      </c>
      <c r="S134" s="19" t="s">
        <v>422</v>
      </c>
      <c r="T134" s="19" t="s">
        <v>263</v>
      </c>
      <c r="U134" s="20" t="s">
        <v>1861</v>
      </c>
      <c r="V134" s="19" t="s">
        <v>158</v>
      </c>
      <c r="W134" s="19" t="s">
        <v>221</v>
      </c>
      <c r="X134" s="35">
        <v>75</v>
      </c>
      <c r="Y134" s="35">
        <v>50</v>
      </c>
      <c r="Z134" s="32"/>
      <c r="AA134" s="22">
        <v>18</v>
      </c>
      <c r="AB134" s="22">
        <v>16</v>
      </c>
      <c r="AC134" s="22">
        <v>17</v>
      </c>
      <c r="AD134" s="22">
        <v>32</v>
      </c>
      <c r="AE134" s="61">
        <f t="shared" si="45"/>
        <v>83</v>
      </c>
      <c r="AF134" s="22">
        <v>55</v>
      </c>
      <c r="AG134" s="40">
        <f t="shared" si="46"/>
        <v>138</v>
      </c>
      <c r="AH134" s="24">
        <v>68</v>
      </c>
      <c r="AI134" s="24"/>
      <c r="AJ134" s="23">
        <f t="shared" si="47"/>
        <v>70</v>
      </c>
      <c r="AK134" s="25">
        <v>20</v>
      </c>
      <c r="AL134" s="25"/>
      <c r="AM134" s="25"/>
      <c r="AN134" s="25">
        <v>50</v>
      </c>
      <c r="AO134" s="25">
        <f t="shared" si="44"/>
        <v>70</v>
      </c>
      <c r="AP134" s="13">
        <v>68</v>
      </c>
      <c r="AQ134" s="21">
        <v>20</v>
      </c>
      <c r="AR134" s="21">
        <v>20</v>
      </c>
      <c r="AS134" s="21">
        <v>28</v>
      </c>
      <c r="AT134" s="21"/>
      <c r="AU134" s="21">
        <v>15</v>
      </c>
      <c r="AV134" s="21"/>
      <c r="AW134" s="21"/>
      <c r="AX134" s="21"/>
      <c r="AY134" s="77"/>
      <c r="AZ134" s="21"/>
      <c r="BA134" s="21"/>
      <c r="BB134" s="21"/>
      <c r="BC134" s="21"/>
      <c r="BD134" s="21"/>
      <c r="BE134" s="21"/>
      <c r="BF134" s="77"/>
      <c r="BG134" s="21"/>
      <c r="BH134" s="21"/>
      <c r="BI134" s="21"/>
      <c r="BJ134" s="21"/>
      <c r="BK134" s="21"/>
      <c r="BL134" s="21"/>
      <c r="BM134" s="77"/>
      <c r="BN134" s="21"/>
      <c r="BO134" s="21"/>
      <c r="BP134" s="21"/>
      <c r="BQ134" s="21"/>
      <c r="BR134" s="21"/>
      <c r="BS134" s="21"/>
      <c r="BT134" s="96">
        <f t="shared" ref="BT134:BT197" si="48">SUM(AQ134:BS134)</f>
        <v>83</v>
      </c>
      <c r="BU134" s="94">
        <f t="shared" ref="BU134:BU197" si="49">AO134-BT134</f>
        <v>-13</v>
      </c>
      <c r="BV134" s="26"/>
      <c r="BW134" s="27"/>
      <c r="BX134" s="19" t="s">
        <v>424</v>
      </c>
      <c r="BY134" s="19" t="b">
        <f t="shared" si="43"/>
        <v>1</v>
      </c>
      <c r="BZ134" s="53" t="s">
        <v>424</v>
      </c>
      <c r="CA134" s="19" t="s">
        <v>1002</v>
      </c>
      <c r="CB134" s="19" t="s">
        <v>869</v>
      </c>
      <c r="CC134" s="19" t="s">
        <v>870</v>
      </c>
      <c r="CD134" s="19" t="s">
        <v>908</v>
      </c>
      <c r="CE134" s="19" t="s">
        <v>909</v>
      </c>
      <c r="CF134" s="19" t="s">
        <v>898</v>
      </c>
      <c r="CG134" s="19" t="s">
        <v>899</v>
      </c>
      <c r="CH134" s="19" t="s">
        <v>875</v>
      </c>
      <c r="CI134" s="19" t="s">
        <v>876</v>
      </c>
      <c r="CJ134" s="19" t="s">
        <v>1003</v>
      </c>
      <c r="CK134" s="19" t="s">
        <v>1004</v>
      </c>
      <c r="CL134" s="19" t="s">
        <v>1005</v>
      </c>
      <c r="CM134" s="19" t="s">
        <v>1006</v>
      </c>
      <c r="CN134" s="19"/>
      <c r="CO134" s="19"/>
      <c r="CP134" s="19" t="s">
        <v>904</v>
      </c>
      <c r="CQ134" s="19" t="s">
        <v>905</v>
      </c>
      <c r="CR134" s="19" t="s">
        <v>910</v>
      </c>
      <c r="CS134" s="19" t="s">
        <v>911</v>
      </c>
      <c r="CT134" s="19"/>
      <c r="CU134" s="19"/>
      <c r="CV134" s="19"/>
      <c r="CW134" s="19"/>
      <c r="CX134" s="19"/>
      <c r="CY134" s="19"/>
      <c r="CZ134" s="19"/>
      <c r="DA134" s="19"/>
      <c r="DB134" s="19"/>
      <c r="DC134" s="19"/>
    </row>
    <row r="135" spans="1:107" s="7" customFormat="1" x14ac:dyDescent="0.25">
      <c r="A135" s="19" t="s">
        <v>228</v>
      </c>
      <c r="B135" s="19" t="s">
        <v>80</v>
      </c>
      <c r="C135" s="19" t="str">
        <f t="shared" si="42"/>
        <v>95258927India</v>
      </c>
      <c r="D135" s="19">
        <v>95258927</v>
      </c>
      <c r="E135" s="19" t="s">
        <v>1599</v>
      </c>
      <c r="F135" s="19" t="s">
        <v>261</v>
      </c>
      <c r="G135" s="20" t="s">
        <v>1599</v>
      </c>
      <c r="H135" s="19"/>
      <c r="I135" s="19" t="s">
        <v>230</v>
      </c>
      <c r="J135" s="19" t="s">
        <v>243</v>
      </c>
      <c r="K135" s="19" t="s">
        <v>266</v>
      </c>
      <c r="L135" s="19" t="s">
        <v>279</v>
      </c>
      <c r="M135" s="19" t="s">
        <v>268</v>
      </c>
      <c r="N135" s="19" t="s">
        <v>269</v>
      </c>
      <c r="O135" s="19" t="s">
        <v>275</v>
      </c>
      <c r="P135" s="51" t="s">
        <v>237</v>
      </c>
      <c r="Q135" s="19" t="s">
        <v>271</v>
      </c>
      <c r="R135" s="19">
        <v>5800</v>
      </c>
      <c r="S135" s="19" t="s">
        <v>272</v>
      </c>
      <c r="T135" s="19" t="s">
        <v>263</v>
      </c>
      <c r="U135" s="20" t="s">
        <v>263</v>
      </c>
      <c r="V135" s="19" t="s">
        <v>1600</v>
      </c>
      <c r="W135" s="19" t="s">
        <v>221</v>
      </c>
      <c r="X135" s="35">
        <v>90</v>
      </c>
      <c r="Y135" s="35">
        <v>65</v>
      </c>
      <c r="Z135" s="32"/>
      <c r="AA135" s="22">
        <v>48</v>
      </c>
      <c r="AB135" s="22">
        <v>22</v>
      </c>
      <c r="AC135" s="22">
        <v>17</v>
      </c>
      <c r="AD135" s="22">
        <v>18</v>
      </c>
      <c r="AE135" s="61">
        <f t="shared" si="45"/>
        <v>105</v>
      </c>
      <c r="AF135" s="22">
        <v>58</v>
      </c>
      <c r="AG135" s="40">
        <f t="shared" si="46"/>
        <v>163</v>
      </c>
      <c r="AH135" s="24">
        <v>50</v>
      </c>
      <c r="AI135" s="24">
        <v>25</v>
      </c>
      <c r="AJ135" s="23">
        <f t="shared" si="47"/>
        <v>138</v>
      </c>
      <c r="AK135" s="25">
        <v>40</v>
      </c>
      <c r="AL135" s="25">
        <v>40</v>
      </c>
      <c r="AM135" s="25"/>
      <c r="AN135" s="25">
        <v>58</v>
      </c>
      <c r="AO135" s="25">
        <f t="shared" si="44"/>
        <v>138</v>
      </c>
      <c r="AP135" s="13">
        <v>50</v>
      </c>
      <c r="AQ135" s="21">
        <v>25</v>
      </c>
      <c r="AR135" s="21">
        <v>25</v>
      </c>
      <c r="AS135" s="21">
        <v>8</v>
      </c>
      <c r="AT135" s="21">
        <v>8</v>
      </c>
      <c r="AU135" s="21">
        <v>8</v>
      </c>
      <c r="AV135" s="21">
        <v>8</v>
      </c>
      <c r="AW135" s="21">
        <v>8</v>
      </c>
      <c r="AX135" s="21"/>
      <c r="AY135" s="77"/>
      <c r="AZ135" s="21">
        <v>7</v>
      </c>
      <c r="BA135" s="21">
        <v>8</v>
      </c>
      <c r="BB135" s="21"/>
      <c r="BC135" s="21"/>
      <c r="BD135" s="21"/>
      <c r="BE135" s="21"/>
      <c r="BF135" s="77"/>
      <c r="BG135" s="21"/>
      <c r="BH135" s="21"/>
      <c r="BI135" s="21"/>
      <c r="BJ135" s="21"/>
      <c r="BK135" s="21"/>
      <c r="BL135" s="21"/>
      <c r="BM135" s="77"/>
      <c r="BN135" s="21"/>
      <c r="BO135" s="21"/>
      <c r="BP135" s="21"/>
      <c r="BQ135" s="21"/>
      <c r="BR135" s="21"/>
      <c r="BS135" s="21"/>
      <c r="BT135" s="96">
        <f t="shared" si="48"/>
        <v>105</v>
      </c>
      <c r="BU135" s="94">
        <f t="shared" si="49"/>
        <v>33</v>
      </c>
      <c r="BV135" s="26"/>
      <c r="BW135" s="27"/>
      <c r="BX135" s="19" t="s">
        <v>1599</v>
      </c>
      <c r="BY135" s="19" t="b">
        <f t="shared" si="43"/>
        <v>1</v>
      </c>
      <c r="BZ135" s="53" t="s">
        <v>1599</v>
      </c>
      <c r="CA135" s="19" t="s">
        <v>1007</v>
      </c>
      <c r="CB135" s="19" t="s">
        <v>886</v>
      </c>
      <c r="CC135" s="19" t="s">
        <v>887</v>
      </c>
      <c r="CD135" s="19" t="s">
        <v>908</v>
      </c>
      <c r="CE135" s="19" t="s">
        <v>909</v>
      </c>
      <c r="CF135" s="19" t="s">
        <v>898</v>
      </c>
      <c r="CG135" s="19" t="s">
        <v>899</v>
      </c>
      <c r="CH135" s="19" t="s">
        <v>875</v>
      </c>
      <c r="CI135" s="19" t="s">
        <v>876</v>
      </c>
      <c r="CJ135" s="19" t="s">
        <v>1667</v>
      </c>
      <c r="CK135" s="19" t="s">
        <v>1668</v>
      </c>
      <c r="CL135" s="19" t="s">
        <v>1008</v>
      </c>
      <c r="CM135" s="19" t="s">
        <v>1009</v>
      </c>
      <c r="CN135" s="19"/>
      <c r="CO135" s="19"/>
      <c r="CP135" s="19" t="s">
        <v>904</v>
      </c>
      <c r="CQ135" s="19" t="s">
        <v>905</v>
      </c>
      <c r="CR135" s="19" t="s">
        <v>910</v>
      </c>
      <c r="CS135" s="19" t="s">
        <v>911</v>
      </c>
      <c r="CT135" s="19"/>
      <c r="CU135" s="19"/>
      <c r="CV135" s="19"/>
      <c r="CW135" s="19"/>
      <c r="CX135" s="19"/>
      <c r="CY135" s="19"/>
      <c r="CZ135" s="19"/>
      <c r="DA135" s="19"/>
      <c r="DB135" s="19"/>
      <c r="DC135" s="19"/>
    </row>
    <row r="136" spans="1:107" s="7" customFormat="1" x14ac:dyDescent="0.25">
      <c r="A136" s="19" t="s">
        <v>228</v>
      </c>
      <c r="B136" s="19" t="s">
        <v>80</v>
      </c>
      <c r="C136" s="19" t="str">
        <f t="shared" si="42"/>
        <v>95258926India</v>
      </c>
      <c r="D136" s="19">
        <v>95258926</v>
      </c>
      <c r="E136" s="19" t="s">
        <v>425</v>
      </c>
      <c r="F136" s="19" t="s">
        <v>261</v>
      </c>
      <c r="G136" s="20" t="s">
        <v>425</v>
      </c>
      <c r="H136" s="19"/>
      <c r="I136" s="19" t="s">
        <v>230</v>
      </c>
      <c r="J136" s="19" t="s">
        <v>243</v>
      </c>
      <c r="K136" s="19" t="s">
        <v>266</v>
      </c>
      <c r="L136" s="19" t="s">
        <v>279</v>
      </c>
      <c r="M136" s="19" t="s">
        <v>268</v>
      </c>
      <c r="N136" s="19" t="s">
        <v>269</v>
      </c>
      <c r="O136" s="19" t="s">
        <v>275</v>
      </c>
      <c r="P136" s="51" t="s">
        <v>237</v>
      </c>
      <c r="Q136" s="19" t="s">
        <v>271</v>
      </c>
      <c r="R136" s="19">
        <v>5800</v>
      </c>
      <c r="S136" s="19" t="s">
        <v>272</v>
      </c>
      <c r="T136" s="19" t="s">
        <v>263</v>
      </c>
      <c r="U136" s="20" t="s">
        <v>263</v>
      </c>
      <c r="V136" s="19" t="s">
        <v>160</v>
      </c>
      <c r="W136" s="19" t="s">
        <v>221</v>
      </c>
      <c r="X136" s="35">
        <v>27</v>
      </c>
      <c r="Y136" s="35">
        <v>27</v>
      </c>
      <c r="Z136" s="32"/>
      <c r="AA136" s="22">
        <v>11</v>
      </c>
      <c r="AB136" s="22">
        <v>6</v>
      </c>
      <c r="AC136" s="22">
        <v>26</v>
      </c>
      <c r="AD136" s="22">
        <v>12</v>
      </c>
      <c r="AE136" s="61">
        <f t="shared" si="45"/>
        <v>55</v>
      </c>
      <c r="AF136" s="22"/>
      <c r="AG136" s="40">
        <f t="shared" si="46"/>
        <v>55</v>
      </c>
      <c r="AH136" s="24"/>
      <c r="AI136" s="24">
        <v>27</v>
      </c>
      <c r="AJ136" s="23">
        <f t="shared" si="47"/>
        <v>82</v>
      </c>
      <c r="AK136" s="25">
        <v>42</v>
      </c>
      <c r="AL136" s="25">
        <v>40</v>
      </c>
      <c r="AM136" s="25"/>
      <c r="AN136" s="25"/>
      <c r="AO136" s="25">
        <f t="shared" si="44"/>
        <v>82</v>
      </c>
      <c r="AP136" s="13"/>
      <c r="AQ136" s="21"/>
      <c r="AR136" s="21"/>
      <c r="AS136" s="21">
        <v>7</v>
      </c>
      <c r="AT136" s="21">
        <v>7</v>
      </c>
      <c r="AU136" s="21">
        <v>7</v>
      </c>
      <c r="AV136" s="21">
        <v>7</v>
      </c>
      <c r="AW136" s="21">
        <v>7</v>
      </c>
      <c r="AX136" s="21">
        <v>7</v>
      </c>
      <c r="AY136" s="77"/>
      <c r="AZ136" s="21"/>
      <c r="BA136" s="21"/>
      <c r="BB136" s="21">
        <v>6</v>
      </c>
      <c r="BC136" s="21">
        <v>7</v>
      </c>
      <c r="BD136" s="21"/>
      <c r="BE136" s="21"/>
      <c r="BF136" s="77"/>
      <c r="BG136" s="21"/>
      <c r="BH136" s="21"/>
      <c r="BI136" s="21"/>
      <c r="BJ136" s="21"/>
      <c r="BK136" s="21"/>
      <c r="BL136" s="21"/>
      <c r="BM136" s="77"/>
      <c r="BN136" s="21"/>
      <c r="BO136" s="21"/>
      <c r="BP136" s="21"/>
      <c r="BQ136" s="21"/>
      <c r="BR136" s="21"/>
      <c r="BS136" s="21"/>
      <c r="BT136" s="96">
        <f t="shared" si="48"/>
        <v>55</v>
      </c>
      <c r="BU136" s="94">
        <f t="shared" si="49"/>
        <v>27</v>
      </c>
      <c r="BV136" s="26"/>
      <c r="BW136" s="27"/>
      <c r="BX136" s="19" t="s">
        <v>425</v>
      </c>
      <c r="BY136" s="19" t="b">
        <f t="shared" si="43"/>
        <v>1</v>
      </c>
      <c r="BZ136" s="53" t="s">
        <v>425</v>
      </c>
      <c r="CA136" s="19" t="s">
        <v>1010</v>
      </c>
      <c r="CB136" s="19" t="s">
        <v>886</v>
      </c>
      <c r="CC136" s="19" t="s">
        <v>887</v>
      </c>
      <c r="CD136" s="19" t="s">
        <v>908</v>
      </c>
      <c r="CE136" s="19" t="s">
        <v>909</v>
      </c>
      <c r="CF136" s="19" t="s">
        <v>898</v>
      </c>
      <c r="CG136" s="19" t="s">
        <v>899</v>
      </c>
      <c r="CH136" s="19" t="s">
        <v>875</v>
      </c>
      <c r="CI136" s="19" t="s">
        <v>876</v>
      </c>
      <c r="CJ136" s="19" t="s">
        <v>1011</v>
      </c>
      <c r="CK136" s="19" t="s">
        <v>1012</v>
      </c>
      <c r="CL136" s="19" t="s">
        <v>1013</v>
      </c>
      <c r="CM136" s="19" t="s">
        <v>1014</v>
      </c>
      <c r="CN136" s="19"/>
      <c r="CO136" s="19"/>
      <c r="CP136" s="19" t="s">
        <v>904</v>
      </c>
      <c r="CQ136" s="19" t="s">
        <v>905</v>
      </c>
      <c r="CR136" s="19" t="s">
        <v>910</v>
      </c>
      <c r="CS136" s="19" t="s">
        <v>911</v>
      </c>
      <c r="CT136" s="19"/>
      <c r="CU136" s="19"/>
      <c r="CV136" s="19"/>
      <c r="CW136" s="19"/>
      <c r="CX136" s="19"/>
      <c r="CY136" s="19"/>
      <c r="CZ136" s="19"/>
      <c r="DA136" s="19"/>
      <c r="DB136" s="19"/>
      <c r="DC136" s="19"/>
    </row>
    <row r="137" spans="1:107" s="7" customFormat="1" x14ac:dyDescent="0.25">
      <c r="A137" s="19" t="s">
        <v>228</v>
      </c>
      <c r="B137" s="19" t="s">
        <v>80</v>
      </c>
      <c r="C137" s="19" t="str">
        <f t="shared" si="42"/>
        <v>95259071India</v>
      </c>
      <c r="D137" s="19">
        <v>95259071</v>
      </c>
      <c r="E137" s="19" t="s">
        <v>445</v>
      </c>
      <c r="F137" s="19" t="s">
        <v>261</v>
      </c>
      <c r="G137" s="20" t="s">
        <v>445</v>
      </c>
      <c r="H137" s="19"/>
      <c r="I137" s="19" t="s">
        <v>230</v>
      </c>
      <c r="J137" s="19" t="s">
        <v>243</v>
      </c>
      <c r="K137" s="19" t="s">
        <v>266</v>
      </c>
      <c r="L137" s="19" t="s">
        <v>279</v>
      </c>
      <c r="M137" s="19" t="s">
        <v>268</v>
      </c>
      <c r="N137" s="19" t="s">
        <v>269</v>
      </c>
      <c r="O137" s="19" t="s">
        <v>275</v>
      </c>
      <c r="P137" s="51" t="s">
        <v>237</v>
      </c>
      <c r="Q137" s="19" t="s">
        <v>271</v>
      </c>
      <c r="R137" s="19">
        <v>5800</v>
      </c>
      <c r="S137" s="19" t="s">
        <v>272</v>
      </c>
      <c r="T137" s="19" t="s">
        <v>263</v>
      </c>
      <c r="U137" s="20" t="s">
        <v>263</v>
      </c>
      <c r="V137" s="19" t="s">
        <v>174</v>
      </c>
      <c r="W137" s="19" t="s">
        <v>221</v>
      </c>
      <c r="X137" s="35">
        <v>8</v>
      </c>
      <c r="Y137" s="35">
        <v>8</v>
      </c>
      <c r="Z137" s="32"/>
      <c r="AA137" s="22">
        <v>5</v>
      </c>
      <c r="AB137" s="22">
        <v>3</v>
      </c>
      <c r="AC137" s="22">
        <v>2</v>
      </c>
      <c r="AD137" s="22">
        <v>2</v>
      </c>
      <c r="AE137" s="61">
        <f t="shared" si="45"/>
        <v>12</v>
      </c>
      <c r="AF137" s="22"/>
      <c r="AG137" s="40">
        <f t="shared" si="46"/>
        <v>12</v>
      </c>
      <c r="AH137" s="24">
        <v>2</v>
      </c>
      <c r="AI137" s="24">
        <v>8</v>
      </c>
      <c r="AJ137" s="23">
        <f t="shared" si="47"/>
        <v>18</v>
      </c>
      <c r="AK137" s="25"/>
      <c r="AL137" s="25">
        <v>9</v>
      </c>
      <c r="AM137" s="25">
        <v>9</v>
      </c>
      <c r="AN137" s="25"/>
      <c r="AO137" s="25">
        <f t="shared" si="44"/>
        <v>18</v>
      </c>
      <c r="AP137" s="13">
        <v>2</v>
      </c>
      <c r="AQ137" s="21">
        <v>2</v>
      </c>
      <c r="AR137" s="21"/>
      <c r="AS137" s="21"/>
      <c r="AT137" s="21"/>
      <c r="AU137" s="21"/>
      <c r="AV137" s="21"/>
      <c r="AW137" s="21"/>
      <c r="AX137" s="21"/>
      <c r="AY137" s="77"/>
      <c r="AZ137" s="21"/>
      <c r="BA137" s="21"/>
      <c r="BB137" s="21"/>
      <c r="BC137" s="21"/>
      <c r="BD137" s="21"/>
      <c r="BE137" s="21"/>
      <c r="BF137" s="77"/>
      <c r="BG137" s="21">
        <v>3</v>
      </c>
      <c r="BH137" s="21">
        <v>3</v>
      </c>
      <c r="BI137" s="21">
        <v>4</v>
      </c>
      <c r="BJ137" s="21"/>
      <c r="BK137" s="21"/>
      <c r="BL137" s="21"/>
      <c r="BM137" s="77"/>
      <c r="BN137" s="21"/>
      <c r="BO137" s="21"/>
      <c r="BP137" s="21"/>
      <c r="BQ137" s="21">
        <v>4</v>
      </c>
      <c r="BR137" s="21">
        <v>4</v>
      </c>
      <c r="BS137" s="21"/>
      <c r="BT137" s="96">
        <f t="shared" si="48"/>
        <v>20</v>
      </c>
      <c r="BU137" s="94">
        <f t="shared" si="49"/>
        <v>-2</v>
      </c>
      <c r="BV137" s="26"/>
      <c r="BW137" s="27"/>
      <c r="BX137" s="19" t="s">
        <v>445</v>
      </c>
      <c r="BY137" s="19" t="b">
        <f t="shared" si="43"/>
        <v>1</v>
      </c>
      <c r="BZ137" s="53" t="s">
        <v>445</v>
      </c>
      <c r="CA137" s="19" t="s">
        <v>1028</v>
      </c>
      <c r="CB137" s="19" t="s">
        <v>886</v>
      </c>
      <c r="CC137" s="19" t="s">
        <v>887</v>
      </c>
      <c r="CD137" s="19" t="s">
        <v>1024</v>
      </c>
      <c r="CE137" s="19" t="s">
        <v>707</v>
      </c>
      <c r="CF137" s="19" t="s">
        <v>1015</v>
      </c>
      <c r="CG137" s="19" t="s">
        <v>1016</v>
      </c>
      <c r="CH137" s="19" t="s">
        <v>1017</v>
      </c>
      <c r="CI137" s="19" t="s">
        <v>876</v>
      </c>
      <c r="CJ137" s="19" t="s">
        <v>1018</v>
      </c>
      <c r="CK137" s="19" t="s">
        <v>1019</v>
      </c>
      <c r="CL137" s="19" t="s">
        <v>1029</v>
      </c>
      <c r="CM137" s="19" t="s">
        <v>1030</v>
      </c>
      <c r="CN137" s="19"/>
      <c r="CO137" s="19"/>
      <c r="CP137" s="19" t="s">
        <v>1020</v>
      </c>
      <c r="CQ137" s="19" t="s">
        <v>1021</v>
      </c>
      <c r="CR137" s="19" t="s">
        <v>1026</v>
      </c>
      <c r="CS137" s="19" t="s">
        <v>1027</v>
      </c>
      <c r="CT137" s="19"/>
      <c r="CU137" s="19"/>
      <c r="CV137" s="19"/>
      <c r="CW137" s="19"/>
      <c r="CX137" s="19"/>
      <c r="CY137" s="19"/>
      <c r="CZ137" s="19"/>
      <c r="DA137" s="19"/>
      <c r="DB137" s="19"/>
      <c r="DC137" s="19"/>
    </row>
    <row r="138" spans="1:107" s="7" customFormat="1" x14ac:dyDescent="0.25">
      <c r="A138" s="19" t="s">
        <v>228</v>
      </c>
      <c r="B138" s="19" t="s">
        <v>80</v>
      </c>
      <c r="C138" s="19" t="str">
        <f t="shared" si="42"/>
        <v>95258929India</v>
      </c>
      <c r="D138" s="19">
        <v>95258929</v>
      </c>
      <c r="E138" s="19" t="s">
        <v>1820</v>
      </c>
      <c r="F138" s="19" t="s">
        <v>261</v>
      </c>
      <c r="G138" s="20" t="s">
        <v>1820</v>
      </c>
      <c r="H138" s="19"/>
      <c r="I138" s="19" t="s">
        <v>230</v>
      </c>
      <c r="J138" s="19" t="s">
        <v>243</v>
      </c>
      <c r="K138" s="19" t="s">
        <v>266</v>
      </c>
      <c r="L138" s="19" t="s">
        <v>279</v>
      </c>
      <c r="M138" s="19" t="s">
        <v>268</v>
      </c>
      <c r="N138" s="19" t="s">
        <v>269</v>
      </c>
      <c r="O138" s="19" t="s">
        <v>275</v>
      </c>
      <c r="P138" s="51" t="s">
        <v>237</v>
      </c>
      <c r="Q138" s="19" t="s">
        <v>271</v>
      </c>
      <c r="R138" s="19">
        <v>5800</v>
      </c>
      <c r="S138" s="19" t="s">
        <v>272</v>
      </c>
      <c r="T138" s="19" t="s">
        <v>263</v>
      </c>
      <c r="U138" s="20" t="s">
        <v>263</v>
      </c>
      <c r="V138" s="19" t="s">
        <v>1779</v>
      </c>
      <c r="W138" s="19" t="s">
        <v>221</v>
      </c>
      <c r="X138" s="35">
        <v>5</v>
      </c>
      <c r="Y138" s="35">
        <v>3</v>
      </c>
      <c r="Z138" s="32"/>
      <c r="AA138" s="22">
        <v>4</v>
      </c>
      <c r="AB138" s="22">
        <v>1</v>
      </c>
      <c r="AC138" s="22">
        <v>1</v>
      </c>
      <c r="AD138" s="22"/>
      <c r="AE138" s="61">
        <f t="shared" si="45"/>
        <v>6</v>
      </c>
      <c r="AF138" s="22"/>
      <c r="AG138" s="40">
        <f t="shared" si="46"/>
        <v>6</v>
      </c>
      <c r="AH138" s="24"/>
      <c r="AI138" s="24">
        <v>5</v>
      </c>
      <c r="AJ138" s="23">
        <f t="shared" si="47"/>
        <v>11</v>
      </c>
      <c r="AK138" s="25"/>
      <c r="AL138" s="25">
        <v>5</v>
      </c>
      <c r="AM138" s="25">
        <v>6</v>
      </c>
      <c r="AN138" s="25"/>
      <c r="AO138" s="25">
        <f t="shared" si="44"/>
        <v>11</v>
      </c>
      <c r="AP138" s="13"/>
      <c r="AQ138" s="21"/>
      <c r="AR138" s="21"/>
      <c r="AS138" s="21"/>
      <c r="AT138" s="21"/>
      <c r="AU138" s="21"/>
      <c r="AV138" s="21"/>
      <c r="AW138" s="21"/>
      <c r="AX138" s="21"/>
      <c r="AY138" s="77"/>
      <c r="AZ138" s="21"/>
      <c r="BA138" s="21"/>
      <c r="BB138" s="21"/>
      <c r="BC138" s="21"/>
      <c r="BD138" s="21"/>
      <c r="BE138" s="21"/>
      <c r="BF138" s="77"/>
      <c r="BG138" s="21">
        <v>2</v>
      </c>
      <c r="BH138" s="21">
        <v>2</v>
      </c>
      <c r="BI138" s="21">
        <v>2</v>
      </c>
      <c r="BJ138" s="21"/>
      <c r="BK138" s="21"/>
      <c r="BL138" s="21"/>
      <c r="BM138" s="77"/>
      <c r="BN138" s="21"/>
      <c r="BO138" s="21"/>
      <c r="BP138" s="21"/>
      <c r="BQ138" s="21"/>
      <c r="BR138" s="21"/>
      <c r="BS138" s="21"/>
      <c r="BT138" s="96">
        <f t="shared" si="48"/>
        <v>6</v>
      </c>
      <c r="BU138" s="94">
        <f t="shared" si="49"/>
        <v>5</v>
      </c>
      <c r="BV138" s="26"/>
      <c r="BW138" s="27"/>
      <c r="BX138" s="19" t="s">
        <v>1820</v>
      </c>
      <c r="BY138" s="19" t="b">
        <f t="shared" si="43"/>
        <v>1</v>
      </c>
      <c r="BZ138" s="53" t="s">
        <v>1820</v>
      </c>
      <c r="CA138" s="19" t="s">
        <v>1007</v>
      </c>
      <c r="CB138" s="19" t="s">
        <v>886</v>
      </c>
      <c r="CC138" s="19" t="s">
        <v>887</v>
      </c>
      <c r="CD138" s="19" t="s">
        <v>908</v>
      </c>
      <c r="CE138" s="19" t="s">
        <v>909</v>
      </c>
      <c r="CF138" s="19" t="s">
        <v>898</v>
      </c>
      <c r="CG138" s="19" t="s">
        <v>899</v>
      </c>
      <c r="CH138" s="19" t="s">
        <v>875</v>
      </c>
      <c r="CI138" s="19" t="s">
        <v>876</v>
      </c>
      <c r="CJ138" s="19" t="s">
        <v>1003</v>
      </c>
      <c r="CK138" s="19" t="s">
        <v>1004</v>
      </c>
      <c r="CL138" s="19" t="s">
        <v>1008</v>
      </c>
      <c r="CM138" s="19" t="s">
        <v>1009</v>
      </c>
      <c r="CN138" s="19"/>
      <c r="CO138" s="19"/>
      <c r="CP138" s="19" t="s">
        <v>904</v>
      </c>
      <c r="CQ138" s="19" t="s">
        <v>905</v>
      </c>
      <c r="CR138" s="19" t="s">
        <v>910</v>
      </c>
      <c r="CS138" s="19" t="s">
        <v>911</v>
      </c>
      <c r="CT138" s="19"/>
      <c r="CU138" s="19"/>
      <c r="CV138" s="19"/>
      <c r="CW138" s="19"/>
      <c r="CX138" s="19"/>
      <c r="CY138" s="19"/>
      <c r="CZ138" s="19"/>
      <c r="DA138" s="19"/>
      <c r="DB138" s="19"/>
      <c r="DC138" s="19"/>
    </row>
    <row r="139" spans="1:107" s="7" customFormat="1" x14ac:dyDescent="0.25">
      <c r="A139" s="19" t="s">
        <v>228</v>
      </c>
      <c r="B139" s="19" t="s">
        <v>80</v>
      </c>
      <c r="C139" s="19" t="str">
        <f t="shared" si="42"/>
        <v>95259088India</v>
      </c>
      <c r="D139" s="19">
        <v>95259088</v>
      </c>
      <c r="E139" s="19" t="s">
        <v>1839</v>
      </c>
      <c r="F139" s="19" t="s">
        <v>261</v>
      </c>
      <c r="G139" s="20" t="s">
        <v>1839</v>
      </c>
      <c r="H139" s="19"/>
      <c r="I139" s="19" t="s">
        <v>230</v>
      </c>
      <c r="J139" s="19" t="s">
        <v>243</v>
      </c>
      <c r="K139" s="19" t="s">
        <v>266</v>
      </c>
      <c r="L139" s="19" t="s">
        <v>279</v>
      </c>
      <c r="M139" s="19" t="s">
        <v>268</v>
      </c>
      <c r="N139" s="19" t="s">
        <v>269</v>
      </c>
      <c r="O139" s="19" t="s">
        <v>275</v>
      </c>
      <c r="P139" s="51" t="s">
        <v>237</v>
      </c>
      <c r="Q139" s="19" t="s">
        <v>271</v>
      </c>
      <c r="R139" s="19">
        <v>5800</v>
      </c>
      <c r="S139" s="19" t="s">
        <v>272</v>
      </c>
      <c r="T139" s="19" t="s">
        <v>263</v>
      </c>
      <c r="U139" s="20" t="s">
        <v>263</v>
      </c>
      <c r="V139" s="19" t="s">
        <v>1783</v>
      </c>
      <c r="W139" s="19" t="s">
        <v>222</v>
      </c>
      <c r="X139" s="35">
        <v>5</v>
      </c>
      <c r="Y139" s="35">
        <v>4</v>
      </c>
      <c r="Z139" s="32"/>
      <c r="AA139" s="22">
        <v>9</v>
      </c>
      <c r="AB139" s="22"/>
      <c r="AC139" s="22"/>
      <c r="AD139" s="22">
        <v>2</v>
      </c>
      <c r="AE139" s="61">
        <f t="shared" si="45"/>
        <v>11</v>
      </c>
      <c r="AF139" s="22"/>
      <c r="AG139" s="40">
        <f t="shared" si="46"/>
        <v>11</v>
      </c>
      <c r="AH139" s="24"/>
      <c r="AI139" s="24">
        <v>5</v>
      </c>
      <c r="AJ139" s="23">
        <f t="shared" si="47"/>
        <v>16</v>
      </c>
      <c r="AK139" s="25">
        <v>8</v>
      </c>
      <c r="AL139" s="25">
        <v>8</v>
      </c>
      <c r="AM139" s="25"/>
      <c r="AN139" s="25"/>
      <c r="AO139" s="25">
        <f t="shared" si="44"/>
        <v>16</v>
      </c>
      <c r="AP139" s="13"/>
      <c r="AQ139" s="21"/>
      <c r="AR139" s="21"/>
      <c r="AS139" s="21"/>
      <c r="AT139" s="21"/>
      <c r="AU139" s="21"/>
      <c r="AV139" s="21"/>
      <c r="AW139" s="21"/>
      <c r="AX139" s="21"/>
      <c r="AY139" s="77"/>
      <c r="AZ139" s="21"/>
      <c r="BA139" s="21"/>
      <c r="BB139" s="21"/>
      <c r="BC139" s="21"/>
      <c r="BD139" s="21"/>
      <c r="BE139" s="21"/>
      <c r="BF139" s="77"/>
      <c r="BG139" s="21">
        <v>3</v>
      </c>
      <c r="BH139" s="21">
        <v>4</v>
      </c>
      <c r="BI139" s="21">
        <v>4</v>
      </c>
      <c r="BJ139" s="21"/>
      <c r="BK139" s="21"/>
      <c r="BL139" s="21"/>
      <c r="BM139" s="77"/>
      <c r="BN139" s="21"/>
      <c r="BO139" s="21"/>
      <c r="BP139" s="21"/>
      <c r="BQ139" s="21"/>
      <c r="BR139" s="21"/>
      <c r="BS139" s="21"/>
      <c r="BT139" s="96">
        <f t="shared" si="48"/>
        <v>11</v>
      </c>
      <c r="BU139" s="94">
        <f t="shared" si="49"/>
        <v>5</v>
      </c>
      <c r="BV139" s="26"/>
      <c r="BW139" s="27"/>
      <c r="BX139" s="19" t="s">
        <v>1839</v>
      </c>
      <c r="BY139" s="19" t="b">
        <f t="shared" si="43"/>
        <v>1</v>
      </c>
      <c r="BZ139" s="53" t="s">
        <v>1839</v>
      </c>
      <c r="CA139" s="19" t="s">
        <v>1031</v>
      </c>
      <c r="CB139" s="19" t="s">
        <v>886</v>
      </c>
      <c r="CC139" s="19" t="s">
        <v>887</v>
      </c>
      <c r="CD139" s="19" t="s">
        <v>1024</v>
      </c>
      <c r="CE139" s="19" t="s">
        <v>707</v>
      </c>
      <c r="CF139" s="19" t="s">
        <v>1015</v>
      </c>
      <c r="CG139" s="19" t="s">
        <v>1016</v>
      </c>
      <c r="CH139" s="19" t="s">
        <v>1017</v>
      </c>
      <c r="CI139" s="19" t="s">
        <v>876</v>
      </c>
      <c r="CJ139" s="19" t="s">
        <v>1032</v>
      </c>
      <c r="CK139" s="19" t="s">
        <v>1033</v>
      </c>
      <c r="CL139" s="19" t="s">
        <v>1034</v>
      </c>
      <c r="CM139" s="19" t="s">
        <v>1035</v>
      </c>
      <c r="CN139" s="19"/>
      <c r="CO139" s="19"/>
      <c r="CP139" s="19" t="s">
        <v>1020</v>
      </c>
      <c r="CQ139" s="19" t="s">
        <v>1021</v>
      </c>
      <c r="CR139" s="19" t="s">
        <v>1026</v>
      </c>
      <c r="CS139" s="19" t="s">
        <v>1027</v>
      </c>
      <c r="CT139" s="19"/>
      <c r="CU139" s="19"/>
      <c r="CV139" s="19"/>
      <c r="CW139" s="19"/>
      <c r="CX139" s="19"/>
      <c r="CY139" s="19"/>
      <c r="CZ139" s="19"/>
      <c r="DA139" s="19"/>
      <c r="DB139" s="19"/>
      <c r="DC139" s="19"/>
    </row>
    <row r="140" spans="1:107" s="7" customFormat="1" x14ac:dyDescent="0.25">
      <c r="A140" s="19" t="s">
        <v>228</v>
      </c>
      <c r="B140" s="19" t="s">
        <v>80</v>
      </c>
      <c r="C140" s="19" t="str">
        <f t="shared" si="42"/>
        <v>95258937India</v>
      </c>
      <c r="D140" s="19">
        <v>95258937</v>
      </c>
      <c r="E140" s="19" t="s">
        <v>1525</v>
      </c>
      <c r="F140" s="19" t="s">
        <v>261</v>
      </c>
      <c r="G140" s="20" t="s">
        <v>1525</v>
      </c>
      <c r="H140" s="19"/>
      <c r="I140" s="19" t="s">
        <v>230</v>
      </c>
      <c r="J140" s="19" t="s">
        <v>243</v>
      </c>
      <c r="K140" s="19" t="s">
        <v>266</v>
      </c>
      <c r="L140" s="19" t="s">
        <v>267</v>
      </c>
      <c r="M140" s="19" t="s">
        <v>268</v>
      </c>
      <c r="N140" s="19" t="s">
        <v>269</v>
      </c>
      <c r="O140" s="19" t="s">
        <v>275</v>
      </c>
      <c r="P140" s="51" t="s">
        <v>237</v>
      </c>
      <c r="Q140" s="19" t="s">
        <v>271</v>
      </c>
      <c r="R140" s="19">
        <v>5800</v>
      </c>
      <c r="S140" s="19" t="s">
        <v>272</v>
      </c>
      <c r="T140" s="19" t="s">
        <v>263</v>
      </c>
      <c r="U140" s="20" t="s">
        <v>263</v>
      </c>
      <c r="V140" s="19" t="s">
        <v>1555</v>
      </c>
      <c r="W140" s="19" t="s">
        <v>222</v>
      </c>
      <c r="X140" s="35"/>
      <c r="Y140" s="35"/>
      <c r="Z140" s="32"/>
      <c r="AA140" s="22">
        <v>2</v>
      </c>
      <c r="AB140" s="22"/>
      <c r="AC140" s="22">
        <v>2</v>
      </c>
      <c r="AD140" s="22">
        <v>3</v>
      </c>
      <c r="AE140" s="61">
        <f t="shared" si="45"/>
        <v>7</v>
      </c>
      <c r="AF140" s="22"/>
      <c r="AG140" s="40">
        <f t="shared" si="46"/>
        <v>7</v>
      </c>
      <c r="AH140" s="24"/>
      <c r="AI140" s="24"/>
      <c r="AJ140" s="23">
        <f t="shared" si="47"/>
        <v>7</v>
      </c>
      <c r="AK140" s="25"/>
      <c r="AL140" s="25">
        <v>7</v>
      </c>
      <c r="AM140" s="25"/>
      <c r="AN140" s="25"/>
      <c r="AO140" s="25">
        <f t="shared" si="44"/>
        <v>7</v>
      </c>
      <c r="AP140" s="13"/>
      <c r="AQ140" s="21"/>
      <c r="AR140" s="21"/>
      <c r="AS140" s="21"/>
      <c r="AT140" s="21"/>
      <c r="AU140" s="21"/>
      <c r="AV140" s="21"/>
      <c r="AW140" s="21"/>
      <c r="AX140" s="21"/>
      <c r="AY140" s="77"/>
      <c r="AZ140" s="21"/>
      <c r="BA140" s="21"/>
      <c r="BB140" s="21"/>
      <c r="BC140" s="21"/>
      <c r="BD140" s="21"/>
      <c r="BE140" s="21"/>
      <c r="BF140" s="77"/>
      <c r="BG140" s="21">
        <v>2</v>
      </c>
      <c r="BH140" s="21">
        <v>2</v>
      </c>
      <c r="BI140" s="21">
        <v>3</v>
      </c>
      <c r="BJ140" s="21"/>
      <c r="BK140" s="21"/>
      <c r="BL140" s="21"/>
      <c r="BM140" s="77"/>
      <c r="BN140" s="21"/>
      <c r="BO140" s="21"/>
      <c r="BP140" s="21"/>
      <c r="BQ140" s="21"/>
      <c r="BR140" s="21"/>
      <c r="BS140" s="21"/>
      <c r="BT140" s="96">
        <f t="shared" si="48"/>
        <v>7</v>
      </c>
      <c r="BU140" s="94">
        <f t="shared" si="49"/>
        <v>0</v>
      </c>
      <c r="BV140" s="26"/>
      <c r="BW140" s="27"/>
      <c r="BX140" s="19" t="s">
        <v>1525</v>
      </c>
      <c r="BY140" s="19" t="b">
        <f t="shared" si="43"/>
        <v>1</v>
      </c>
      <c r="BZ140" s="53" t="s">
        <v>1525</v>
      </c>
      <c r="CA140" s="19" t="s">
        <v>1669</v>
      </c>
      <c r="CB140" s="19" t="s">
        <v>886</v>
      </c>
      <c r="CC140" s="19" t="s">
        <v>887</v>
      </c>
      <c r="CD140" s="19" t="s">
        <v>908</v>
      </c>
      <c r="CE140" s="19" t="s">
        <v>909</v>
      </c>
      <c r="CF140" s="19" t="s">
        <v>898</v>
      </c>
      <c r="CG140" s="19" t="s">
        <v>899</v>
      </c>
      <c r="CH140" s="19" t="s">
        <v>875</v>
      </c>
      <c r="CI140" s="19" t="s">
        <v>876</v>
      </c>
      <c r="CJ140" s="19" t="s">
        <v>1059</v>
      </c>
      <c r="CK140" s="19" t="s">
        <v>1060</v>
      </c>
      <c r="CL140" s="19" t="s">
        <v>1008</v>
      </c>
      <c r="CM140" s="19" t="s">
        <v>1009</v>
      </c>
      <c r="CN140" s="19"/>
      <c r="CO140" s="19"/>
      <c r="CP140" s="19" t="s">
        <v>904</v>
      </c>
      <c r="CQ140" s="19" t="s">
        <v>905</v>
      </c>
      <c r="CR140" s="19" t="s">
        <v>910</v>
      </c>
      <c r="CS140" s="19" t="s">
        <v>911</v>
      </c>
      <c r="CT140" s="19"/>
      <c r="CU140" s="19"/>
      <c r="CV140" s="19"/>
      <c r="CW140" s="19"/>
      <c r="CX140" s="19"/>
      <c r="CY140" s="19"/>
      <c r="CZ140" s="19"/>
      <c r="DA140" s="19"/>
      <c r="DB140" s="19"/>
      <c r="DC140" s="19"/>
    </row>
    <row r="141" spans="1:107" s="7" customFormat="1" x14ac:dyDescent="0.25">
      <c r="A141" s="19" t="s">
        <v>228</v>
      </c>
      <c r="B141" s="19" t="s">
        <v>80</v>
      </c>
      <c r="C141" s="19" t="str">
        <f t="shared" si="42"/>
        <v>95259082India</v>
      </c>
      <c r="D141" s="19">
        <v>95259082</v>
      </c>
      <c r="E141" s="19" t="s">
        <v>457</v>
      </c>
      <c r="F141" s="19" t="s">
        <v>261</v>
      </c>
      <c r="G141" s="20" t="s">
        <v>457</v>
      </c>
      <c r="H141" s="19"/>
      <c r="I141" s="19" t="s">
        <v>230</v>
      </c>
      <c r="J141" s="19" t="s">
        <v>243</v>
      </c>
      <c r="K141" s="19" t="s">
        <v>266</v>
      </c>
      <c r="L141" s="19" t="s">
        <v>279</v>
      </c>
      <c r="M141" s="19" t="s">
        <v>268</v>
      </c>
      <c r="N141" s="19" t="s">
        <v>247</v>
      </c>
      <c r="O141" s="19" t="s">
        <v>275</v>
      </c>
      <c r="P141" s="51" t="s">
        <v>237</v>
      </c>
      <c r="Q141" s="19" t="s">
        <v>271</v>
      </c>
      <c r="R141" s="19">
        <v>5800</v>
      </c>
      <c r="S141" s="19" t="s">
        <v>272</v>
      </c>
      <c r="T141" s="19" t="s">
        <v>263</v>
      </c>
      <c r="U141" s="20" t="s">
        <v>263</v>
      </c>
      <c r="V141" s="19" t="s">
        <v>1788</v>
      </c>
      <c r="W141" s="19" t="s">
        <v>222</v>
      </c>
      <c r="X141" s="35">
        <v>1</v>
      </c>
      <c r="Y141" s="35">
        <v>1</v>
      </c>
      <c r="Z141" s="32"/>
      <c r="AA141" s="22">
        <v>3</v>
      </c>
      <c r="AB141" s="22"/>
      <c r="AC141" s="22"/>
      <c r="AD141" s="22"/>
      <c r="AE141" s="61">
        <f t="shared" si="45"/>
        <v>3</v>
      </c>
      <c r="AF141" s="22"/>
      <c r="AG141" s="40">
        <f t="shared" si="46"/>
        <v>3</v>
      </c>
      <c r="AH141" s="24">
        <v>8</v>
      </c>
      <c r="AI141" s="24">
        <v>1</v>
      </c>
      <c r="AJ141" s="23">
        <v>0</v>
      </c>
      <c r="AK141" s="25"/>
      <c r="AL141" s="25"/>
      <c r="AM141" s="25"/>
      <c r="AN141" s="25"/>
      <c r="AO141" s="25">
        <f t="shared" si="44"/>
        <v>0</v>
      </c>
      <c r="AP141" s="13">
        <v>8</v>
      </c>
      <c r="AQ141" s="21">
        <v>4</v>
      </c>
      <c r="AR141" s="21">
        <v>4</v>
      </c>
      <c r="AS141" s="21"/>
      <c r="AT141" s="21"/>
      <c r="AU141" s="21"/>
      <c r="AV141" s="21"/>
      <c r="AW141" s="21"/>
      <c r="AX141" s="21"/>
      <c r="AY141" s="77"/>
      <c r="AZ141" s="21"/>
      <c r="BA141" s="21"/>
      <c r="BB141" s="21"/>
      <c r="BC141" s="21"/>
      <c r="BD141" s="21"/>
      <c r="BE141" s="21"/>
      <c r="BF141" s="77"/>
      <c r="BG141" s="21"/>
      <c r="BH141" s="21"/>
      <c r="BI141" s="21"/>
      <c r="BJ141" s="21"/>
      <c r="BK141" s="21"/>
      <c r="BL141" s="21"/>
      <c r="BM141" s="77"/>
      <c r="BN141" s="21"/>
      <c r="BO141" s="21"/>
      <c r="BP141" s="21"/>
      <c r="BQ141" s="21"/>
      <c r="BR141" s="21"/>
      <c r="BS141" s="21"/>
      <c r="BT141" s="96">
        <f t="shared" si="48"/>
        <v>8</v>
      </c>
      <c r="BU141" s="94">
        <f t="shared" si="49"/>
        <v>-8</v>
      </c>
      <c r="BV141" s="26"/>
      <c r="BW141" s="27"/>
      <c r="BX141" s="19" t="s">
        <v>457</v>
      </c>
      <c r="BY141" s="19" t="b">
        <f t="shared" si="43"/>
        <v>1</v>
      </c>
      <c r="BZ141" s="53" t="s">
        <v>457</v>
      </c>
      <c r="CA141" s="19" t="s">
        <v>1038</v>
      </c>
      <c r="CB141" s="19" t="s">
        <v>886</v>
      </c>
      <c r="CC141" s="19" t="s">
        <v>887</v>
      </c>
      <c r="CD141" s="19" t="s">
        <v>896</v>
      </c>
      <c r="CE141" s="19" t="s">
        <v>897</v>
      </c>
      <c r="CF141" s="19" t="s">
        <v>1015</v>
      </c>
      <c r="CG141" s="19" t="s">
        <v>1016</v>
      </c>
      <c r="CH141" s="19" t="s">
        <v>1017</v>
      </c>
      <c r="CI141" s="19" t="s">
        <v>876</v>
      </c>
      <c r="CJ141" s="19" t="s">
        <v>1032</v>
      </c>
      <c r="CK141" s="19" t="s">
        <v>1033</v>
      </c>
      <c r="CL141" s="19" t="s">
        <v>1039</v>
      </c>
      <c r="CM141" s="19" t="s">
        <v>1040</v>
      </c>
      <c r="CN141" s="19"/>
      <c r="CO141" s="19"/>
      <c r="CP141" s="19" t="s">
        <v>1020</v>
      </c>
      <c r="CQ141" s="19" t="s">
        <v>1021</v>
      </c>
      <c r="CR141" s="19" t="s">
        <v>1041</v>
      </c>
      <c r="CS141" s="19" t="s">
        <v>1042</v>
      </c>
      <c r="CT141" s="19"/>
      <c r="CU141" s="19"/>
      <c r="CV141" s="19"/>
      <c r="CW141" s="19"/>
      <c r="CX141" s="19"/>
      <c r="CY141" s="19"/>
      <c r="CZ141" s="19"/>
      <c r="DA141" s="19"/>
      <c r="DB141" s="19"/>
      <c r="DC141" s="19"/>
    </row>
    <row r="142" spans="1:107" s="7" customFormat="1" x14ac:dyDescent="0.25">
      <c r="A142" s="19" t="s">
        <v>228</v>
      </c>
      <c r="B142" s="19" t="s">
        <v>80</v>
      </c>
      <c r="C142" s="19" t="str">
        <f t="shared" si="42"/>
        <v>95258920India</v>
      </c>
      <c r="D142" s="19">
        <v>95258920</v>
      </c>
      <c r="E142" s="19" t="s">
        <v>459</v>
      </c>
      <c r="F142" s="19" t="s">
        <v>261</v>
      </c>
      <c r="G142" s="20" t="s">
        <v>459</v>
      </c>
      <c r="H142" s="19"/>
      <c r="I142" s="19" t="s">
        <v>230</v>
      </c>
      <c r="J142" s="19" t="s">
        <v>243</v>
      </c>
      <c r="K142" s="19" t="s">
        <v>266</v>
      </c>
      <c r="L142" s="19" t="s">
        <v>267</v>
      </c>
      <c r="M142" s="19" t="s">
        <v>268</v>
      </c>
      <c r="N142" s="19" t="s">
        <v>269</v>
      </c>
      <c r="O142" s="19" t="s">
        <v>275</v>
      </c>
      <c r="P142" s="51" t="s">
        <v>237</v>
      </c>
      <c r="Q142" s="19" t="s">
        <v>271</v>
      </c>
      <c r="R142" s="19">
        <v>5800</v>
      </c>
      <c r="S142" s="19" t="s">
        <v>272</v>
      </c>
      <c r="T142" s="19" t="s">
        <v>263</v>
      </c>
      <c r="U142" s="20" t="s">
        <v>263</v>
      </c>
      <c r="V142" s="19" t="s">
        <v>183</v>
      </c>
      <c r="W142" s="19" t="s">
        <v>222</v>
      </c>
      <c r="X142" s="35"/>
      <c r="Y142" s="35"/>
      <c r="Z142" s="32"/>
      <c r="AA142" s="22">
        <v>2</v>
      </c>
      <c r="AB142" s="22"/>
      <c r="AC142" s="22"/>
      <c r="AD142" s="22"/>
      <c r="AE142" s="61">
        <f t="shared" si="45"/>
        <v>2</v>
      </c>
      <c r="AF142" s="22"/>
      <c r="AG142" s="40">
        <f t="shared" si="46"/>
        <v>2</v>
      </c>
      <c r="AH142" s="24"/>
      <c r="AI142" s="24"/>
      <c r="AJ142" s="23">
        <f t="shared" ref="AJ142:AJ152" si="50">AG142-AH142+AI142</f>
        <v>2</v>
      </c>
      <c r="AK142" s="25"/>
      <c r="AL142" s="25">
        <v>2</v>
      </c>
      <c r="AM142" s="25"/>
      <c r="AN142" s="25"/>
      <c r="AO142" s="25">
        <f t="shared" si="44"/>
        <v>2</v>
      </c>
      <c r="AP142" s="13"/>
      <c r="AQ142" s="21"/>
      <c r="AR142" s="21"/>
      <c r="AS142" s="21"/>
      <c r="AT142" s="21"/>
      <c r="AU142" s="21"/>
      <c r="AV142" s="21"/>
      <c r="AW142" s="21"/>
      <c r="AX142" s="21"/>
      <c r="AY142" s="77"/>
      <c r="AZ142" s="21"/>
      <c r="BA142" s="21"/>
      <c r="BB142" s="21"/>
      <c r="BC142" s="21"/>
      <c r="BD142" s="21"/>
      <c r="BE142" s="21">
        <v>2</v>
      </c>
      <c r="BF142" s="77"/>
      <c r="BG142" s="21"/>
      <c r="BH142" s="21"/>
      <c r="BI142" s="21"/>
      <c r="BJ142" s="21"/>
      <c r="BK142" s="21"/>
      <c r="BL142" s="21"/>
      <c r="BM142" s="77"/>
      <c r="BN142" s="21"/>
      <c r="BO142" s="21"/>
      <c r="BP142" s="21"/>
      <c r="BQ142" s="21"/>
      <c r="BR142" s="21"/>
      <c r="BS142" s="21"/>
      <c r="BT142" s="96">
        <f t="shared" si="48"/>
        <v>2</v>
      </c>
      <c r="BU142" s="94">
        <f t="shared" si="49"/>
        <v>0</v>
      </c>
      <c r="BV142" s="26"/>
      <c r="BW142" s="27"/>
      <c r="BX142" s="19" t="s">
        <v>459</v>
      </c>
      <c r="BY142" s="19" t="b">
        <f t="shared" si="43"/>
        <v>1</v>
      </c>
      <c r="BZ142" s="53" t="s">
        <v>459</v>
      </c>
      <c r="CA142" s="19" t="s">
        <v>1043</v>
      </c>
      <c r="CB142" s="19" t="s">
        <v>886</v>
      </c>
      <c r="CC142" s="19" t="s">
        <v>887</v>
      </c>
      <c r="CD142" s="19" t="s">
        <v>908</v>
      </c>
      <c r="CE142" s="19" t="s">
        <v>909</v>
      </c>
      <c r="CF142" s="19" t="s">
        <v>898</v>
      </c>
      <c r="CG142" s="19" t="s">
        <v>899</v>
      </c>
      <c r="CH142" s="19" t="s">
        <v>875</v>
      </c>
      <c r="CI142" s="19" t="s">
        <v>876</v>
      </c>
      <c r="CJ142" s="19" t="s">
        <v>996</v>
      </c>
      <c r="CK142" s="19" t="s">
        <v>997</v>
      </c>
      <c r="CL142" s="19" t="s">
        <v>1044</v>
      </c>
      <c r="CM142" s="19" t="s">
        <v>1045</v>
      </c>
      <c r="CN142" s="19"/>
      <c r="CO142" s="19"/>
      <c r="CP142" s="19" t="s">
        <v>904</v>
      </c>
      <c r="CQ142" s="19" t="s">
        <v>905</v>
      </c>
      <c r="CR142" s="19" t="s">
        <v>910</v>
      </c>
      <c r="CS142" s="19" t="s">
        <v>911</v>
      </c>
      <c r="CT142" s="19"/>
      <c r="CU142" s="19"/>
      <c r="CV142" s="19"/>
      <c r="CW142" s="19"/>
      <c r="CX142" s="19"/>
      <c r="CY142" s="19"/>
      <c r="CZ142" s="19"/>
      <c r="DA142" s="19"/>
      <c r="DB142" s="19"/>
      <c r="DC142" s="19"/>
    </row>
    <row r="143" spans="1:107" s="7" customFormat="1" x14ac:dyDescent="0.25">
      <c r="A143" s="19" t="s">
        <v>228</v>
      </c>
      <c r="B143" s="19" t="s">
        <v>80</v>
      </c>
      <c r="C143" s="19" t="str">
        <f t="shared" si="42"/>
        <v>95255582India</v>
      </c>
      <c r="D143" s="19">
        <v>95255582</v>
      </c>
      <c r="E143" s="19" t="s">
        <v>424</v>
      </c>
      <c r="F143" s="19" t="s">
        <v>261</v>
      </c>
      <c r="G143" s="20" t="s">
        <v>424</v>
      </c>
      <c r="H143" s="19"/>
      <c r="I143" s="19" t="s">
        <v>230</v>
      </c>
      <c r="J143" s="19" t="s">
        <v>243</v>
      </c>
      <c r="K143" s="19" t="s">
        <v>266</v>
      </c>
      <c r="L143" s="19" t="s">
        <v>279</v>
      </c>
      <c r="M143" s="19" t="s">
        <v>268</v>
      </c>
      <c r="N143" s="19" t="s">
        <v>269</v>
      </c>
      <c r="O143" s="19" t="s">
        <v>275</v>
      </c>
      <c r="P143" s="51" t="s">
        <v>237</v>
      </c>
      <c r="Q143" s="19" t="s">
        <v>271</v>
      </c>
      <c r="R143" s="19">
        <v>5800</v>
      </c>
      <c r="S143" s="19" t="s">
        <v>462</v>
      </c>
      <c r="T143" s="19" t="s">
        <v>263</v>
      </c>
      <c r="U143" s="20" t="s">
        <v>263</v>
      </c>
      <c r="V143" s="19" t="s">
        <v>1791</v>
      </c>
      <c r="W143" s="19" t="s">
        <v>221</v>
      </c>
      <c r="X143" s="35"/>
      <c r="Y143" s="35"/>
      <c r="Z143" s="32"/>
      <c r="AA143" s="22"/>
      <c r="AB143" s="22">
        <v>10</v>
      </c>
      <c r="AC143" s="22"/>
      <c r="AD143" s="22"/>
      <c r="AE143" s="61">
        <f t="shared" si="45"/>
        <v>10</v>
      </c>
      <c r="AF143" s="22"/>
      <c r="AG143" s="40">
        <f t="shared" si="46"/>
        <v>10</v>
      </c>
      <c r="AH143" s="24"/>
      <c r="AI143" s="24"/>
      <c r="AJ143" s="23">
        <f t="shared" si="50"/>
        <v>10</v>
      </c>
      <c r="AK143" s="25">
        <v>5</v>
      </c>
      <c r="AL143" s="25">
        <v>5</v>
      </c>
      <c r="AM143" s="25"/>
      <c r="AN143" s="25"/>
      <c r="AO143" s="25">
        <f t="shared" si="44"/>
        <v>10</v>
      </c>
      <c r="AP143" s="13"/>
      <c r="AQ143" s="21"/>
      <c r="AR143" s="21"/>
      <c r="AS143" s="21"/>
      <c r="AT143" s="21"/>
      <c r="AU143" s="21"/>
      <c r="AV143" s="21"/>
      <c r="AW143" s="21"/>
      <c r="AX143" s="21">
        <v>5</v>
      </c>
      <c r="AY143" s="77"/>
      <c r="AZ143" s="21"/>
      <c r="BA143" s="21">
        <v>5</v>
      </c>
      <c r="BB143" s="21"/>
      <c r="BC143" s="21"/>
      <c r="BD143" s="21"/>
      <c r="BE143" s="21"/>
      <c r="BF143" s="77"/>
      <c r="BG143" s="21"/>
      <c r="BH143" s="21"/>
      <c r="BI143" s="21"/>
      <c r="BJ143" s="21"/>
      <c r="BK143" s="21"/>
      <c r="BL143" s="21"/>
      <c r="BM143" s="77"/>
      <c r="BN143" s="21"/>
      <c r="BO143" s="21"/>
      <c r="BP143" s="21"/>
      <c r="BQ143" s="21"/>
      <c r="BR143" s="21"/>
      <c r="BS143" s="21"/>
      <c r="BT143" s="96">
        <f t="shared" si="48"/>
        <v>10</v>
      </c>
      <c r="BU143" s="94">
        <f t="shared" si="49"/>
        <v>0</v>
      </c>
      <c r="BV143" s="26"/>
      <c r="BW143" s="27"/>
      <c r="BX143" s="19" t="s">
        <v>424</v>
      </c>
      <c r="BY143" s="19" t="b">
        <f t="shared" si="43"/>
        <v>1</v>
      </c>
      <c r="BZ143" s="53" t="s">
        <v>424</v>
      </c>
      <c r="CA143" s="19" t="s">
        <v>1002</v>
      </c>
      <c r="CB143" s="19" t="s">
        <v>869</v>
      </c>
      <c r="CC143" s="19" t="s">
        <v>870</v>
      </c>
      <c r="CD143" s="19" t="s">
        <v>908</v>
      </c>
      <c r="CE143" s="19" t="s">
        <v>909</v>
      </c>
      <c r="CF143" s="19" t="s">
        <v>898</v>
      </c>
      <c r="CG143" s="19" t="s">
        <v>899</v>
      </c>
      <c r="CH143" s="19" t="s">
        <v>875</v>
      </c>
      <c r="CI143" s="19" t="s">
        <v>876</v>
      </c>
      <c r="CJ143" s="19" t="s">
        <v>1003</v>
      </c>
      <c r="CK143" s="19" t="s">
        <v>1004</v>
      </c>
      <c r="CL143" s="19" t="s">
        <v>1005</v>
      </c>
      <c r="CM143" s="19" t="s">
        <v>1006</v>
      </c>
      <c r="CN143" s="19"/>
      <c r="CO143" s="19"/>
      <c r="CP143" s="19" t="s">
        <v>904</v>
      </c>
      <c r="CQ143" s="19" t="s">
        <v>905</v>
      </c>
      <c r="CR143" s="19" t="s">
        <v>910</v>
      </c>
      <c r="CS143" s="19" t="s">
        <v>911</v>
      </c>
      <c r="CT143" s="19"/>
      <c r="CU143" s="19"/>
      <c r="CV143" s="19"/>
      <c r="CW143" s="19"/>
      <c r="CX143" s="19"/>
      <c r="CY143" s="19"/>
      <c r="CZ143" s="19"/>
      <c r="DA143" s="19"/>
      <c r="DB143" s="19"/>
      <c r="DC143" s="19"/>
    </row>
    <row r="144" spans="1:107" s="7" customFormat="1" x14ac:dyDescent="0.25">
      <c r="A144" s="19" t="s">
        <v>228</v>
      </c>
      <c r="B144" s="19" t="s">
        <v>80</v>
      </c>
      <c r="C144" s="19" t="str">
        <f t="shared" si="42"/>
        <v>95258095India</v>
      </c>
      <c r="D144" s="19">
        <v>95258095</v>
      </c>
      <c r="E144" s="19" t="s">
        <v>474</v>
      </c>
      <c r="F144" s="19" t="s">
        <v>261</v>
      </c>
      <c r="G144" s="20" t="s">
        <v>474</v>
      </c>
      <c r="H144" s="19"/>
      <c r="I144" s="19" t="s">
        <v>230</v>
      </c>
      <c r="J144" s="19" t="s">
        <v>243</v>
      </c>
      <c r="K144" s="19" t="s">
        <v>266</v>
      </c>
      <c r="L144" s="19" t="s">
        <v>279</v>
      </c>
      <c r="M144" s="19" t="s">
        <v>268</v>
      </c>
      <c r="N144" s="19" t="s">
        <v>269</v>
      </c>
      <c r="O144" s="19" t="s">
        <v>275</v>
      </c>
      <c r="P144" s="51" t="s">
        <v>237</v>
      </c>
      <c r="Q144" s="19" t="s">
        <v>271</v>
      </c>
      <c r="R144" s="19">
        <v>5800</v>
      </c>
      <c r="S144" s="19" t="s">
        <v>272</v>
      </c>
      <c r="T144" s="19" t="s">
        <v>263</v>
      </c>
      <c r="U144" s="20" t="s">
        <v>263</v>
      </c>
      <c r="V144" s="19" t="s">
        <v>199</v>
      </c>
      <c r="W144" s="19" t="s">
        <v>222</v>
      </c>
      <c r="X144" s="35">
        <v>9</v>
      </c>
      <c r="Y144" s="35">
        <v>4</v>
      </c>
      <c r="Z144" s="32"/>
      <c r="AA144" s="22">
        <v>5</v>
      </c>
      <c r="AB144" s="22">
        <v>4</v>
      </c>
      <c r="AC144" s="22">
        <v>3</v>
      </c>
      <c r="AD144" s="22">
        <v>3</v>
      </c>
      <c r="AE144" s="61">
        <f t="shared" si="45"/>
        <v>15</v>
      </c>
      <c r="AF144" s="22"/>
      <c r="AG144" s="40">
        <f t="shared" si="46"/>
        <v>15</v>
      </c>
      <c r="AH144" s="24"/>
      <c r="AI144" s="24">
        <v>9</v>
      </c>
      <c r="AJ144" s="23">
        <f t="shared" si="50"/>
        <v>24</v>
      </c>
      <c r="AK144" s="25">
        <v>12</v>
      </c>
      <c r="AL144" s="25">
        <v>12</v>
      </c>
      <c r="AM144" s="25"/>
      <c r="AN144" s="25"/>
      <c r="AO144" s="25">
        <f t="shared" si="44"/>
        <v>24</v>
      </c>
      <c r="AP144" s="13"/>
      <c r="AQ144" s="21"/>
      <c r="AR144" s="21"/>
      <c r="AS144" s="21">
        <v>4</v>
      </c>
      <c r="AT144" s="21">
        <v>4</v>
      </c>
      <c r="AU144" s="21">
        <v>4</v>
      </c>
      <c r="AV144" s="21"/>
      <c r="AW144" s="21"/>
      <c r="AX144" s="21"/>
      <c r="AY144" s="77"/>
      <c r="AZ144" s="21"/>
      <c r="BA144" s="21">
        <v>3</v>
      </c>
      <c r="BB144" s="21"/>
      <c r="BC144" s="21"/>
      <c r="BD144" s="21"/>
      <c r="BE144" s="21"/>
      <c r="BF144" s="77"/>
      <c r="BG144" s="21"/>
      <c r="BH144" s="21"/>
      <c r="BI144" s="21"/>
      <c r="BJ144" s="21"/>
      <c r="BK144" s="21"/>
      <c r="BL144" s="21"/>
      <c r="BM144" s="77"/>
      <c r="BN144" s="21"/>
      <c r="BO144" s="21"/>
      <c r="BP144" s="21"/>
      <c r="BQ144" s="21"/>
      <c r="BR144" s="21"/>
      <c r="BS144" s="21"/>
      <c r="BT144" s="96">
        <f t="shared" si="48"/>
        <v>15</v>
      </c>
      <c r="BU144" s="94">
        <f t="shared" si="49"/>
        <v>9</v>
      </c>
      <c r="BV144" s="26"/>
      <c r="BW144" s="27"/>
      <c r="BX144" s="19" t="s">
        <v>474</v>
      </c>
      <c r="BY144" s="19" t="b">
        <f t="shared" si="43"/>
        <v>1</v>
      </c>
      <c r="BZ144" s="53" t="s">
        <v>474</v>
      </c>
      <c r="CA144" s="19" t="s">
        <v>1049</v>
      </c>
      <c r="CB144" s="19" t="s">
        <v>886</v>
      </c>
      <c r="CC144" s="19" t="s">
        <v>887</v>
      </c>
      <c r="CD144" s="19" t="s">
        <v>1024</v>
      </c>
      <c r="CE144" s="19" t="s">
        <v>707</v>
      </c>
      <c r="CF144" s="19" t="s">
        <v>1015</v>
      </c>
      <c r="CG144" s="19" t="s">
        <v>1016</v>
      </c>
      <c r="CH144" s="19" t="s">
        <v>1017</v>
      </c>
      <c r="CI144" s="19" t="s">
        <v>876</v>
      </c>
      <c r="CJ144" s="19" t="s">
        <v>1018</v>
      </c>
      <c r="CK144" s="19" t="s">
        <v>1019</v>
      </c>
      <c r="CL144" s="19" t="s">
        <v>1050</v>
      </c>
      <c r="CM144" s="19" t="s">
        <v>1051</v>
      </c>
      <c r="CN144" s="19"/>
      <c r="CO144" s="19"/>
      <c r="CP144" s="19" t="s">
        <v>1020</v>
      </c>
      <c r="CQ144" s="19" t="s">
        <v>1021</v>
      </c>
      <c r="CR144" s="19" t="s">
        <v>1026</v>
      </c>
      <c r="CS144" s="19" t="s">
        <v>1027</v>
      </c>
      <c r="CT144" s="19"/>
      <c r="CU144" s="19"/>
      <c r="CV144" s="19"/>
      <c r="CW144" s="19"/>
      <c r="CX144" s="19"/>
      <c r="CY144" s="19"/>
      <c r="CZ144" s="19"/>
      <c r="DA144" s="19"/>
      <c r="DB144" s="19"/>
      <c r="DC144" s="19"/>
    </row>
    <row r="145" spans="1:107" s="7" customFormat="1" x14ac:dyDescent="0.25">
      <c r="A145" s="19" t="s">
        <v>228</v>
      </c>
      <c r="B145" s="19" t="s">
        <v>80</v>
      </c>
      <c r="C145" s="19" t="str">
        <f t="shared" si="42"/>
        <v>95258928India</v>
      </c>
      <c r="D145" s="19">
        <v>95258928</v>
      </c>
      <c r="E145" s="19" t="s">
        <v>475</v>
      </c>
      <c r="F145" s="19" t="s">
        <v>261</v>
      </c>
      <c r="G145" s="20" t="s">
        <v>475</v>
      </c>
      <c r="H145" s="19"/>
      <c r="I145" s="19" t="s">
        <v>230</v>
      </c>
      <c r="J145" s="19" t="s">
        <v>243</v>
      </c>
      <c r="K145" s="19" t="s">
        <v>266</v>
      </c>
      <c r="L145" s="19" t="s">
        <v>279</v>
      </c>
      <c r="M145" s="19" t="s">
        <v>268</v>
      </c>
      <c r="N145" s="19" t="s">
        <v>269</v>
      </c>
      <c r="O145" s="19" t="s">
        <v>275</v>
      </c>
      <c r="P145" s="51" t="s">
        <v>237</v>
      </c>
      <c r="Q145" s="19" t="s">
        <v>271</v>
      </c>
      <c r="R145" s="19">
        <v>5800</v>
      </c>
      <c r="S145" s="19" t="s">
        <v>272</v>
      </c>
      <c r="T145" s="19" t="s">
        <v>263</v>
      </c>
      <c r="U145" s="20" t="s">
        <v>263</v>
      </c>
      <c r="V145" s="19" t="s">
        <v>200</v>
      </c>
      <c r="W145" s="19" t="s">
        <v>222</v>
      </c>
      <c r="X145" s="35">
        <v>8</v>
      </c>
      <c r="Y145" s="35">
        <v>5</v>
      </c>
      <c r="Z145" s="32"/>
      <c r="AA145" s="22">
        <v>14</v>
      </c>
      <c r="AB145" s="22"/>
      <c r="AC145" s="22"/>
      <c r="AD145" s="22"/>
      <c r="AE145" s="61">
        <f t="shared" si="45"/>
        <v>14</v>
      </c>
      <c r="AF145" s="22"/>
      <c r="AG145" s="40">
        <f t="shared" si="46"/>
        <v>14</v>
      </c>
      <c r="AH145" s="24">
        <v>2</v>
      </c>
      <c r="AI145" s="24">
        <v>8</v>
      </c>
      <c r="AJ145" s="23">
        <f t="shared" si="50"/>
        <v>20</v>
      </c>
      <c r="AK145" s="25">
        <v>10</v>
      </c>
      <c r="AL145" s="25">
        <v>10</v>
      </c>
      <c r="AM145" s="25"/>
      <c r="AN145" s="25"/>
      <c r="AO145" s="25">
        <f t="shared" si="44"/>
        <v>20</v>
      </c>
      <c r="AP145" s="13">
        <v>2</v>
      </c>
      <c r="AQ145" s="21">
        <v>2</v>
      </c>
      <c r="AR145" s="21"/>
      <c r="AS145" s="21"/>
      <c r="AT145" s="21"/>
      <c r="AU145" s="21"/>
      <c r="AV145" s="21">
        <v>5</v>
      </c>
      <c r="AW145" s="21"/>
      <c r="AX145" s="21">
        <v>5</v>
      </c>
      <c r="AY145" s="77"/>
      <c r="AZ145" s="21"/>
      <c r="BA145" s="21">
        <v>2</v>
      </c>
      <c r="BB145" s="21"/>
      <c r="BC145" s="21"/>
      <c r="BD145" s="21"/>
      <c r="BE145" s="21"/>
      <c r="BF145" s="77"/>
      <c r="BG145" s="21"/>
      <c r="BH145" s="21"/>
      <c r="BI145" s="21"/>
      <c r="BJ145" s="21"/>
      <c r="BK145" s="21"/>
      <c r="BL145" s="21"/>
      <c r="BM145" s="77"/>
      <c r="BN145" s="21"/>
      <c r="BO145" s="21"/>
      <c r="BP145" s="21"/>
      <c r="BQ145" s="21"/>
      <c r="BR145" s="21"/>
      <c r="BS145" s="21"/>
      <c r="BT145" s="96">
        <f t="shared" si="48"/>
        <v>14</v>
      </c>
      <c r="BU145" s="94">
        <f t="shared" si="49"/>
        <v>6</v>
      </c>
      <c r="BV145" s="26"/>
      <c r="BW145" s="27"/>
      <c r="BX145" s="19" t="s">
        <v>475</v>
      </c>
      <c r="BY145" s="19" t="b">
        <f t="shared" si="43"/>
        <v>1</v>
      </c>
      <c r="BZ145" s="53" t="s">
        <v>475</v>
      </c>
      <c r="CA145" s="19" t="s">
        <v>1052</v>
      </c>
      <c r="CB145" s="19" t="s">
        <v>886</v>
      </c>
      <c r="CC145" s="19" t="s">
        <v>887</v>
      </c>
      <c r="CD145" s="19" t="s">
        <v>995</v>
      </c>
      <c r="CE145" s="19" t="s">
        <v>897</v>
      </c>
      <c r="CF145" s="19" t="s">
        <v>1015</v>
      </c>
      <c r="CG145" s="19" t="s">
        <v>1016</v>
      </c>
      <c r="CH145" s="19" t="s">
        <v>1017</v>
      </c>
      <c r="CI145" s="19" t="s">
        <v>876</v>
      </c>
      <c r="CJ145" s="19" t="s">
        <v>1018</v>
      </c>
      <c r="CK145" s="19" t="s">
        <v>1019</v>
      </c>
      <c r="CL145" s="19" t="s">
        <v>1050</v>
      </c>
      <c r="CM145" s="19" t="s">
        <v>1051</v>
      </c>
      <c r="CN145" s="19"/>
      <c r="CO145" s="19"/>
      <c r="CP145" s="19" t="s">
        <v>1020</v>
      </c>
      <c r="CQ145" s="19" t="s">
        <v>1021</v>
      </c>
      <c r="CR145" s="19" t="s">
        <v>1022</v>
      </c>
      <c r="CS145" s="19" t="s">
        <v>1023</v>
      </c>
      <c r="CT145" s="19"/>
      <c r="CU145" s="19"/>
      <c r="CV145" s="19"/>
      <c r="CW145" s="19"/>
      <c r="CX145" s="19"/>
      <c r="CY145" s="19"/>
      <c r="CZ145" s="19"/>
      <c r="DA145" s="19"/>
      <c r="DB145" s="19"/>
      <c r="DC145" s="19"/>
    </row>
    <row r="146" spans="1:107" s="7" customFormat="1" x14ac:dyDescent="0.25">
      <c r="A146" s="19" t="s">
        <v>228</v>
      </c>
      <c r="B146" s="19" t="s">
        <v>80</v>
      </c>
      <c r="C146" s="19" t="str">
        <f t="shared" si="42"/>
        <v>95259075India</v>
      </c>
      <c r="D146" s="19">
        <v>95259075</v>
      </c>
      <c r="E146" s="19" t="s">
        <v>476</v>
      </c>
      <c r="F146" s="19" t="s">
        <v>261</v>
      </c>
      <c r="G146" s="20" t="s">
        <v>476</v>
      </c>
      <c r="H146" s="19"/>
      <c r="I146" s="19" t="s">
        <v>230</v>
      </c>
      <c r="J146" s="19" t="s">
        <v>243</v>
      </c>
      <c r="K146" s="19" t="s">
        <v>266</v>
      </c>
      <c r="L146" s="19" t="s">
        <v>267</v>
      </c>
      <c r="M146" s="19" t="s">
        <v>268</v>
      </c>
      <c r="N146" s="19" t="s">
        <v>269</v>
      </c>
      <c r="O146" s="19" t="s">
        <v>275</v>
      </c>
      <c r="P146" s="51" t="s">
        <v>237</v>
      </c>
      <c r="Q146" s="19" t="s">
        <v>271</v>
      </c>
      <c r="R146" s="19">
        <v>5800</v>
      </c>
      <c r="S146" s="19" t="s">
        <v>272</v>
      </c>
      <c r="T146" s="19" t="s">
        <v>263</v>
      </c>
      <c r="U146" s="20" t="s">
        <v>263</v>
      </c>
      <c r="V146" s="19" t="s">
        <v>201</v>
      </c>
      <c r="W146" s="19" t="s">
        <v>222</v>
      </c>
      <c r="X146" s="35"/>
      <c r="Y146" s="35"/>
      <c r="Z146" s="32"/>
      <c r="AA146" s="22">
        <v>6</v>
      </c>
      <c r="AB146" s="22">
        <v>2</v>
      </c>
      <c r="AC146" s="22">
        <v>1</v>
      </c>
      <c r="AD146" s="22"/>
      <c r="AE146" s="61">
        <f t="shared" si="45"/>
        <v>9</v>
      </c>
      <c r="AF146" s="22"/>
      <c r="AG146" s="40">
        <f t="shared" si="46"/>
        <v>9</v>
      </c>
      <c r="AH146" s="24"/>
      <c r="AI146" s="24"/>
      <c r="AJ146" s="23">
        <f t="shared" si="50"/>
        <v>9</v>
      </c>
      <c r="AK146" s="25"/>
      <c r="AL146" s="25"/>
      <c r="AM146" s="25">
        <v>9</v>
      </c>
      <c r="AN146" s="25"/>
      <c r="AO146" s="25">
        <f t="shared" si="44"/>
        <v>9</v>
      </c>
      <c r="AP146" s="13"/>
      <c r="AQ146" s="21"/>
      <c r="AR146" s="21"/>
      <c r="AS146" s="21"/>
      <c r="AT146" s="21"/>
      <c r="AU146" s="21"/>
      <c r="AV146" s="21"/>
      <c r="AW146" s="21"/>
      <c r="AX146" s="21"/>
      <c r="AY146" s="77"/>
      <c r="AZ146" s="21"/>
      <c r="BA146" s="21"/>
      <c r="BB146" s="21"/>
      <c r="BC146" s="21"/>
      <c r="BD146" s="21"/>
      <c r="BE146" s="21"/>
      <c r="BF146" s="77"/>
      <c r="BG146" s="21">
        <v>3</v>
      </c>
      <c r="BH146" s="21">
        <v>3</v>
      </c>
      <c r="BI146" s="21">
        <v>3</v>
      </c>
      <c r="BJ146" s="21"/>
      <c r="BK146" s="21"/>
      <c r="BL146" s="21"/>
      <c r="BM146" s="77"/>
      <c r="BN146" s="21"/>
      <c r="BO146" s="21"/>
      <c r="BP146" s="21"/>
      <c r="BQ146" s="21"/>
      <c r="BR146" s="21"/>
      <c r="BS146" s="21"/>
      <c r="BT146" s="96">
        <f t="shared" si="48"/>
        <v>9</v>
      </c>
      <c r="BU146" s="94">
        <f t="shared" si="49"/>
        <v>0</v>
      </c>
      <c r="BV146" s="26"/>
      <c r="BW146" s="27"/>
      <c r="BX146" s="19" t="s">
        <v>476</v>
      </c>
      <c r="BY146" s="19" t="b">
        <f t="shared" si="43"/>
        <v>1</v>
      </c>
      <c r="BZ146" s="53" t="s">
        <v>476</v>
      </c>
      <c r="CA146" s="19" t="s">
        <v>1053</v>
      </c>
      <c r="CB146" s="19" t="s">
        <v>886</v>
      </c>
      <c r="CC146" s="19" t="s">
        <v>887</v>
      </c>
      <c r="CD146" s="19" t="s">
        <v>908</v>
      </c>
      <c r="CE146" s="19" t="s">
        <v>909</v>
      </c>
      <c r="CF146" s="19" t="s">
        <v>898</v>
      </c>
      <c r="CG146" s="19" t="s">
        <v>899</v>
      </c>
      <c r="CH146" s="19" t="s">
        <v>875</v>
      </c>
      <c r="CI146" s="19" t="s">
        <v>876</v>
      </c>
      <c r="CJ146" s="19" t="s">
        <v>1054</v>
      </c>
      <c r="CK146" s="19" t="s">
        <v>1055</v>
      </c>
      <c r="CL146" s="19" t="s">
        <v>1008</v>
      </c>
      <c r="CM146" s="19" t="s">
        <v>1009</v>
      </c>
      <c r="CN146" s="19"/>
      <c r="CO146" s="19"/>
      <c r="CP146" s="19" t="s">
        <v>904</v>
      </c>
      <c r="CQ146" s="19" t="s">
        <v>905</v>
      </c>
      <c r="CR146" s="19" t="s">
        <v>910</v>
      </c>
      <c r="CS146" s="19" t="s">
        <v>911</v>
      </c>
      <c r="CT146" s="19"/>
      <c r="CU146" s="19"/>
      <c r="CV146" s="19"/>
      <c r="CW146" s="19"/>
      <c r="CX146" s="19"/>
      <c r="CY146" s="19"/>
      <c r="CZ146" s="19"/>
      <c r="DA146" s="19"/>
      <c r="DB146" s="19"/>
      <c r="DC146" s="19"/>
    </row>
    <row r="147" spans="1:107" s="7" customFormat="1" x14ac:dyDescent="0.25">
      <c r="A147" s="19" t="s">
        <v>228</v>
      </c>
      <c r="B147" s="19" t="s">
        <v>80</v>
      </c>
      <c r="C147" s="19" t="str">
        <f t="shared" si="42"/>
        <v>95259578India</v>
      </c>
      <c r="D147" s="19">
        <v>95259578</v>
      </c>
      <c r="E147" s="19" t="s">
        <v>475</v>
      </c>
      <c r="F147" s="19" t="s">
        <v>261</v>
      </c>
      <c r="G147" s="20" t="s">
        <v>475</v>
      </c>
      <c r="H147" s="19"/>
      <c r="I147" s="19" t="s">
        <v>230</v>
      </c>
      <c r="J147" s="19" t="s">
        <v>243</v>
      </c>
      <c r="K147" s="19" t="s">
        <v>266</v>
      </c>
      <c r="L147" s="19" t="s">
        <v>279</v>
      </c>
      <c r="M147" s="19" t="s">
        <v>268</v>
      </c>
      <c r="N147" s="19" t="s">
        <v>269</v>
      </c>
      <c r="O147" s="19" t="s">
        <v>275</v>
      </c>
      <c r="P147" s="51" t="s">
        <v>237</v>
      </c>
      <c r="Q147" s="19" t="s">
        <v>271</v>
      </c>
      <c r="R147" s="19">
        <v>5800</v>
      </c>
      <c r="S147" s="19" t="s">
        <v>272</v>
      </c>
      <c r="T147" s="19" t="s">
        <v>263</v>
      </c>
      <c r="U147" s="20" t="s">
        <v>263</v>
      </c>
      <c r="V147" s="19" t="s">
        <v>1795</v>
      </c>
      <c r="W147" s="19" t="s">
        <v>219</v>
      </c>
      <c r="X147" s="35">
        <v>1</v>
      </c>
      <c r="Y147" s="35">
        <v>1</v>
      </c>
      <c r="Z147" s="32"/>
      <c r="AA147" s="22">
        <v>1</v>
      </c>
      <c r="AB147" s="22"/>
      <c r="AC147" s="22"/>
      <c r="AD147" s="22"/>
      <c r="AE147" s="61">
        <f t="shared" si="45"/>
        <v>1</v>
      </c>
      <c r="AF147" s="22"/>
      <c r="AG147" s="40">
        <f t="shared" si="46"/>
        <v>1</v>
      </c>
      <c r="AH147" s="24"/>
      <c r="AI147" s="24">
        <v>1</v>
      </c>
      <c r="AJ147" s="23">
        <f t="shared" si="50"/>
        <v>2</v>
      </c>
      <c r="AK147" s="25"/>
      <c r="AL147" s="25"/>
      <c r="AM147" s="25">
        <v>2</v>
      </c>
      <c r="AN147" s="25"/>
      <c r="AO147" s="25">
        <f t="shared" si="44"/>
        <v>2</v>
      </c>
      <c r="AP147" s="13"/>
      <c r="AQ147" s="21"/>
      <c r="AR147" s="21"/>
      <c r="AS147" s="21"/>
      <c r="AT147" s="21"/>
      <c r="AU147" s="21"/>
      <c r="AV147" s="21"/>
      <c r="AW147" s="21"/>
      <c r="AX147" s="21"/>
      <c r="AY147" s="77"/>
      <c r="AZ147" s="21"/>
      <c r="BA147" s="21"/>
      <c r="BB147" s="21"/>
      <c r="BC147" s="21"/>
      <c r="BD147" s="21"/>
      <c r="BE147" s="21"/>
      <c r="BF147" s="77"/>
      <c r="BG147" s="21"/>
      <c r="BH147" s="21">
        <v>1</v>
      </c>
      <c r="BI147" s="21"/>
      <c r="BJ147" s="21"/>
      <c r="BK147" s="21"/>
      <c r="BL147" s="21"/>
      <c r="BM147" s="77"/>
      <c r="BN147" s="21"/>
      <c r="BO147" s="21"/>
      <c r="BP147" s="21"/>
      <c r="BQ147" s="21"/>
      <c r="BR147" s="21"/>
      <c r="BS147" s="21"/>
      <c r="BT147" s="96">
        <f t="shared" si="48"/>
        <v>1</v>
      </c>
      <c r="BU147" s="94">
        <f t="shared" si="49"/>
        <v>1</v>
      </c>
      <c r="BV147" s="26"/>
      <c r="BW147" s="27"/>
      <c r="BX147" s="19" t="s">
        <v>475</v>
      </c>
      <c r="BY147" s="19" t="b">
        <f t="shared" si="43"/>
        <v>1</v>
      </c>
      <c r="BZ147" s="53" t="s">
        <v>475</v>
      </c>
      <c r="CA147" s="19" t="s">
        <v>1052</v>
      </c>
      <c r="CB147" s="19" t="s">
        <v>886</v>
      </c>
      <c r="CC147" s="19" t="s">
        <v>887</v>
      </c>
      <c r="CD147" s="19" t="s">
        <v>995</v>
      </c>
      <c r="CE147" s="19" t="s">
        <v>897</v>
      </c>
      <c r="CF147" s="19" t="s">
        <v>1015</v>
      </c>
      <c r="CG147" s="19" t="s">
        <v>1016</v>
      </c>
      <c r="CH147" s="19" t="s">
        <v>1017</v>
      </c>
      <c r="CI147" s="19" t="s">
        <v>876</v>
      </c>
      <c r="CJ147" s="19" t="s">
        <v>1018</v>
      </c>
      <c r="CK147" s="19" t="s">
        <v>1019</v>
      </c>
      <c r="CL147" s="19" t="s">
        <v>1050</v>
      </c>
      <c r="CM147" s="19" t="s">
        <v>1051</v>
      </c>
      <c r="CN147" s="19"/>
      <c r="CO147" s="19"/>
      <c r="CP147" s="19" t="s">
        <v>1020</v>
      </c>
      <c r="CQ147" s="19" t="s">
        <v>1021</v>
      </c>
      <c r="CR147" s="19" t="s">
        <v>1022</v>
      </c>
      <c r="CS147" s="19" t="s">
        <v>1023</v>
      </c>
      <c r="CT147" s="19"/>
      <c r="CU147" s="19"/>
      <c r="CV147" s="19"/>
      <c r="CW147" s="19"/>
      <c r="CX147" s="19"/>
      <c r="CY147" s="19"/>
      <c r="CZ147" s="19"/>
      <c r="DA147" s="19"/>
      <c r="DB147" s="19"/>
      <c r="DC147" s="19"/>
    </row>
    <row r="148" spans="1:107" s="7" customFormat="1" x14ac:dyDescent="0.25">
      <c r="A148" s="19" t="s">
        <v>228</v>
      </c>
      <c r="B148" s="19" t="s">
        <v>80</v>
      </c>
      <c r="C148" s="19" t="str">
        <f t="shared" si="42"/>
        <v>95259073India</v>
      </c>
      <c r="D148" s="19">
        <v>95259073</v>
      </c>
      <c r="E148" s="19" t="s">
        <v>476</v>
      </c>
      <c r="F148" s="19" t="s">
        <v>261</v>
      </c>
      <c r="G148" s="20" t="s">
        <v>476</v>
      </c>
      <c r="H148" s="19"/>
      <c r="I148" s="19" t="s">
        <v>230</v>
      </c>
      <c r="J148" s="19" t="s">
        <v>243</v>
      </c>
      <c r="K148" s="19" t="s">
        <v>266</v>
      </c>
      <c r="L148" s="19" t="s">
        <v>267</v>
      </c>
      <c r="M148" s="19" t="s">
        <v>268</v>
      </c>
      <c r="N148" s="19" t="s">
        <v>269</v>
      </c>
      <c r="O148" s="19" t="s">
        <v>275</v>
      </c>
      <c r="P148" s="51" t="s">
        <v>237</v>
      </c>
      <c r="Q148" s="19" t="s">
        <v>271</v>
      </c>
      <c r="R148" s="19">
        <v>5800</v>
      </c>
      <c r="S148" s="19" t="s">
        <v>272</v>
      </c>
      <c r="T148" s="19" t="s">
        <v>263</v>
      </c>
      <c r="U148" s="20" t="s">
        <v>263</v>
      </c>
      <c r="V148" s="19" t="s">
        <v>1559</v>
      </c>
      <c r="W148" s="19" t="s">
        <v>219</v>
      </c>
      <c r="X148" s="35"/>
      <c r="Y148" s="35"/>
      <c r="Z148" s="32"/>
      <c r="AA148" s="22"/>
      <c r="AB148" s="22"/>
      <c r="AC148" s="22"/>
      <c r="AD148" s="22">
        <v>2</v>
      </c>
      <c r="AE148" s="61">
        <f t="shared" si="45"/>
        <v>2</v>
      </c>
      <c r="AF148" s="22"/>
      <c r="AG148" s="40">
        <f t="shared" si="46"/>
        <v>2</v>
      </c>
      <c r="AH148" s="24">
        <v>1</v>
      </c>
      <c r="AI148" s="24"/>
      <c r="AJ148" s="23">
        <f t="shared" si="50"/>
        <v>1</v>
      </c>
      <c r="AK148" s="25"/>
      <c r="AL148" s="25"/>
      <c r="AM148" s="25">
        <v>1</v>
      </c>
      <c r="AN148" s="25"/>
      <c r="AO148" s="25">
        <f t="shared" si="44"/>
        <v>1</v>
      </c>
      <c r="AP148" s="13">
        <v>1</v>
      </c>
      <c r="AQ148" s="21"/>
      <c r="AR148" s="21">
        <v>1</v>
      </c>
      <c r="AS148" s="21"/>
      <c r="AT148" s="21"/>
      <c r="AU148" s="21"/>
      <c r="AV148" s="21"/>
      <c r="AW148" s="21"/>
      <c r="AX148" s="21"/>
      <c r="AY148" s="77"/>
      <c r="AZ148" s="21"/>
      <c r="BA148" s="21"/>
      <c r="BB148" s="21"/>
      <c r="BC148" s="21"/>
      <c r="BD148" s="21"/>
      <c r="BE148" s="21"/>
      <c r="BF148" s="77"/>
      <c r="BG148" s="21"/>
      <c r="BH148" s="21"/>
      <c r="BI148" s="21">
        <v>1</v>
      </c>
      <c r="BJ148" s="21"/>
      <c r="BK148" s="21"/>
      <c r="BL148" s="21"/>
      <c r="BM148" s="77"/>
      <c r="BN148" s="21"/>
      <c r="BO148" s="21"/>
      <c r="BP148" s="21"/>
      <c r="BQ148" s="21"/>
      <c r="BR148" s="21"/>
      <c r="BS148" s="21"/>
      <c r="BT148" s="96">
        <f t="shared" si="48"/>
        <v>2</v>
      </c>
      <c r="BU148" s="94">
        <f t="shared" si="49"/>
        <v>-1</v>
      </c>
      <c r="BV148" s="26"/>
      <c r="BW148" s="27"/>
      <c r="BX148" s="19" t="s">
        <v>476</v>
      </c>
      <c r="BY148" s="19" t="b">
        <f t="shared" si="43"/>
        <v>1</v>
      </c>
      <c r="BZ148" s="53" t="s">
        <v>476</v>
      </c>
      <c r="CA148" s="19" t="s">
        <v>1053</v>
      </c>
      <c r="CB148" s="19" t="s">
        <v>886</v>
      </c>
      <c r="CC148" s="19" t="s">
        <v>887</v>
      </c>
      <c r="CD148" s="19" t="s">
        <v>908</v>
      </c>
      <c r="CE148" s="19" t="s">
        <v>909</v>
      </c>
      <c r="CF148" s="19" t="s">
        <v>898</v>
      </c>
      <c r="CG148" s="19" t="s">
        <v>899</v>
      </c>
      <c r="CH148" s="19" t="s">
        <v>875</v>
      </c>
      <c r="CI148" s="19" t="s">
        <v>876</v>
      </c>
      <c r="CJ148" s="19" t="s">
        <v>1054</v>
      </c>
      <c r="CK148" s="19" t="s">
        <v>1055</v>
      </c>
      <c r="CL148" s="19" t="s">
        <v>1008</v>
      </c>
      <c r="CM148" s="19" t="s">
        <v>1009</v>
      </c>
      <c r="CN148" s="19"/>
      <c r="CO148" s="19"/>
      <c r="CP148" s="19" t="s">
        <v>904</v>
      </c>
      <c r="CQ148" s="19" t="s">
        <v>905</v>
      </c>
      <c r="CR148" s="19" t="s">
        <v>910</v>
      </c>
      <c r="CS148" s="19" t="s">
        <v>911</v>
      </c>
      <c r="CT148" s="19"/>
      <c r="CU148" s="19"/>
      <c r="CV148" s="19"/>
      <c r="CW148" s="19"/>
      <c r="CX148" s="19"/>
      <c r="CY148" s="19"/>
      <c r="CZ148" s="19"/>
      <c r="DA148" s="19"/>
      <c r="DB148" s="19"/>
      <c r="DC148" s="19"/>
    </row>
    <row r="149" spans="1:107" s="7" customFormat="1" x14ac:dyDescent="0.25">
      <c r="A149" s="19" t="s">
        <v>228</v>
      </c>
      <c r="B149" s="19" t="s">
        <v>80</v>
      </c>
      <c r="C149" s="19" t="str">
        <f t="shared" si="42"/>
        <v>95259079India</v>
      </c>
      <c r="D149" s="19">
        <v>95259079</v>
      </c>
      <c r="E149" s="19" t="s">
        <v>1844</v>
      </c>
      <c r="F149" s="19" t="s">
        <v>261</v>
      </c>
      <c r="G149" s="20" t="s">
        <v>1844</v>
      </c>
      <c r="H149" s="19"/>
      <c r="I149" s="19" t="s">
        <v>230</v>
      </c>
      <c r="J149" s="19" t="s">
        <v>243</v>
      </c>
      <c r="K149" s="19" t="s">
        <v>266</v>
      </c>
      <c r="L149" s="19" t="s">
        <v>279</v>
      </c>
      <c r="M149" s="19" t="s">
        <v>268</v>
      </c>
      <c r="N149" s="19" t="s">
        <v>269</v>
      </c>
      <c r="O149" s="19" t="s">
        <v>275</v>
      </c>
      <c r="P149" s="51" t="s">
        <v>237</v>
      </c>
      <c r="Q149" s="19" t="s">
        <v>271</v>
      </c>
      <c r="R149" s="19">
        <v>5800</v>
      </c>
      <c r="S149" s="19" t="s">
        <v>272</v>
      </c>
      <c r="T149" s="19" t="s">
        <v>263</v>
      </c>
      <c r="U149" s="20" t="s">
        <v>263</v>
      </c>
      <c r="V149" s="19" t="s">
        <v>1796</v>
      </c>
      <c r="W149" s="19" t="s">
        <v>222</v>
      </c>
      <c r="X149" s="35"/>
      <c r="Y149" s="35"/>
      <c r="Z149" s="32"/>
      <c r="AA149" s="22"/>
      <c r="AB149" s="22"/>
      <c r="AC149" s="22"/>
      <c r="AD149" s="22">
        <v>10</v>
      </c>
      <c r="AE149" s="61">
        <f t="shared" si="45"/>
        <v>10</v>
      </c>
      <c r="AF149" s="22"/>
      <c r="AG149" s="40">
        <f t="shared" si="46"/>
        <v>10</v>
      </c>
      <c r="AH149" s="24"/>
      <c r="AI149" s="24"/>
      <c r="AJ149" s="23">
        <f t="shared" si="50"/>
        <v>10</v>
      </c>
      <c r="AK149" s="25"/>
      <c r="AL149" s="25">
        <v>5</v>
      </c>
      <c r="AM149" s="25">
        <v>5</v>
      </c>
      <c r="AN149" s="25"/>
      <c r="AO149" s="25">
        <f t="shared" si="44"/>
        <v>10</v>
      </c>
      <c r="AP149" s="13"/>
      <c r="AQ149" s="21"/>
      <c r="AR149" s="21"/>
      <c r="AS149" s="21"/>
      <c r="AT149" s="21"/>
      <c r="AU149" s="21"/>
      <c r="AV149" s="21"/>
      <c r="AW149" s="21"/>
      <c r="AX149" s="21"/>
      <c r="AY149" s="77"/>
      <c r="AZ149" s="21">
        <v>1</v>
      </c>
      <c r="BA149" s="21">
        <v>2</v>
      </c>
      <c r="BB149" s="21">
        <v>2</v>
      </c>
      <c r="BC149" s="21"/>
      <c r="BD149" s="21"/>
      <c r="BE149" s="21"/>
      <c r="BF149" s="77"/>
      <c r="BG149" s="21">
        <v>1</v>
      </c>
      <c r="BH149" s="21">
        <v>2</v>
      </c>
      <c r="BI149" s="21">
        <v>2</v>
      </c>
      <c r="BJ149" s="21"/>
      <c r="BK149" s="21"/>
      <c r="BL149" s="21"/>
      <c r="BM149" s="77"/>
      <c r="BN149" s="21"/>
      <c r="BO149" s="21"/>
      <c r="BP149" s="21"/>
      <c r="BQ149" s="21"/>
      <c r="BR149" s="21"/>
      <c r="BS149" s="21"/>
      <c r="BT149" s="96">
        <f t="shared" si="48"/>
        <v>10</v>
      </c>
      <c r="BU149" s="94">
        <f t="shared" si="49"/>
        <v>0</v>
      </c>
      <c r="BV149" s="26"/>
      <c r="BW149" s="27"/>
      <c r="BX149" s="19" t="s">
        <v>1844</v>
      </c>
      <c r="BY149" s="19" t="b">
        <f t="shared" si="43"/>
        <v>1</v>
      </c>
      <c r="BZ149" s="53" t="s">
        <v>1844</v>
      </c>
      <c r="CA149" s="19" t="s">
        <v>1905</v>
      </c>
      <c r="CB149" s="19" t="s">
        <v>886</v>
      </c>
      <c r="CC149" s="19" t="s">
        <v>887</v>
      </c>
      <c r="CD149" s="19" t="s">
        <v>896</v>
      </c>
      <c r="CE149" s="19" t="s">
        <v>897</v>
      </c>
      <c r="CF149" s="19" t="s">
        <v>1015</v>
      </c>
      <c r="CG149" s="19" t="s">
        <v>1016</v>
      </c>
      <c r="CH149" s="19" t="s">
        <v>1017</v>
      </c>
      <c r="CI149" s="19" t="s">
        <v>876</v>
      </c>
      <c r="CJ149" s="19" t="s">
        <v>1906</v>
      </c>
      <c r="CK149" s="19" t="s">
        <v>1907</v>
      </c>
      <c r="CL149" s="19" t="s">
        <v>1050</v>
      </c>
      <c r="CM149" s="19" t="s">
        <v>1051</v>
      </c>
      <c r="CN149" s="19"/>
      <c r="CO149" s="19"/>
      <c r="CP149" s="19" t="s">
        <v>1020</v>
      </c>
      <c r="CQ149" s="19" t="s">
        <v>1021</v>
      </c>
      <c r="CR149" s="19" t="s">
        <v>1041</v>
      </c>
      <c r="CS149" s="19" t="s">
        <v>1042</v>
      </c>
      <c r="CT149" s="19"/>
      <c r="CU149" s="19"/>
      <c r="CV149" s="19"/>
      <c r="CW149" s="19"/>
      <c r="CX149" s="19"/>
      <c r="CY149" s="19"/>
      <c r="CZ149" s="19"/>
      <c r="DA149" s="19"/>
      <c r="DB149" s="19"/>
      <c r="DC149" s="19"/>
    </row>
    <row r="150" spans="1:107" s="7" customFormat="1" x14ac:dyDescent="0.25">
      <c r="A150" s="19" t="s">
        <v>228</v>
      </c>
      <c r="B150" s="19" t="s">
        <v>80</v>
      </c>
      <c r="C150" s="19" t="str">
        <f t="shared" si="42"/>
        <v>95258925India</v>
      </c>
      <c r="D150" s="19">
        <v>95258925</v>
      </c>
      <c r="E150" s="19" t="s">
        <v>478</v>
      </c>
      <c r="F150" s="19" t="s">
        <v>261</v>
      </c>
      <c r="G150" s="20" t="s">
        <v>478</v>
      </c>
      <c r="H150" s="19"/>
      <c r="I150" s="19" t="s">
        <v>230</v>
      </c>
      <c r="J150" s="19" t="s">
        <v>243</v>
      </c>
      <c r="K150" s="19" t="s">
        <v>266</v>
      </c>
      <c r="L150" s="19" t="s">
        <v>279</v>
      </c>
      <c r="M150" s="19" t="s">
        <v>268</v>
      </c>
      <c r="N150" s="19" t="s">
        <v>269</v>
      </c>
      <c r="O150" s="19" t="s">
        <v>275</v>
      </c>
      <c r="P150" s="51" t="s">
        <v>237</v>
      </c>
      <c r="Q150" s="19" t="s">
        <v>271</v>
      </c>
      <c r="R150" s="19">
        <v>5800</v>
      </c>
      <c r="S150" s="19" t="s">
        <v>272</v>
      </c>
      <c r="T150" s="19" t="s">
        <v>263</v>
      </c>
      <c r="U150" s="20" t="s">
        <v>263</v>
      </c>
      <c r="V150" s="19" t="s">
        <v>204</v>
      </c>
      <c r="W150" s="19" t="s">
        <v>222</v>
      </c>
      <c r="X150" s="35">
        <v>3</v>
      </c>
      <c r="Y150" s="35">
        <v>2</v>
      </c>
      <c r="Z150" s="32"/>
      <c r="AA150" s="22">
        <v>2</v>
      </c>
      <c r="AB150" s="22">
        <v>1</v>
      </c>
      <c r="AC150" s="22"/>
      <c r="AD150" s="22">
        <v>2</v>
      </c>
      <c r="AE150" s="61">
        <f t="shared" si="45"/>
        <v>5</v>
      </c>
      <c r="AF150" s="22"/>
      <c r="AG150" s="40">
        <f t="shared" si="46"/>
        <v>5</v>
      </c>
      <c r="AH150" s="24"/>
      <c r="AI150" s="24">
        <v>3</v>
      </c>
      <c r="AJ150" s="23">
        <f t="shared" si="50"/>
        <v>8</v>
      </c>
      <c r="AK150" s="25"/>
      <c r="AL150" s="25">
        <v>8</v>
      </c>
      <c r="AM150" s="25"/>
      <c r="AN150" s="25"/>
      <c r="AO150" s="25">
        <f t="shared" si="44"/>
        <v>8</v>
      </c>
      <c r="AP150" s="13"/>
      <c r="AQ150" s="21"/>
      <c r="AR150" s="21"/>
      <c r="AS150" s="21"/>
      <c r="AT150" s="21"/>
      <c r="AU150" s="21"/>
      <c r="AV150" s="21"/>
      <c r="AW150" s="21"/>
      <c r="AX150" s="21"/>
      <c r="AY150" s="77"/>
      <c r="AZ150" s="21"/>
      <c r="BA150" s="21"/>
      <c r="BB150" s="21"/>
      <c r="BC150" s="21"/>
      <c r="BD150" s="21"/>
      <c r="BE150" s="21"/>
      <c r="BF150" s="77"/>
      <c r="BG150" s="21">
        <v>1</v>
      </c>
      <c r="BH150" s="21">
        <v>2</v>
      </c>
      <c r="BI150" s="21">
        <v>2</v>
      </c>
      <c r="BJ150" s="21"/>
      <c r="BK150" s="21"/>
      <c r="BL150" s="21"/>
      <c r="BM150" s="77"/>
      <c r="BN150" s="21"/>
      <c r="BO150" s="21"/>
      <c r="BP150" s="21"/>
      <c r="BQ150" s="21"/>
      <c r="BR150" s="21"/>
      <c r="BS150" s="21"/>
      <c r="BT150" s="96">
        <f t="shared" si="48"/>
        <v>5</v>
      </c>
      <c r="BU150" s="94">
        <f t="shared" si="49"/>
        <v>3</v>
      </c>
      <c r="BV150" s="26"/>
      <c r="BW150" s="27"/>
      <c r="BX150" s="19" t="s">
        <v>478</v>
      </c>
      <c r="BY150" s="19" t="b">
        <f t="shared" si="43"/>
        <v>1</v>
      </c>
      <c r="BZ150" s="53" t="s">
        <v>478</v>
      </c>
      <c r="CA150" s="19" t="s">
        <v>1056</v>
      </c>
      <c r="CB150" s="19" t="s">
        <v>886</v>
      </c>
      <c r="CC150" s="19" t="s">
        <v>887</v>
      </c>
      <c r="CD150" s="19" t="s">
        <v>995</v>
      </c>
      <c r="CE150" s="19" t="s">
        <v>897</v>
      </c>
      <c r="CF150" s="19" t="s">
        <v>1015</v>
      </c>
      <c r="CG150" s="19" t="s">
        <v>1016</v>
      </c>
      <c r="CH150" s="19" t="s">
        <v>1017</v>
      </c>
      <c r="CI150" s="19" t="s">
        <v>876</v>
      </c>
      <c r="CJ150" s="19" t="s">
        <v>1036</v>
      </c>
      <c r="CK150" s="19" t="s">
        <v>1037</v>
      </c>
      <c r="CL150" s="19" t="s">
        <v>1039</v>
      </c>
      <c r="CM150" s="19" t="s">
        <v>1040</v>
      </c>
      <c r="CN150" s="19"/>
      <c r="CO150" s="19"/>
      <c r="CP150" s="19" t="s">
        <v>1020</v>
      </c>
      <c r="CQ150" s="19" t="s">
        <v>1021</v>
      </c>
      <c r="CR150" s="19" t="s">
        <v>1022</v>
      </c>
      <c r="CS150" s="19" t="s">
        <v>1023</v>
      </c>
      <c r="CT150" s="19"/>
      <c r="CU150" s="19"/>
      <c r="CV150" s="19"/>
      <c r="CW150" s="19"/>
      <c r="CX150" s="19"/>
      <c r="CY150" s="19"/>
      <c r="CZ150" s="19"/>
      <c r="DA150" s="19"/>
      <c r="DB150" s="19"/>
      <c r="DC150" s="19"/>
    </row>
    <row r="151" spans="1:107" s="7" customFormat="1" x14ac:dyDescent="0.25">
      <c r="A151" s="19" t="s">
        <v>228</v>
      </c>
      <c r="B151" s="19" t="s">
        <v>80</v>
      </c>
      <c r="C151" s="19" t="str">
        <f t="shared" si="42"/>
        <v>95258931India</v>
      </c>
      <c r="D151" s="19">
        <v>95258931</v>
      </c>
      <c r="E151" s="19" t="s">
        <v>475</v>
      </c>
      <c r="F151" s="19" t="s">
        <v>261</v>
      </c>
      <c r="G151" s="20" t="s">
        <v>475</v>
      </c>
      <c r="H151" s="19"/>
      <c r="I151" s="19" t="s">
        <v>230</v>
      </c>
      <c r="J151" s="19" t="s">
        <v>243</v>
      </c>
      <c r="K151" s="19" t="s">
        <v>266</v>
      </c>
      <c r="L151" s="19" t="s">
        <v>279</v>
      </c>
      <c r="M151" s="19" t="s">
        <v>268</v>
      </c>
      <c r="N151" s="19" t="s">
        <v>269</v>
      </c>
      <c r="O151" s="19" t="s">
        <v>275</v>
      </c>
      <c r="P151" s="51" t="s">
        <v>237</v>
      </c>
      <c r="Q151" s="19" t="s">
        <v>271</v>
      </c>
      <c r="R151" s="19">
        <v>5800</v>
      </c>
      <c r="S151" s="19" t="s">
        <v>272</v>
      </c>
      <c r="T151" s="19" t="s">
        <v>263</v>
      </c>
      <c r="U151" s="20" t="s">
        <v>263</v>
      </c>
      <c r="V151" s="19" t="s">
        <v>1798</v>
      </c>
      <c r="W151" s="19" t="s">
        <v>219</v>
      </c>
      <c r="X151" s="35">
        <v>5</v>
      </c>
      <c r="Y151" s="35">
        <v>5</v>
      </c>
      <c r="Z151" s="32"/>
      <c r="AA151" s="22"/>
      <c r="AB151" s="22"/>
      <c r="AC151" s="22"/>
      <c r="AD151" s="22"/>
      <c r="AE151" s="61">
        <f t="shared" si="45"/>
        <v>0</v>
      </c>
      <c r="AF151" s="22"/>
      <c r="AG151" s="40">
        <f t="shared" si="46"/>
        <v>0</v>
      </c>
      <c r="AH151" s="24"/>
      <c r="AI151" s="24">
        <v>5</v>
      </c>
      <c r="AJ151" s="23">
        <f t="shared" si="50"/>
        <v>5</v>
      </c>
      <c r="AK151" s="25"/>
      <c r="AL151" s="25"/>
      <c r="AM151" s="25">
        <v>5</v>
      </c>
      <c r="AN151" s="25"/>
      <c r="AO151" s="25">
        <f t="shared" si="44"/>
        <v>5</v>
      </c>
      <c r="AP151" s="13"/>
      <c r="AQ151" s="21"/>
      <c r="AR151" s="21"/>
      <c r="AS151" s="21"/>
      <c r="AT151" s="21"/>
      <c r="AU151" s="21"/>
      <c r="AV151" s="21"/>
      <c r="AW151" s="21"/>
      <c r="AX151" s="21"/>
      <c r="AY151" s="77"/>
      <c r="AZ151" s="21"/>
      <c r="BA151" s="21"/>
      <c r="BB151" s="21"/>
      <c r="BC151" s="21"/>
      <c r="BD151" s="21"/>
      <c r="BE151" s="21"/>
      <c r="BF151" s="77"/>
      <c r="BG151" s="21"/>
      <c r="BH151" s="21"/>
      <c r="BI151" s="21"/>
      <c r="BJ151" s="21"/>
      <c r="BK151" s="21"/>
      <c r="BL151" s="21"/>
      <c r="BM151" s="77"/>
      <c r="BN151" s="21"/>
      <c r="BO151" s="21"/>
      <c r="BP151" s="21"/>
      <c r="BQ151" s="21"/>
      <c r="BR151" s="21"/>
      <c r="BS151" s="21"/>
      <c r="BT151" s="96">
        <f t="shared" si="48"/>
        <v>0</v>
      </c>
      <c r="BU151" s="94">
        <f t="shared" si="49"/>
        <v>5</v>
      </c>
      <c r="BV151" s="26"/>
      <c r="BW151" s="27"/>
      <c r="BX151" s="19" t="s">
        <v>475</v>
      </c>
      <c r="BY151" s="19" t="b">
        <f t="shared" si="43"/>
        <v>1</v>
      </c>
      <c r="BZ151" s="53" t="s">
        <v>475</v>
      </c>
      <c r="CA151" s="19" t="s">
        <v>1052</v>
      </c>
      <c r="CB151" s="19" t="s">
        <v>886</v>
      </c>
      <c r="CC151" s="19" t="s">
        <v>887</v>
      </c>
      <c r="CD151" s="19" t="s">
        <v>995</v>
      </c>
      <c r="CE151" s="19" t="s">
        <v>897</v>
      </c>
      <c r="CF151" s="19" t="s">
        <v>1015</v>
      </c>
      <c r="CG151" s="19" t="s">
        <v>1016</v>
      </c>
      <c r="CH151" s="19" t="s">
        <v>1017</v>
      </c>
      <c r="CI151" s="19" t="s">
        <v>876</v>
      </c>
      <c r="CJ151" s="19" t="s">
        <v>1018</v>
      </c>
      <c r="CK151" s="19" t="s">
        <v>1019</v>
      </c>
      <c r="CL151" s="19" t="s">
        <v>1050</v>
      </c>
      <c r="CM151" s="19" t="s">
        <v>1051</v>
      </c>
      <c r="CN151" s="19"/>
      <c r="CO151" s="19"/>
      <c r="CP151" s="19" t="s">
        <v>1020</v>
      </c>
      <c r="CQ151" s="19" t="s">
        <v>1021</v>
      </c>
      <c r="CR151" s="19" t="s">
        <v>1022</v>
      </c>
      <c r="CS151" s="19" t="s">
        <v>1023</v>
      </c>
      <c r="CT151" s="19"/>
      <c r="CU151" s="19"/>
      <c r="CV151" s="19"/>
      <c r="CW151" s="19"/>
      <c r="CX151" s="19"/>
      <c r="CY151" s="19"/>
      <c r="CZ151" s="19"/>
      <c r="DA151" s="19"/>
      <c r="DB151" s="19"/>
      <c r="DC151" s="19"/>
    </row>
    <row r="152" spans="1:107" s="7" customFormat="1" x14ac:dyDescent="0.25">
      <c r="A152" s="19" t="s">
        <v>228</v>
      </c>
      <c r="B152" s="19" t="s">
        <v>80</v>
      </c>
      <c r="C152" s="19" t="str">
        <f t="shared" si="42"/>
        <v>95259357India</v>
      </c>
      <c r="D152" s="19">
        <v>95259357</v>
      </c>
      <c r="E152" s="19" t="s">
        <v>425</v>
      </c>
      <c r="F152" s="19" t="s">
        <v>261</v>
      </c>
      <c r="G152" s="20" t="s">
        <v>425</v>
      </c>
      <c r="H152" s="19"/>
      <c r="I152" s="19" t="s">
        <v>230</v>
      </c>
      <c r="J152" s="19" t="s">
        <v>243</v>
      </c>
      <c r="K152" s="19" t="s">
        <v>266</v>
      </c>
      <c r="L152" s="19" t="s">
        <v>279</v>
      </c>
      <c r="M152" s="19" t="s">
        <v>268</v>
      </c>
      <c r="N152" s="19" t="s">
        <v>269</v>
      </c>
      <c r="O152" s="19" t="s">
        <v>275</v>
      </c>
      <c r="P152" s="51" t="s">
        <v>237</v>
      </c>
      <c r="Q152" s="19" t="s">
        <v>271</v>
      </c>
      <c r="R152" s="19">
        <v>5800</v>
      </c>
      <c r="S152" s="19" t="s">
        <v>272</v>
      </c>
      <c r="T152" s="19" t="s">
        <v>263</v>
      </c>
      <c r="U152" s="20" t="s">
        <v>263</v>
      </c>
      <c r="V152" s="19" t="s">
        <v>1561</v>
      </c>
      <c r="W152" s="19" t="s">
        <v>222</v>
      </c>
      <c r="X152" s="35">
        <v>10</v>
      </c>
      <c r="Y152" s="35">
        <v>4</v>
      </c>
      <c r="Z152" s="32"/>
      <c r="AA152" s="22"/>
      <c r="AB152" s="22"/>
      <c r="AC152" s="22">
        <v>5</v>
      </c>
      <c r="AD152" s="22">
        <v>10</v>
      </c>
      <c r="AE152" s="61">
        <f t="shared" si="45"/>
        <v>15</v>
      </c>
      <c r="AF152" s="22"/>
      <c r="AG152" s="40">
        <f t="shared" si="46"/>
        <v>15</v>
      </c>
      <c r="AH152" s="24">
        <v>9</v>
      </c>
      <c r="AI152" s="24">
        <v>10</v>
      </c>
      <c r="AJ152" s="23">
        <f t="shared" si="50"/>
        <v>16</v>
      </c>
      <c r="AK152" s="25"/>
      <c r="AL152" s="25"/>
      <c r="AM152" s="25">
        <v>16</v>
      </c>
      <c r="AN152" s="25"/>
      <c r="AO152" s="25">
        <f t="shared" si="44"/>
        <v>16</v>
      </c>
      <c r="AP152" s="13">
        <v>9</v>
      </c>
      <c r="AQ152" s="21">
        <v>3</v>
      </c>
      <c r="AR152" s="21">
        <v>3</v>
      </c>
      <c r="AS152" s="21">
        <v>3</v>
      </c>
      <c r="AT152" s="21"/>
      <c r="AU152" s="21"/>
      <c r="AV152" s="21"/>
      <c r="AW152" s="21"/>
      <c r="AX152" s="21"/>
      <c r="AY152" s="77"/>
      <c r="AZ152" s="21"/>
      <c r="BA152" s="21"/>
      <c r="BB152" s="21"/>
      <c r="BC152" s="21"/>
      <c r="BD152" s="21"/>
      <c r="BE152" s="21"/>
      <c r="BF152" s="77"/>
      <c r="BG152" s="21">
        <v>2</v>
      </c>
      <c r="BH152" s="21">
        <v>2</v>
      </c>
      <c r="BI152" s="21">
        <v>2</v>
      </c>
      <c r="BJ152" s="21"/>
      <c r="BK152" s="21"/>
      <c r="BL152" s="21"/>
      <c r="BM152" s="77"/>
      <c r="BN152" s="21"/>
      <c r="BO152" s="21"/>
      <c r="BP152" s="21"/>
      <c r="BQ152" s="21"/>
      <c r="BR152" s="21"/>
      <c r="BS152" s="21"/>
      <c r="BT152" s="96">
        <f t="shared" si="48"/>
        <v>15</v>
      </c>
      <c r="BU152" s="94">
        <f t="shared" si="49"/>
        <v>1</v>
      </c>
      <c r="BV152" s="26"/>
      <c r="BW152" s="27"/>
      <c r="BX152" s="19" t="s">
        <v>425</v>
      </c>
      <c r="BY152" s="19" t="b">
        <f t="shared" si="43"/>
        <v>1</v>
      </c>
      <c r="BZ152" s="53" t="s">
        <v>425</v>
      </c>
      <c r="CA152" s="19" t="s">
        <v>1010</v>
      </c>
      <c r="CB152" s="19" t="s">
        <v>886</v>
      </c>
      <c r="CC152" s="19" t="s">
        <v>887</v>
      </c>
      <c r="CD152" s="19" t="s">
        <v>908</v>
      </c>
      <c r="CE152" s="19" t="s">
        <v>909</v>
      </c>
      <c r="CF152" s="19" t="s">
        <v>898</v>
      </c>
      <c r="CG152" s="19" t="s">
        <v>899</v>
      </c>
      <c r="CH152" s="19" t="s">
        <v>875</v>
      </c>
      <c r="CI152" s="19" t="s">
        <v>876</v>
      </c>
      <c r="CJ152" s="19" t="s">
        <v>1011</v>
      </c>
      <c r="CK152" s="19" t="s">
        <v>1012</v>
      </c>
      <c r="CL152" s="19" t="s">
        <v>1013</v>
      </c>
      <c r="CM152" s="19" t="s">
        <v>1014</v>
      </c>
      <c r="CN152" s="19"/>
      <c r="CO152" s="19"/>
      <c r="CP152" s="19" t="s">
        <v>904</v>
      </c>
      <c r="CQ152" s="19" t="s">
        <v>905</v>
      </c>
      <c r="CR152" s="19" t="s">
        <v>910</v>
      </c>
      <c r="CS152" s="19" t="s">
        <v>911</v>
      </c>
      <c r="CT152" s="19"/>
      <c r="CU152" s="19"/>
      <c r="CV152" s="19"/>
      <c r="CW152" s="19"/>
      <c r="CX152" s="19"/>
      <c r="CY152" s="19"/>
      <c r="CZ152" s="19"/>
      <c r="DA152" s="19"/>
      <c r="DB152" s="19"/>
      <c r="DC152" s="19"/>
    </row>
    <row r="153" spans="1:107" s="7" customFormat="1" x14ac:dyDescent="0.25">
      <c r="A153" s="19" t="s">
        <v>228</v>
      </c>
      <c r="B153" s="19" t="s">
        <v>80</v>
      </c>
      <c r="C153" s="19" t="str">
        <f t="shared" si="42"/>
        <v>95255584India</v>
      </c>
      <c r="D153" s="19">
        <v>95255584</v>
      </c>
      <c r="E153" s="19" t="s">
        <v>482</v>
      </c>
      <c r="F153" s="19" t="s">
        <v>261</v>
      </c>
      <c r="G153" s="20" t="s">
        <v>482</v>
      </c>
      <c r="H153" s="19"/>
      <c r="I153" s="19" t="s">
        <v>230</v>
      </c>
      <c r="J153" s="19" t="s">
        <v>243</v>
      </c>
      <c r="K153" s="19" t="s">
        <v>266</v>
      </c>
      <c r="L153" s="19" t="s">
        <v>279</v>
      </c>
      <c r="M153" s="19" t="s">
        <v>268</v>
      </c>
      <c r="N153" s="19" t="s">
        <v>269</v>
      </c>
      <c r="O153" s="19" t="s">
        <v>270</v>
      </c>
      <c r="P153" s="51" t="s">
        <v>237</v>
      </c>
      <c r="Q153" s="19" t="s">
        <v>271</v>
      </c>
      <c r="R153" s="19">
        <v>5800</v>
      </c>
      <c r="S153" s="19" t="s">
        <v>462</v>
      </c>
      <c r="T153" s="19" t="s">
        <v>263</v>
      </c>
      <c r="U153" s="20" t="s">
        <v>263</v>
      </c>
      <c r="V153" s="19" t="s">
        <v>208</v>
      </c>
      <c r="W153" s="19" t="s">
        <v>222</v>
      </c>
      <c r="X153" s="35">
        <v>4</v>
      </c>
      <c r="Y153" s="35">
        <v>3</v>
      </c>
      <c r="Z153" s="32"/>
      <c r="AA153" s="22">
        <v>5</v>
      </c>
      <c r="AB153" s="22">
        <v>1</v>
      </c>
      <c r="AC153" s="22">
        <v>2</v>
      </c>
      <c r="AD153" s="22"/>
      <c r="AE153" s="61">
        <f t="shared" si="45"/>
        <v>8</v>
      </c>
      <c r="AF153" s="22"/>
      <c r="AG153" s="40">
        <f t="shared" si="46"/>
        <v>8</v>
      </c>
      <c r="AH153" s="24">
        <v>16</v>
      </c>
      <c r="AI153" s="24"/>
      <c r="AJ153" s="23">
        <v>0</v>
      </c>
      <c r="AK153" s="25"/>
      <c r="AL153" s="25"/>
      <c r="AM153" s="25"/>
      <c r="AN153" s="25"/>
      <c r="AO153" s="25">
        <f t="shared" si="44"/>
        <v>0</v>
      </c>
      <c r="AP153" s="13">
        <v>16</v>
      </c>
      <c r="AQ153" s="21">
        <v>6</v>
      </c>
      <c r="AR153" s="21">
        <v>6</v>
      </c>
      <c r="AS153" s="21">
        <v>4</v>
      </c>
      <c r="AT153" s="21"/>
      <c r="AU153" s="21"/>
      <c r="AV153" s="21"/>
      <c r="AW153" s="21"/>
      <c r="AX153" s="21"/>
      <c r="AY153" s="77"/>
      <c r="AZ153" s="21"/>
      <c r="BA153" s="21"/>
      <c r="BB153" s="21"/>
      <c r="BC153" s="21"/>
      <c r="BD153" s="21"/>
      <c r="BE153" s="21"/>
      <c r="BF153" s="77"/>
      <c r="BG153" s="21"/>
      <c r="BH153" s="21"/>
      <c r="BI153" s="21"/>
      <c r="BJ153" s="21"/>
      <c r="BK153" s="21"/>
      <c r="BL153" s="21"/>
      <c r="BM153" s="77"/>
      <c r="BN153" s="21"/>
      <c r="BO153" s="21"/>
      <c r="BP153" s="21"/>
      <c r="BQ153" s="21"/>
      <c r="BR153" s="21"/>
      <c r="BS153" s="21"/>
      <c r="BT153" s="96">
        <f t="shared" si="48"/>
        <v>16</v>
      </c>
      <c r="BU153" s="94">
        <f t="shared" si="49"/>
        <v>-16</v>
      </c>
      <c r="BV153" s="26"/>
      <c r="BW153" s="27"/>
      <c r="BX153" s="19" t="s">
        <v>482</v>
      </c>
      <c r="BY153" s="19" t="b">
        <f t="shared" si="43"/>
        <v>1</v>
      </c>
      <c r="BZ153" s="53" t="s">
        <v>482</v>
      </c>
      <c r="CA153" s="19" t="s">
        <v>1057</v>
      </c>
      <c r="CB153" s="19" t="s">
        <v>886</v>
      </c>
      <c r="CC153" s="19" t="s">
        <v>976</v>
      </c>
      <c r="CD153" s="19" t="s">
        <v>908</v>
      </c>
      <c r="CE153" s="19" t="s">
        <v>909</v>
      </c>
      <c r="CF153" s="19" t="s">
        <v>898</v>
      </c>
      <c r="CG153" s="19" t="s">
        <v>899</v>
      </c>
      <c r="CH153" s="19" t="s">
        <v>875</v>
      </c>
      <c r="CI153" s="19" t="s">
        <v>876</v>
      </c>
      <c r="CJ153" s="19" t="s">
        <v>1003</v>
      </c>
      <c r="CK153" s="19" t="s">
        <v>1004</v>
      </c>
      <c r="CL153" s="19" t="s">
        <v>977</v>
      </c>
      <c r="CM153" s="19" t="s">
        <v>978</v>
      </c>
      <c r="CN153" s="19"/>
      <c r="CO153" s="19"/>
      <c r="CP153" s="19" t="s">
        <v>904</v>
      </c>
      <c r="CQ153" s="19" t="s">
        <v>905</v>
      </c>
      <c r="CR153" s="19" t="s">
        <v>910</v>
      </c>
      <c r="CS153" s="19" t="s">
        <v>911</v>
      </c>
      <c r="CT153" s="19"/>
      <c r="CU153" s="19"/>
      <c r="CV153" s="19"/>
      <c r="CW153" s="19"/>
      <c r="CX153" s="19"/>
      <c r="CY153" s="19"/>
      <c r="CZ153" s="19"/>
      <c r="DA153" s="19"/>
      <c r="DB153" s="19"/>
      <c r="DC153" s="19"/>
    </row>
    <row r="154" spans="1:107" s="7" customFormat="1" x14ac:dyDescent="0.25">
      <c r="A154" s="19" t="s">
        <v>228</v>
      </c>
      <c r="B154" s="19" t="s">
        <v>80</v>
      </c>
      <c r="C154" s="19" t="str">
        <f t="shared" si="42"/>
        <v>95258921India</v>
      </c>
      <c r="D154" s="19">
        <v>95258921</v>
      </c>
      <c r="E154" s="19" t="s">
        <v>1846</v>
      </c>
      <c r="F154" s="19" t="s">
        <v>261</v>
      </c>
      <c r="G154" s="20" t="s">
        <v>1846</v>
      </c>
      <c r="H154" s="19"/>
      <c r="I154" s="19" t="s">
        <v>230</v>
      </c>
      <c r="J154" s="19" t="s">
        <v>243</v>
      </c>
      <c r="K154" s="19" t="s">
        <v>266</v>
      </c>
      <c r="L154" s="19" t="s">
        <v>267</v>
      </c>
      <c r="M154" s="19" t="s">
        <v>268</v>
      </c>
      <c r="N154" s="19" t="s">
        <v>269</v>
      </c>
      <c r="O154" s="19" t="s">
        <v>275</v>
      </c>
      <c r="P154" s="51" t="s">
        <v>237</v>
      </c>
      <c r="Q154" s="19" t="s">
        <v>271</v>
      </c>
      <c r="R154" s="19">
        <v>5800</v>
      </c>
      <c r="S154" s="19" t="s">
        <v>272</v>
      </c>
      <c r="T154" s="19" t="s">
        <v>263</v>
      </c>
      <c r="U154" s="20" t="s">
        <v>263</v>
      </c>
      <c r="V154" s="19" t="s">
        <v>1802</v>
      </c>
      <c r="W154" s="19" t="s">
        <v>219</v>
      </c>
      <c r="X154" s="35"/>
      <c r="Y154" s="35"/>
      <c r="Z154" s="32"/>
      <c r="AA154" s="22">
        <v>1</v>
      </c>
      <c r="AB154" s="22"/>
      <c r="AC154" s="22"/>
      <c r="AD154" s="22"/>
      <c r="AE154" s="61">
        <f t="shared" si="45"/>
        <v>1</v>
      </c>
      <c r="AF154" s="22"/>
      <c r="AG154" s="40">
        <f t="shared" si="46"/>
        <v>1</v>
      </c>
      <c r="AH154" s="24"/>
      <c r="AI154" s="24"/>
      <c r="AJ154" s="23">
        <f>AG154-AH154+AI154</f>
        <v>1</v>
      </c>
      <c r="AK154" s="25"/>
      <c r="AL154" s="25"/>
      <c r="AM154" s="25">
        <v>1</v>
      </c>
      <c r="AN154" s="25"/>
      <c r="AO154" s="25">
        <f t="shared" si="44"/>
        <v>1</v>
      </c>
      <c r="AP154" s="13"/>
      <c r="AQ154" s="21"/>
      <c r="AR154" s="21"/>
      <c r="AS154" s="21"/>
      <c r="AT154" s="21"/>
      <c r="AU154" s="21"/>
      <c r="AV154" s="21"/>
      <c r="AW154" s="21"/>
      <c r="AX154" s="21"/>
      <c r="AY154" s="77"/>
      <c r="AZ154" s="21"/>
      <c r="BA154" s="21"/>
      <c r="BB154" s="21"/>
      <c r="BC154" s="21"/>
      <c r="BD154" s="21"/>
      <c r="BE154" s="21"/>
      <c r="BF154" s="77"/>
      <c r="BG154" s="21">
        <v>1</v>
      </c>
      <c r="BH154" s="21"/>
      <c r="BI154" s="21"/>
      <c r="BJ154" s="21"/>
      <c r="BK154" s="21"/>
      <c r="BL154" s="21"/>
      <c r="BM154" s="77"/>
      <c r="BN154" s="21"/>
      <c r="BO154" s="21"/>
      <c r="BP154" s="21"/>
      <c r="BQ154" s="21"/>
      <c r="BR154" s="21"/>
      <c r="BS154" s="21"/>
      <c r="BT154" s="96">
        <f t="shared" si="48"/>
        <v>1</v>
      </c>
      <c r="BU154" s="94">
        <f t="shared" si="49"/>
        <v>0</v>
      </c>
      <c r="BV154" s="26"/>
      <c r="BW154" s="27"/>
      <c r="BX154" s="19" t="s">
        <v>1846</v>
      </c>
      <c r="BY154" s="19" t="b">
        <f t="shared" si="43"/>
        <v>1</v>
      </c>
      <c r="BZ154" s="53" t="s">
        <v>1846</v>
      </c>
      <c r="CA154" s="19" t="s">
        <v>1908</v>
      </c>
      <c r="CB154" s="19" t="s">
        <v>886</v>
      </c>
      <c r="CC154" s="19" t="s">
        <v>887</v>
      </c>
      <c r="CD154" s="19" t="s">
        <v>995</v>
      </c>
      <c r="CE154" s="19" t="s">
        <v>897</v>
      </c>
      <c r="CF154" s="19" t="s">
        <v>898</v>
      </c>
      <c r="CG154" s="19" t="s">
        <v>899</v>
      </c>
      <c r="CH154" s="19" t="s">
        <v>875</v>
      </c>
      <c r="CI154" s="19" t="s">
        <v>876</v>
      </c>
      <c r="CJ154" s="19" t="s">
        <v>996</v>
      </c>
      <c r="CK154" s="19" t="s">
        <v>997</v>
      </c>
      <c r="CL154" s="19" t="s">
        <v>1013</v>
      </c>
      <c r="CM154" s="19" t="s">
        <v>1014</v>
      </c>
      <c r="CN154" s="19"/>
      <c r="CO154" s="19"/>
      <c r="CP154" s="19" t="s">
        <v>904</v>
      </c>
      <c r="CQ154" s="19" t="s">
        <v>905</v>
      </c>
      <c r="CR154" s="19" t="s">
        <v>1000</v>
      </c>
      <c r="CS154" s="19" t="s">
        <v>1001</v>
      </c>
      <c r="CT154" s="19"/>
      <c r="CU154" s="19"/>
      <c r="CV154" s="19"/>
      <c r="CW154" s="19"/>
      <c r="CX154" s="19"/>
      <c r="CY154" s="19"/>
      <c r="CZ154" s="19"/>
      <c r="DA154" s="19"/>
      <c r="DB154" s="19"/>
      <c r="DC154" s="19"/>
    </row>
    <row r="155" spans="1:107" s="7" customFormat="1" x14ac:dyDescent="0.25">
      <c r="A155" s="19" t="s">
        <v>228</v>
      </c>
      <c r="B155" s="19" t="s">
        <v>80</v>
      </c>
      <c r="C155" s="19" t="str">
        <f t="shared" si="42"/>
        <v>95259729India</v>
      </c>
      <c r="D155" s="19">
        <v>95259729</v>
      </c>
      <c r="E155" s="19" t="s">
        <v>484</v>
      </c>
      <c r="F155" s="19" t="s">
        <v>261</v>
      </c>
      <c r="G155" s="20" t="s">
        <v>484</v>
      </c>
      <c r="H155" s="19"/>
      <c r="I155" s="19" t="s">
        <v>230</v>
      </c>
      <c r="J155" s="19" t="s">
        <v>243</v>
      </c>
      <c r="K155" s="19" t="s">
        <v>266</v>
      </c>
      <c r="L155" s="19" t="s">
        <v>267</v>
      </c>
      <c r="M155" s="19" t="s">
        <v>268</v>
      </c>
      <c r="N155" s="19" t="s">
        <v>269</v>
      </c>
      <c r="O155" s="19" t="s">
        <v>275</v>
      </c>
      <c r="P155" s="51" t="s">
        <v>237</v>
      </c>
      <c r="Q155" s="19" t="s">
        <v>271</v>
      </c>
      <c r="R155" s="19">
        <v>5800</v>
      </c>
      <c r="S155" s="19" t="s">
        <v>422</v>
      </c>
      <c r="T155" s="19" t="s">
        <v>263</v>
      </c>
      <c r="U155" s="20" t="s">
        <v>263</v>
      </c>
      <c r="V155" s="19" t="s">
        <v>210</v>
      </c>
      <c r="W155" s="19" t="s">
        <v>222</v>
      </c>
      <c r="X155" s="35"/>
      <c r="Y155" s="35"/>
      <c r="Z155" s="32"/>
      <c r="AA155" s="22">
        <v>1</v>
      </c>
      <c r="AB155" s="22"/>
      <c r="AC155" s="22">
        <v>5</v>
      </c>
      <c r="AD155" s="22">
        <v>5</v>
      </c>
      <c r="AE155" s="61">
        <f t="shared" si="45"/>
        <v>11</v>
      </c>
      <c r="AF155" s="22"/>
      <c r="AG155" s="40">
        <f t="shared" si="46"/>
        <v>11</v>
      </c>
      <c r="AH155" s="24">
        <v>5</v>
      </c>
      <c r="AI155" s="24"/>
      <c r="AJ155" s="23">
        <f>AG155-AH155+AI155</f>
        <v>6</v>
      </c>
      <c r="AK155" s="25"/>
      <c r="AL155" s="25"/>
      <c r="AM155" s="25">
        <v>6</v>
      </c>
      <c r="AN155" s="25"/>
      <c r="AO155" s="25">
        <f t="shared" si="44"/>
        <v>6</v>
      </c>
      <c r="AP155" s="13">
        <v>5</v>
      </c>
      <c r="AQ155" s="21"/>
      <c r="AR155" s="21"/>
      <c r="AS155" s="21">
        <v>5</v>
      </c>
      <c r="AT155" s="21"/>
      <c r="AU155" s="21"/>
      <c r="AV155" s="21"/>
      <c r="AW155" s="21"/>
      <c r="AX155" s="21"/>
      <c r="AY155" s="77"/>
      <c r="AZ155" s="21"/>
      <c r="BA155" s="21"/>
      <c r="BB155" s="21"/>
      <c r="BC155" s="21"/>
      <c r="BD155" s="21"/>
      <c r="BE155" s="21"/>
      <c r="BF155" s="77"/>
      <c r="BG155" s="21">
        <v>6</v>
      </c>
      <c r="BH155" s="21"/>
      <c r="BI155" s="21"/>
      <c r="BJ155" s="21"/>
      <c r="BK155" s="21"/>
      <c r="BL155" s="21"/>
      <c r="BM155" s="77"/>
      <c r="BN155" s="21"/>
      <c r="BO155" s="21"/>
      <c r="BP155" s="21"/>
      <c r="BQ155" s="21"/>
      <c r="BR155" s="21"/>
      <c r="BS155" s="21"/>
      <c r="BT155" s="96">
        <f t="shared" si="48"/>
        <v>11</v>
      </c>
      <c r="BU155" s="94">
        <f t="shared" si="49"/>
        <v>-5</v>
      </c>
      <c r="BV155" s="26"/>
      <c r="BW155" s="27"/>
      <c r="BX155" s="19" t="s">
        <v>484</v>
      </c>
      <c r="BY155" s="19" t="b">
        <f t="shared" si="43"/>
        <v>1</v>
      </c>
      <c r="BZ155" s="53" t="s">
        <v>484</v>
      </c>
      <c r="CA155" s="19" t="s">
        <v>1058</v>
      </c>
      <c r="CB155" s="19" t="s">
        <v>886</v>
      </c>
      <c r="CC155" s="19" t="s">
        <v>976</v>
      </c>
      <c r="CD155" s="19" t="s">
        <v>908</v>
      </c>
      <c r="CE155" s="19" t="s">
        <v>909</v>
      </c>
      <c r="CF155" s="19" t="s">
        <v>898</v>
      </c>
      <c r="CG155" s="19" t="s">
        <v>899</v>
      </c>
      <c r="CH155" s="19" t="s">
        <v>875</v>
      </c>
      <c r="CI155" s="19" t="s">
        <v>876</v>
      </c>
      <c r="CJ155" s="19" t="s">
        <v>1059</v>
      </c>
      <c r="CK155" s="19" t="s">
        <v>1060</v>
      </c>
      <c r="CL155" s="19" t="s">
        <v>977</v>
      </c>
      <c r="CM155" s="19" t="s">
        <v>978</v>
      </c>
      <c r="CN155" s="19"/>
      <c r="CO155" s="19"/>
      <c r="CP155" s="19" t="s">
        <v>904</v>
      </c>
      <c r="CQ155" s="19" t="s">
        <v>905</v>
      </c>
      <c r="CR155" s="19" t="s">
        <v>910</v>
      </c>
      <c r="CS155" s="19" t="s">
        <v>911</v>
      </c>
      <c r="CT155" s="19"/>
      <c r="CU155" s="19"/>
      <c r="CV155" s="19"/>
      <c r="CW155" s="19"/>
      <c r="CX155" s="19"/>
      <c r="CY155" s="19"/>
      <c r="CZ155" s="19"/>
      <c r="DA155" s="19"/>
      <c r="DB155" s="19"/>
      <c r="DC155" s="19"/>
    </row>
    <row r="156" spans="1:107" s="7" customFormat="1" x14ac:dyDescent="0.25">
      <c r="A156" s="19" t="s">
        <v>228</v>
      </c>
      <c r="B156" s="19" t="s">
        <v>80</v>
      </c>
      <c r="C156" s="19" t="str">
        <f t="shared" si="42"/>
        <v>95258936India</v>
      </c>
      <c r="D156" s="19">
        <v>95258936</v>
      </c>
      <c r="E156" s="19" t="s">
        <v>1525</v>
      </c>
      <c r="F156" s="19" t="s">
        <v>261</v>
      </c>
      <c r="G156" s="20" t="s">
        <v>1525</v>
      </c>
      <c r="H156" s="19"/>
      <c r="I156" s="19" t="s">
        <v>230</v>
      </c>
      <c r="J156" s="19" t="s">
        <v>243</v>
      </c>
      <c r="K156" s="19" t="s">
        <v>266</v>
      </c>
      <c r="L156" s="19" t="s">
        <v>267</v>
      </c>
      <c r="M156" s="19" t="s">
        <v>268</v>
      </c>
      <c r="N156" s="19" t="s">
        <v>269</v>
      </c>
      <c r="O156" s="19" t="s">
        <v>275</v>
      </c>
      <c r="P156" s="51" t="s">
        <v>237</v>
      </c>
      <c r="Q156" s="19" t="s">
        <v>271</v>
      </c>
      <c r="R156" s="19">
        <v>5800</v>
      </c>
      <c r="S156" s="19" t="s">
        <v>272</v>
      </c>
      <c r="T156" s="19" t="s">
        <v>263</v>
      </c>
      <c r="U156" s="20" t="s">
        <v>263</v>
      </c>
      <c r="V156" s="19" t="s">
        <v>1811</v>
      </c>
      <c r="W156" s="19" t="s">
        <v>219</v>
      </c>
      <c r="X156" s="35"/>
      <c r="Y156" s="35"/>
      <c r="Z156" s="32"/>
      <c r="AA156" s="22">
        <v>1</v>
      </c>
      <c r="AB156" s="22"/>
      <c r="AC156" s="22"/>
      <c r="AD156" s="22"/>
      <c r="AE156" s="61">
        <f t="shared" si="45"/>
        <v>1</v>
      </c>
      <c r="AF156" s="22"/>
      <c r="AG156" s="40">
        <f t="shared" si="46"/>
        <v>1</v>
      </c>
      <c r="AH156" s="24"/>
      <c r="AI156" s="24"/>
      <c r="AJ156" s="23">
        <f>AG156-AH156+AI156</f>
        <v>1</v>
      </c>
      <c r="AK156" s="25"/>
      <c r="AL156" s="25"/>
      <c r="AM156" s="25">
        <v>1</v>
      </c>
      <c r="AN156" s="25"/>
      <c r="AO156" s="25">
        <f t="shared" si="44"/>
        <v>1</v>
      </c>
      <c r="AP156" s="13"/>
      <c r="AQ156" s="21"/>
      <c r="AR156" s="21"/>
      <c r="AS156" s="21"/>
      <c r="AT156" s="21"/>
      <c r="AU156" s="21"/>
      <c r="AV156" s="21"/>
      <c r="AW156" s="21"/>
      <c r="AX156" s="21"/>
      <c r="AY156" s="77"/>
      <c r="AZ156" s="21"/>
      <c r="BA156" s="21"/>
      <c r="BB156" s="21"/>
      <c r="BC156" s="21"/>
      <c r="BD156" s="21"/>
      <c r="BE156" s="21"/>
      <c r="BF156" s="77"/>
      <c r="BG156" s="21"/>
      <c r="BH156" s="21">
        <v>1</v>
      </c>
      <c r="BI156" s="21"/>
      <c r="BJ156" s="21"/>
      <c r="BK156" s="21"/>
      <c r="BL156" s="21"/>
      <c r="BM156" s="77"/>
      <c r="BN156" s="21"/>
      <c r="BO156" s="21"/>
      <c r="BP156" s="21"/>
      <c r="BQ156" s="21"/>
      <c r="BR156" s="21"/>
      <c r="BS156" s="21"/>
      <c r="BT156" s="96">
        <f t="shared" si="48"/>
        <v>1</v>
      </c>
      <c r="BU156" s="94">
        <f t="shared" si="49"/>
        <v>0</v>
      </c>
      <c r="BV156" s="26"/>
      <c r="BW156" s="27"/>
      <c r="BX156" s="19" t="s">
        <v>1525</v>
      </c>
      <c r="BY156" s="19" t="b">
        <f t="shared" si="43"/>
        <v>1</v>
      </c>
      <c r="BZ156" s="53" t="s">
        <v>1525</v>
      </c>
      <c r="CA156" s="19" t="s">
        <v>1669</v>
      </c>
      <c r="CB156" s="19" t="s">
        <v>886</v>
      </c>
      <c r="CC156" s="19" t="s">
        <v>887</v>
      </c>
      <c r="CD156" s="19" t="s">
        <v>908</v>
      </c>
      <c r="CE156" s="19" t="s">
        <v>909</v>
      </c>
      <c r="CF156" s="19" t="s">
        <v>898</v>
      </c>
      <c r="CG156" s="19" t="s">
        <v>899</v>
      </c>
      <c r="CH156" s="19" t="s">
        <v>875</v>
      </c>
      <c r="CI156" s="19" t="s">
        <v>876</v>
      </c>
      <c r="CJ156" s="19" t="s">
        <v>1059</v>
      </c>
      <c r="CK156" s="19" t="s">
        <v>1060</v>
      </c>
      <c r="CL156" s="19" t="s">
        <v>1008</v>
      </c>
      <c r="CM156" s="19" t="s">
        <v>1009</v>
      </c>
      <c r="CN156" s="19"/>
      <c r="CO156" s="19"/>
      <c r="CP156" s="19" t="s">
        <v>904</v>
      </c>
      <c r="CQ156" s="19" t="s">
        <v>905</v>
      </c>
      <c r="CR156" s="19" t="s">
        <v>910</v>
      </c>
      <c r="CS156" s="19" t="s">
        <v>911</v>
      </c>
      <c r="CT156" s="19"/>
      <c r="CU156" s="19"/>
      <c r="CV156" s="19"/>
      <c r="CW156" s="19"/>
      <c r="CX156" s="19"/>
      <c r="CY156" s="19"/>
      <c r="CZ156" s="19"/>
      <c r="DA156" s="19"/>
      <c r="DB156" s="19"/>
      <c r="DC156" s="19"/>
    </row>
    <row r="157" spans="1:107" s="7" customFormat="1" x14ac:dyDescent="0.25">
      <c r="A157" s="19" t="s">
        <v>228</v>
      </c>
      <c r="B157" s="19" t="s">
        <v>80</v>
      </c>
      <c r="C157" s="19" t="str">
        <f t="shared" si="42"/>
        <v>97058954India</v>
      </c>
      <c r="D157" s="19">
        <v>97058954</v>
      </c>
      <c r="E157" s="19" t="s">
        <v>436</v>
      </c>
      <c r="F157" s="19" t="s">
        <v>261</v>
      </c>
      <c r="G157" s="20" t="s">
        <v>436</v>
      </c>
      <c r="H157" s="19"/>
      <c r="I157" s="19" t="s">
        <v>230</v>
      </c>
      <c r="J157" s="19" t="s">
        <v>334</v>
      </c>
      <c r="K157" s="19" t="s">
        <v>266</v>
      </c>
      <c r="L157" s="19" t="s">
        <v>279</v>
      </c>
      <c r="M157" s="19" t="s">
        <v>268</v>
      </c>
      <c r="N157" s="19" t="s">
        <v>269</v>
      </c>
      <c r="O157" s="19" t="s">
        <v>275</v>
      </c>
      <c r="P157" s="51" t="s">
        <v>237</v>
      </c>
      <c r="Q157" s="19" t="s">
        <v>437</v>
      </c>
      <c r="R157" s="19">
        <v>5900</v>
      </c>
      <c r="S157" s="19" t="s">
        <v>272</v>
      </c>
      <c r="T157" s="19" t="s">
        <v>263</v>
      </c>
      <c r="U157" s="20" t="s">
        <v>263</v>
      </c>
      <c r="V157" s="19" t="s">
        <v>168</v>
      </c>
      <c r="W157" s="19" t="s">
        <v>222</v>
      </c>
      <c r="X157" s="35">
        <v>4</v>
      </c>
      <c r="Y157" s="35">
        <v>4</v>
      </c>
      <c r="Z157" s="32"/>
      <c r="AA157" s="22"/>
      <c r="AB157" s="22"/>
      <c r="AC157" s="22">
        <v>2</v>
      </c>
      <c r="AD157" s="22">
        <v>2</v>
      </c>
      <c r="AE157" s="61">
        <f t="shared" ref="AE157:AE171" si="51">SUM(AA157:AD157)</f>
        <v>4</v>
      </c>
      <c r="AF157" s="22"/>
      <c r="AG157" s="40">
        <f t="shared" ref="AG157:AG171" si="52">AE157+AF157</f>
        <v>4</v>
      </c>
      <c r="AH157" s="24"/>
      <c r="AI157" s="24">
        <v>4</v>
      </c>
      <c r="AJ157" s="23">
        <f t="shared" ref="AJ157:AJ171" si="53">AG157-AH157+AI157</f>
        <v>8</v>
      </c>
      <c r="AK157" s="25"/>
      <c r="AL157" s="25"/>
      <c r="AM157" s="25">
        <v>8</v>
      </c>
      <c r="AN157" s="25"/>
      <c r="AO157" s="25">
        <f t="shared" si="44"/>
        <v>8</v>
      </c>
      <c r="AP157" s="13"/>
      <c r="AQ157" s="21"/>
      <c r="AR157" s="21"/>
      <c r="AS157" s="21"/>
      <c r="AT157" s="21"/>
      <c r="AU157" s="21"/>
      <c r="AV157" s="21"/>
      <c r="AW157" s="21"/>
      <c r="AX157" s="21"/>
      <c r="AY157" s="77"/>
      <c r="AZ157" s="21"/>
      <c r="BA157" s="21"/>
      <c r="BB157" s="21"/>
      <c r="BC157" s="21"/>
      <c r="BD157" s="21"/>
      <c r="BE157" s="21"/>
      <c r="BF157" s="77"/>
      <c r="BG157" s="21"/>
      <c r="BH157" s="21">
        <v>2</v>
      </c>
      <c r="BI157" s="21">
        <v>2</v>
      </c>
      <c r="BJ157" s="21"/>
      <c r="BK157" s="21"/>
      <c r="BL157" s="21"/>
      <c r="BM157" s="77"/>
      <c r="BN157" s="21"/>
      <c r="BO157" s="21"/>
      <c r="BP157" s="21"/>
      <c r="BQ157" s="21"/>
      <c r="BR157" s="21"/>
      <c r="BS157" s="21"/>
      <c r="BT157" s="96">
        <f t="shared" si="48"/>
        <v>4</v>
      </c>
      <c r="BU157" s="94">
        <f t="shared" si="49"/>
        <v>4</v>
      </c>
      <c r="BV157" s="26"/>
      <c r="BW157" s="27"/>
      <c r="BX157" s="19" t="s">
        <v>436</v>
      </c>
      <c r="BY157" s="19" t="b">
        <f t="shared" si="43"/>
        <v>1</v>
      </c>
      <c r="BZ157" s="53" t="s">
        <v>436</v>
      </c>
      <c r="CA157" s="19" t="s">
        <v>1061</v>
      </c>
      <c r="CB157" s="19" t="s">
        <v>921</v>
      </c>
      <c r="CC157" s="19" t="s">
        <v>922</v>
      </c>
      <c r="CD157" s="19" t="s">
        <v>936</v>
      </c>
      <c r="CE157" s="19" t="s">
        <v>937</v>
      </c>
      <c r="CF157" s="19" t="s">
        <v>925</v>
      </c>
      <c r="CG157" s="19" t="s">
        <v>926</v>
      </c>
      <c r="CH157" s="19" t="s">
        <v>938</v>
      </c>
      <c r="CI157" s="19" t="s">
        <v>939</v>
      </c>
      <c r="CJ157" s="19" t="s">
        <v>1062</v>
      </c>
      <c r="CK157" s="19" t="s">
        <v>1063</v>
      </c>
      <c r="CL157" s="19" t="s">
        <v>942</v>
      </c>
      <c r="CM157" s="19" t="s">
        <v>943</v>
      </c>
      <c r="CN157" s="19"/>
      <c r="CO157" s="19"/>
      <c r="CP157" s="19" t="s">
        <v>538</v>
      </c>
      <c r="CQ157" s="19" t="s">
        <v>539</v>
      </c>
      <c r="CR157" s="19" t="s">
        <v>944</v>
      </c>
      <c r="CS157" s="19" t="s">
        <v>945</v>
      </c>
      <c r="CT157" s="19"/>
      <c r="CU157" s="19"/>
      <c r="CV157" s="19"/>
      <c r="CW157" s="19"/>
      <c r="CX157" s="19"/>
      <c r="CY157" s="19"/>
      <c r="CZ157" s="19"/>
      <c r="DA157" s="19"/>
      <c r="DB157" s="19"/>
      <c r="DC157" s="19"/>
    </row>
    <row r="158" spans="1:107" s="7" customFormat="1" x14ac:dyDescent="0.25">
      <c r="A158" s="19" t="s">
        <v>228</v>
      </c>
      <c r="B158" s="19" t="s">
        <v>80</v>
      </c>
      <c r="C158" s="19" t="str">
        <f t="shared" ref="C158:C172" si="54">D158&amp;B158</f>
        <v>97058955India</v>
      </c>
      <c r="D158" s="19">
        <v>97058955</v>
      </c>
      <c r="E158" s="19" t="s">
        <v>452</v>
      </c>
      <c r="F158" s="19" t="s">
        <v>261</v>
      </c>
      <c r="G158" s="20" t="s">
        <v>452</v>
      </c>
      <c r="H158" s="19"/>
      <c r="I158" s="19" t="s">
        <v>230</v>
      </c>
      <c r="J158" s="19" t="s">
        <v>334</v>
      </c>
      <c r="K158" s="19" t="s">
        <v>266</v>
      </c>
      <c r="L158" s="19" t="s">
        <v>279</v>
      </c>
      <c r="M158" s="19" t="s">
        <v>268</v>
      </c>
      <c r="N158" s="19" t="s">
        <v>269</v>
      </c>
      <c r="O158" s="19" t="s">
        <v>275</v>
      </c>
      <c r="P158" s="51" t="s">
        <v>237</v>
      </c>
      <c r="Q158" s="19" t="s">
        <v>437</v>
      </c>
      <c r="R158" s="19">
        <v>5900</v>
      </c>
      <c r="S158" s="19" t="s">
        <v>272</v>
      </c>
      <c r="T158" s="19" t="s">
        <v>263</v>
      </c>
      <c r="U158" s="20" t="s">
        <v>263</v>
      </c>
      <c r="V158" s="19" t="s">
        <v>179</v>
      </c>
      <c r="W158" s="19" t="s">
        <v>221</v>
      </c>
      <c r="X158" s="35">
        <v>8</v>
      </c>
      <c r="Y158" s="35">
        <v>3</v>
      </c>
      <c r="Z158" s="32"/>
      <c r="AA158" s="22">
        <v>2</v>
      </c>
      <c r="AB158" s="22"/>
      <c r="AC158" s="22"/>
      <c r="AD158" s="22"/>
      <c r="AE158" s="61">
        <f t="shared" si="51"/>
        <v>2</v>
      </c>
      <c r="AF158" s="22"/>
      <c r="AG158" s="40">
        <f t="shared" si="52"/>
        <v>2</v>
      </c>
      <c r="AH158" s="24"/>
      <c r="AI158" s="24">
        <v>8</v>
      </c>
      <c r="AJ158" s="23">
        <f t="shared" si="53"/>
        <v>10</v>
      </c>
      <c r="AK158" s="25"/>
      <c r="AL158" s="25">
        <v>5</v>
      </c>
      <c r="AM158" s="25">
        <v>5</v>
      </c>
      <c r="AN158" s="25"/>
      <c r="AO158" s="25">
        <f t="shared" ref="AO158:AO172" si="55">SUM(AK158:AN158)</f>
        <v>10</v>
      </c>
      <c r="AP158" s="13"/>
      <c r="AQ158" s="21"/>
      <c r="AR158" s="21"/>
      <c r="AS158" s="21"/>
      <c r="AT158" s="21"/>
      <c r="AU158" s="21"/>
      <c r="AV158" s="21"/>
      <c r="AW158" s="21"/>
      <c r="AX158" s="21"/>
      <c r="AY158" s="77"/>
      <c r="AZ158" s="21"/>
      <c r="BA158" s="21"/>
      <c r="BB158" s="21"/>
      <c r="BC158" s="21"/>
      <c r="BD158" s="21"/>
      <c r="BE158" s="21"/>
      <c r="BF158" s="77"/>
      <c r="BG158" s="21"/>
      <c r="BH158" s="21">
        <v>2</v>
      </c>
      <c r="BI158" s="21"/>
      <c r="BJ158" s="21"/>
      <c r="BK158" s="21"/>
      <c r="BL158" s="21"/>
      <c r="BM158" s="77"/>
      <c r="BN158" s="21"/>
      <c r="BO158" s="21"/>
      <c r="BP158" s="21"/>
      <c r="BQ158" s="21">
        <v>2</v>
      </c>
      <c r="BR158" s="21">
        <v>2</v>
      </c>
      <c r="BS158" s="21"/>
      <c r="BT158" s="96">
        <f t="shared" si="48"/>
        <v>6</v>
      </c>
      <c r="BU158" s="94">
        <f t="shared" si="49"/>
        <v>4</v>
      </c>
      <c r="BV158" s="26"/>
      <c r="BW158" s="27"/>
      <c r="BX158" s="19" t="s">
        <v>452</v>
      </c>
      <c r="BY158" s="19" t="b">
        <f t="shared" ref="BY158:BY172" si="56">BZ158=BX158</f>
        <v>1</v>
      </c>
      <c r="BZ158" s="53" t="s">
        <v>452</v>
      </c>
      <c r="CA158" s="19" t="s">
        <v>1068</v>
      </c>
      <c r="CB158" s="19" t="s">
        <v>921</v>
      </c>
      <c r="CC158" s="19" t="s">
        <v>922</v>
      </c>
      <c r="CD158" s="19" t="s">
        <v>923</v>
      </c>
      <c r="CE158" s="19" t="s">
        <v>924</v>
      </c>
      <c r="CF158" s="19" t="s">
        <v>925</v>
      </c>
      <c r="CG158" s="19" t="s">
        <v>926</v>
      </c>
      <c r="CH158" s="19" t="s">
        <v>1064</v>
      </c>
      <c r="CI158" s="19" t="s">
        <v>1065</v>
      </c>
      <c r="CJ158" s="19" t="s">
        <v>1066</v>
      </c>
      <c r="CK158" s="19" t="s">
        <v>1067</v>
      </c>
      <c r="CL158" s="19" t="s">
        <v>1069</v>
      </c>
      <c r="CM158" s="19" t="s">
        <v>1070</v>
      </c>
      <c r="CN158" s="19"/>
      <c r="CO158" s="19"/>
      <c r="CP158" s="19" t="s">
        <v>538</v>
      </c>
      <c r="CQ158" s="19" t="s">
        <v>539</v>
      </c>
      <c r="CR158" s="19" t="s">
        <v>933</v>
      </c>
      <c r="CS158" s="19" t="s">
        <v>934</v>
      </c>
      <c r="CT158" s="19"/>
      <c r="CU158" s="19"/>
      <c r="CV158" s="19"/>
      <c r="CW158" s="19"/>
      <c r="CX158" s="19"/>
      <c r="CY158" s="19"/>
      <c r="CZ158" s="19"/>
      <c r="DA158" s="19"/>
      <c r="DB158" s="19"/>
      <c r="DC158" s="19"/>
    </row>
    <row r="159" spans="1:107" s="7" customFormat="1" x14ac:dyDescent="0.25">
      <c r="A159" s="19" t="s">
        <v>228</v>
      </c>
      <c r="B159" s="19" t="s">
        <v>80</v>
      </c>
      <c r="C159" s="19" t="str">
        <f t="shared" si="54"/>
        <v>97058956India</v>
      </c>
      <c r="D159" s="19">
        <v>97058956</v>
      </c>
      <c r="E159" s="19" t="s">
        <v>452</v>
      </c>
      <c r="F159" s="19" t="s">
        <v>261</v>
      </c>
      <c r="G159" s="20" t="s">
        <v>452</v>
      </c>
      <c r="H159" s="19"/>
      <c r="I159" s="19" t="s">
        <v>230</v>
      </c>
      <c r="J159" s="19" t="s">
        <v>334</v>
      </c>
      <c r="K159" s="19" t="s">
        <v>266</v>
      </c>
      <c r="L159" s="19" t="s">
        <v>279</v>
      </c>
      <c r="M159" s="19" t="s">
        <v>268</v>
      </c>
      <c r="N159" s="19" t="s">
        <v>269</v>
      </c>
      <c r="O159" s="19" t="s">
        <v>275</v>
      </c>
      <c r="P159" s="51" t="s">
        <v>237</v>
      </c>
      <c r="Q159" s="19" t="s">
        <v>437</v>
      </c>
      <c r="R159" s="19">
        <v>5900</v>
      </c>
      <c r="S159" s="19" t="s">
        <v>272</v>
      </c>
      <c r="T159" s="19" t="s">
        <v>263</v>
      </c>
      <c r="U159" s="20" t="s">
        <v>263</v>
      </c>
      <c r="V159" s="19" t="s">
        <v>1790</v>
      </c>
      <c r="W159" s="19" t="s">
        <v>219</v>
      </c>
      <c r="X159" s="35"/>
      <c r="Y159" s="35"/>
      <c r="Z159" s="32"/>
      <c r="AA159" s="22"/>
      <c r="AB159" s="22"/>
      <c r="AC159" s="22"/>
      <c r="AD159" s="22">
        <v>1</v>
      </c>
      <c r="AE159" s="61">
        <f t="shared" si="51"/>
        <v>1</v>
      </c>
      <c r="AF159" s="22"/>
      <c r="AG159" s="40">
        <f t="shared" si="52"/>
        <v>1</v>
      </c>
      <c r="AH159" s="24"/>
      <c r="AI159" s="24"/>
      <c r="AJ159" s="23">
        <f t="shared" si="53"/>
        <v>1</v>
      </c>
      <c r="AK159" s="25"/>
      <c r="AL159" s="25">
        <v>1</v>
      </c>
      <c r="AM159" s="25"/>
      <c r="AN159" s="25"/>
      <c r="AO159" s="25">
        <f t="shared" si="55"/>
        <v>1</v>
      </c>
      <c r="AP159" s="13"/>
      <c r="AQ159" s="21"/>
      <c r="AR159" s="21"/>
      <c r="AS159" s="21"/>
      <c r="AT159" s="21"/>
      <c r="AU159" s="21"/>
      <c r="AV159" s="21"/>
      <c r="AW159" s="21"/>
      <c r="AX159" s="21"/>
      <c r="AY159" s="77"/>
      <c r="AZ159" s="21"/>
      <c r="BA159" s="21"/>
      <c r="BB159" s="21"/>
      <c r="BC159" s="21"/>
      <c r="BD159" s="21"/>
      <c r="BE159" s="21"/>
      <c r="BF159" s="77"/>
      <c r="BG159" s="21"/>
      <c r="BH159" s="21"/>
      <c r="BI159" s="21">
        <v>1</v>
      </c>
      <c r="BJ159" s="21"/>
      <c r="BK159" s="21"/>
      <c r="BL159" s="21"/>
      <c r="BM159" s="77"/>
      <c r="BN159" s="21"/>
      <c r="BO159" s="21"/>
      <c r="BP159" s="21"/>
      <c r="BQ159" s="21"/>
      <c r="BR159" s="21"/>
      <c r="BS159" s="21"/>
      <c r="BT159" s="96">
        <f t="shared" si="48"/>
        <v>1</v>
      </c>
      <c r="BU159" s="94">
        <f t="shared" si="49"/>
        <v>0</v>
      </c>
      <c r="BV159" s="26"/>
      <c r="BW159" s="27"/>
      <c r="BX159" s="19" t="s">
        <v>452</v>
      </c>
      <c r="BY159" s="19" t="b">
        <f t="shared" si="56"/>
        <v>1</v>
      </c>
      <c r="BZ159" s="53" t="s">
        <v>452</v>
      </c>
      <c r="CA159" s="19" t="s">
        <v>1068</v>
      </c>
      <c r="CB159" s="19" t="s">
        <v>921</v>
      </c>
      <c r="CC159" s="19" t="s">
        <v>922</v>
      </c>
      <c r="CD159" s="19" t="s">
        <v>923</v>
      </c>
      <c r="CE159" s="19" t="s">
        <v>924</v>
      </c>
      <c r="CF159" s="19" t="s">
        <v>925</v>
      </c>
      <c r="CG159" s="19" t="s">
        <v>926</v>
      </c>
      <c r="CH159" s="19" t="s">
        <v>1064</v>
      </c>
      <c r="CI159" s="19" t="s">
        <v>1065</v>
      </c>
      <c r="CJ159" s="19" t="s">
        <v>1066</v>
      </c>
      <c r="CK159" s="19" t="s">
        <v>1067</v>
      </c>
      <c r="CL159" s="19" t="s">
        <v>1069</v>
      </c>
      <c r="CM159" s="19" t="s">
        <v>1070</v>
      </c>
      <c r="CN159" s="19"/>
      <c r="CO159" s="19"/>
      <c r="CP159" s="19" t="s">
        <v>538</v>
      </c>
      <c r="CQ159" s="19" t="s">
        <v>539</v>
      </c>
      <c r="CR159" s="19" t="s">
        <v>933</v>
      </c>
      <c r="CS159" s="19" t="s">
        <v>934</v>
      </c>
      <c r="CT159" s="19"/>
      <c r="CU159" s="19"/>
      <c r="CV159" s="19"/>
      <c r="CW159" s="19"/>
      <c r="CX159" s="19"/>
      <c r="CY159" s="19"/>
      <c r="CZ159" s="19"/>
      <c r="DA159" s="19"/>
      <c r="DB159" s="19"/>
      <c r="DC159" s="19"/>
    </row>
    <row r="160" spans="1:107" s="7" customFormat="1" x14ac:dyDescent="0.25">
      <c r="A160" s="19" t="s">
        <v>228</v>
      </c>
      <c r="B160" s="19" t="s">
        <v>80</v>
      </c>
      <c r="C160" s="19" t="str">
        <f t="shared" si="54"/>
        <v>97058958India</v>
      </c>
      <c r="D160" s="19">
        <v>97058958</v>
      </c>
      <c r="E160" s="19" t="s">
        <v>460</v>
      </c>
      <c r="F160" s="19" t="s">
        <v>261</v>
      </c>
      <c r="G160" s="20" t="s">
        <v>460</v>
      </c>
      <c r="H160" s="19"/>
      <c r="I160" s="19" t="s">
        <v>230</v>
      </c>
      <c r="J160" s="19" t="s">
        <v>334</v>
      </c>
      <c r="K160" s="19" t="s">
        <v>266</v>
      </c>
      <c r="L160" s="19" t="s">
        <v>279</v>
      </c>
      <c r="M160" s="19" t="s">
        <v>268</v>
      </c>
      <c r="N160" s="19" t="s">
        <v>269</v>
      </c>
      <c r="O160" s="19" t="s">
        <v>275</v>
      </c>
      <c r="P160" s="51" t="s">
        <v>237</v>
      </c>
      <c r="Q160" s="19" t="s">
        <v>437</v>
      </c>
      <c r="R160" s="19">
        <v>5900</v>
      </c>
      <c r="S160" s="19" t="s">
        <v>272</v>
      </c>
      <c r="T160" s="19" t="s">
        <v>263</v>
      </c>
      <c r="U160" s="20" t="s">
        <v>263</v>
      </c>
      <c r="V160" s="19" t="s">
        <v>184</v>
      </c>
      <c r="W160" s="19" t="s">
        <v>222</v>
      </c>
      <c r="X160" s="35">
        <v>2</v>
      </c>
      <c r="Y160" s="35">
        <v>2</v>
      </c>
      <c r="Z160" s="32"/>
      <c r="AA160" s="22"/>
      <c r="AB160" s="22">
        <v>1</v>
      </c>
      <c r="AC160" s="22">
        <v>2</v>
      </c>
      <c r="AD160" s="22">
        <v>1</v>
      </c>
      <c r="AE160" s="61">
        <f t="shared" si="51"/>
        <v>4</v>
      </c>
      <c r="AF160" s="22"/>
      <c r="AG160" s="40">
        <f t="shared" si="52"/>
        <v>4</v>
      </c>
      <c r="AH160" s="24"/>
      <c r="AI160" s="24">
        <v>2</v>
      </c>
      <c r="AJ160" s="23">
        <f t="shared" si="53"/>
        <v>6</v>
      </c>
      <c r="AK160" s="25"/>
      <c r="AL160" s="25">
        <v>3</v>
      </c>
      <c r="AM160" s="25">
        <v>3</v>
      </c>
      <c r="AN160" s="25"/>
      <c r="AO160" s="25">
        <f t="shared" si="55"/>
        <v>6</v>
      </c>
      <c r="AP160" s="13"/>
      <c r="AQ160" s="21"/>
      <c r="AR160" s="21"/>
      <c r="AS160" s="21"/>
      <c r="AT160" s="21"/>
      <c r="AU160" s="21"/>
      <c r="AV160" s="21"/>
      <c r="AW160" s="21"/>
      <c r="AX160" s="21"/>
      <c r="AY160" s="77"/>
      <c r="AZ160" s="21"/>
      <c r="BA160" s="21"/>
      <c r="BB160" s="21"/>
      <c r="BC160" s="21"/>
      <c r="BD160" s="21"/>
      <c r="BE160" s="21"/>
      <c r="BF160" s="77"/>
      <c r="BG160" s="21"/>
      <c r="BH160" s="21">
        <v>2</v>
      </c>
      <c r="BI160" s="21">
        <v>2</v>
      </c>
      <c r="BJ160" s="21"/>
      <c r="BK160" s="21"/>
      <c r="BL160" s="21"/>
      <c r="BM160" s="77"/>
      <c r="BN160" s="21"/>
      <c r="BO160" s="21"/>
      <c r="BP160" s="21"/>
      <c r="BQ160" s="21"/>
      <c r="BR160" s="21"/>
      <c r="BS160" s="21"/>
      <c r="BT160" s="96">
        <f t="shared" si="48"/>
        <v>4</v>
      </c>
      <c r="BU160" s="94">
        <f t="shared" si="49"/>
        <v>2</v>
      </c>
      <c r="BV160" s="26"/>
      <c r="BW160" s="27"/>
      <c r="BX160" s="19" t="s">
        <v>460</v>
      </c>
      <c r="BY160" s="19" t="b">
        <f t="shared" si="56"/>
        <v>1</v>
      </c>
      <c r="BZ160" s="53" t="s">
        <v>460</v>
      </c>
      <c r="CA160" s="19" t="s">
        <v>1071</v>
      </c>
      <c r="CB160" s="19" t="s">
        <v>921</v>
      </c>
      <c r="CC160" s="19" t="s">
        <v>922</v>
      </c>
      <c r="CD160" s="19" t="s">
        <v>923</v>
      </c>
      <c r="CE160" s="19" t="s">
        <v>924</v>
      </c>
      <c r="CF160" s="19" t="s">
        <v>925</v>
      </c>
      <c r="CG160" s="19" t="s">
        <v>926</v>
      </c>
      <c r="CH160" s="19" t="s">
        <v>1072</v>
      </c>
      <c r="CI160" s="19" t="s">
        <v>1073</v>
      </c>
      <c r="CJ160" s="19" t="s">
        <v>1074</v>
      </c>
      <c r="CK160" s="19" t="s">
        <v>1075</v>
      </c>
      <c r="CL160" s="19" t="s">
        <v>1076</v>
      </c>
      <c r="CM160" s="19" t="s">
        <v>1077</v>
      </c>
      <c r="CN160" s="19"/>
      <c r="CO160" s="19"/>
      <c r="CP160" s="19" t="s">
        <v>538</v>
      </c>
      <c r="CQ160" s="19" t="s">
        <v>539</v>
      </c>
      <c r="CR160" s="19" t="s">
        <v>933</v>
      </c>
      <c r="CS160" s="19" t="s">
        <v>934</v>
      </c>
      <c r="CT160" s="19"/>
      <c r="CU160" s="19"/>
      <c r="CV160" s="19"/>
      <c r="CW160" s="19"/>
      <c r="CX160" s="19"/>
      <c r="CY160" s="19"/>
      <c r="CZ160" s="19"/>
      <c r="DA160" s="19"/>
      <c r="DB160" s="19"/>
      <c r="DC160" s="19"/>
    </row>
    <row r="161" spans="1:107" s="7" customFormat="1" x14ac:dyDescent="0.25">
      <c r="A161" s="19" t="s">
        <v>81</v>
      </c>
      <c r="B161" s="19" t="s">
        <v>92</v>
      </c>
      <c r="C161" s="19" t="str">
        <f t="shared" si="54"/>
        <v>80651539UTD.ARAB EMIR.</v>
      </c>
      <c r="D161" s="19">
        <v>80651539</v>
      </c>
      <c r="E161" s="19" t="s">
        <v>1827</v>
      </c>
      <c r="F161" s="19" t="s">
        <v>261</v>
      </c>
      <c r="G161" s="20" t="s">
        <v>1827</v>
      </c>
      <c r="H161" s="19"/>
      <c r="I161" s="19" t="s">
        <v>230</v>
      </c>
      <c r="J161" s="19" t="s">
        <v>359</v>
      </c>
      <c r="K161" s="19" t="s">
        <v>352</v>
      </c>
      <c r="L161" s="19" t="s">
        <v>289</v>
      </c>
      <c r="M161" s="19" t="s">
        <v>353</v>
      </c>
      <c r="N161" s="19" t="s">
        <v>284</v>
      </c>
      <c r="O161" s="19" t="s">
        <v>275</v>
      </c>
      <c r="P161" s="51" t="s">
        <v>285</v>
      </c>
      <c r="Q161" s="19" t="s">
        <v>354</v>
      </c>
      <c r="R161" s="19">
        <v>6300</v>
      </c>
      <c r="S161" s="19" t="s">
        <v>272</v>
      </c>
      <c r="T161" s="19" t="s">
        <v>287</v>
      </c>
      <c r="U161" s="20" t="s">
        <v>287</v>
      </c>
      <c r="V161" s="19" t="s">
        <v>1772</v>
      </c>
      <c r="W161" s="19" t="s">
        <v>219</v>
      </c>
      <c r="X161" s="35"/>
      <c r="Y161" s="35"/>
      <c r="Z161" s="32"/>
      <c r="AA161" s="22"/>
      <c r="AB161" s="22"/>
      <c r="AC161" s="22">
        <v>5</v>
      </c>
      <c r="AD161" s="22">
        <v>10</v>
      </c>
      <c r="AE161" s="61">
        <f t="shared" si="51"/>
        <v>15</v>
      </c>
      <c r="AF161" s="22"/>
      <c r="AG161" s="40">
        <f t="shared" si="52"/>
        <v>15</v>
      </c>
      <c r="AH161" s="24">
        <v>13</v>
      </c>
      <c r="AI161" s="24"/>
      <c r="AJ161" s="23">
        <f t="shared" si="53"/>
        <v>2</v>
      </c>
      <c r="AK161" s="25"/>
      <c r="AL161" s="25"/>
      <c r="AM161" s="25"/>
      <c r="AN161" s="25">
        <v>2</v>
      </c>
      <c r="AO161" s="25">
        <f t="shared" si="55"/>
        <v>2</v>
      </c>
      <c r="AP161" s="13">
        <v>13</v>
      </c>
      <c r="AQ161" s="21">
        <v>4</v>
      </c>
      <c r="AR161" s="21">
        <v>4</v>
      </c>
      <c r="AS161" s="21">
        <v>5</v>
      </c>
      <c r="AT161" s="21"/>
      <c r="AU161" s="21"/>
      <c r="AV161" s="21"/>
      <c r="AW161" s="21"/>
      <c r="AX161" s="21"/>
      <c r="AY161" s="77"/>
      <c r="AZ161" s="21"/>
      <c r="BA161" s="21"/>
      <c r="BB161" s="21"/>
      <c r="BC161" s="21"/>
      <c r="BD161" s="21"/>
      <c r="BE161" s="21"/>
      <c r="BF161" s="77"/>
      <c r="BG161" s="21"/>
      <c r="BH161" s="21"/>
      <c r="BI161" s="21"/>
      <c r="BJ161" s="21"/>
      <c r="BK161" s="21"/>
      <c r="BL161" s="21"/>
      <c r="BM161" s="77"/>
      <c r="BN161" s="21"/>
      <c r="BO161" s="21"/>
      <c r="BP161" s="21"/>
      <c r="BQ161" s="21"/>
      <c r="BR161" s="21"/>
      <c r="BS161" s="21">
        <v>2</v>
      </c>
      <c r="BT161" s="100">
        <f t="shared" si="48"/>
        <v>15</v>
      </c>
      <c r="BU161" s="94">
        <f t="shared" si="49"/>
        <v>-13</v>
      </c>
      <c r="BV161" s="26" t="s">
        <v>2023</v>
      </c>
      <c r="BW161" s="27"/>
      <c r="BX161" s="19" t="s">
        <v>1827</v>
      </c>
      <c r="BY161" s="19" t="b">
        <f t="shared" si="56"/>
        <v>1</v>
      </c>
      <c r="BZ161" s="53" t="s">
        <v>1827</v>
      </c>
      <c r="CA161" s="19" t="s">
        <v>1909</v>
      </c>
      <c r="CB161" s="19" t="s">
        <v>1086</v>
      </c>
      <c r="CC161" s="19" t="s">
        <v>1087</v>
      </c>
      <c r="CD161" s="19" t="s">
        <v>1910</v>
      </c>
      <c r="CE161" s="19" t="s">
        <v>1120</v>
      </c>
      <c r="CF161" s="19" t="s">
        <v>1090</v>
      </c>
      <c r="CG161" s="19" t="s">
        <v>1091</v>
      </c>
      <c r="CH161" s="19" t="s">
        <v>1092</v>
      </c>
      <c r="CI161" s="19" t="s">
        <v>1093</v>
      </c>
      <c r="CJ161" s="19" t="s">
        <v>1094</v>
      </c>
      <c r="CK161" s="19" t="s">
        <v>1095</v>
      </c>
      <c r="CL161" s="19" t="s">
        <v>1125</v>
      </c>
      <c r="CM161" s="19" t="s">
        <v>1118</v>
      </c>
      <c r="CN161" s="19"/>
      <c r="CO161" s="19"/>
      <c r="CP161" s="19" t="s">
        <v>1098</v>
      </c>
      <c r="CQ161" s="19" t="s">
        <v>1099</v>
      </c>
      <c r="CR161" s="19" t="s">
        <v>1911</v>
      </c>
      <c r="CS161" s="19" t="s">
        <v>1912</v>
      </c>
      <c r="CT161" s="19"/>
      <c r="CU161" s="19"/>
      <c r="CV161" s="19"/>
      <c r="CW161" s="19"/>
      <c r="CX161" s="19"/>
      <c r="CY161" s="19"/>
      <c r="CZ161" s="19"/>
      <c r="DA161" s="19"/>
      <c r="DB161" s="19"/>
      <c r="DC161" s="19"/>
    </row>
    <row r="162" spans="1:107" s="7" customFormat="1" x14ac:dyDescent="0.25">
      <c r="A162" s="19" t="s">
        <v>81</v>
      </c>
      <c r="B162" s="19" t="s">
        <v>92</v>
      </c>
      <c r="C162" s="19" t="str">
        <f t="shared" si="54"/>
        <v>80653613UTD.ARAB EMIR.</v>
      </c>
      <c r="D162" s="19">
        <v>80653613</v>
      </c>
      <c r="E162" s="19" t="s">
        <v>1828</v>
      </c>
      <c r="F162" s="19" t="s">
        <v>261</v>
      </c>
      <c r="G162" s="20" t="s">
        <v>1828</v>
      </c>
      <c r="H162" s="19"/>
      <c r="I162" s="19" t="s">
        <v>230</v>
      </c>
      <c r="J162" s="19" t="s">
        <v>359</v>
      </c>
      <c r="K162" s="19" t="s">
        <v>352</v>
      </c>
      <c r="L162" s="19" t="s">
        <v>289</v>
      </c>
      <c r="M162" s="19" t="s">
        <v>353</v>
      </c>
      <c r="N162" s="19" t="s">
        <v>284</v>
      </c>
      <c r="O162" s="19" t="s">
        <v>275</v>
      </c>
      <c r="P162" s="51" t="s">
        <v>285</v>
      </c>
      <c r="Q162" s="19" t="s">
        <v>354</v>
      </c>
      <c r="R162" s="19">
        <v>6300</v>
      </c>
      <c r="S162" s="19" t="s">
        <v>272</v>
      </c>
      <c r="T162" s="19" t="s">
        <v>287</v>
      </c>
      <c r="U162" s="20" t="s">
        <v>287</v>
      </c>
      <c r="V162" s="19" t="s">
        <v>1773</v>
      </c>
      <c r="W162" s="19" t="s">
        <v>219</v>
      </c>
      <c r="X162" s="35"/>
      <c r="Y162" s="35"/>
      <c r="Z162" s="32">
        <v>144</v>
      </c>
      <c r="AA162" s="22">
        <v>144</v>
      </c>
      <c r="AB162" s="22"/>
      <c r="AC162" s="22"/>
      <c r="AD162" s="22"/>
      <c r="AE162" s="61">
        <f t="shared" si="51"/>
        <v>144</v>
      </c>
      <c r="AF162" s="22"/>
      <c r="AG162" s="40">
        <f t="shared" si="52"/>
        <v>144</v>
      </c>
      <c r="AH162" s="24">
        <v>50</v>
      </c>
      <c r="AI162" s="24"/>
      <c r="AJ162" s="23">
        <f t="shared" si="53"/>
        <v>94</v>
      </c>
      <c r="AK162" s="25"/>
      <c r="AL162" s="25">
        <v>23</v>
      </c>
      <c r="AM162" s="25"/>
      <c r="AN162" s="25">
        <v>71</v>
      </c>
      <c r="AO162" s="25">
        <f t="shared" si="55"/>
        <v>94</v>
      </c>
      <c r="AP162" s="13">
        <v>50</v>
      </c>
      <c r="AQ162" s="21">
        <v>17</v>
      </c>
      <c r="AR162" s="21">
        <v>17</v>
      </c>
      <c r="AS162" s="21">
        <v>16</v>
      </c>
      <c r="AT162" s="21"/>
      <c r="AU162" s="21"/>
      <c r="AV162" s="21"/>
      <c r="AW162" s="21"/>
      <c r="AX162" s="21"/>
      <c r="AY162" s="77"/>
      <c r="AZ162" s="21"/>
      <c r="BA162" s="21"/>
      <c r="BB162" s="21"/>
      <c r="BC162" s="21"/>
      <c r="BD162" s="21">
        <v>13</v>
      </c>
      <c r="BE162" s="21">
        <v>10</v>
      </c>
      <c r="BF162" s="77"/>
      <c r="BG162" s="21"/>
      <c r="BH162" s="21"/>
      <c r="BI162" s="21"/>
      <c r="BJ162" s="21"/>
      <c r="BK162" s="21"/>
      <c r="BL162" s="21"/>
      <c r="BM162" s="77"/>
      <c r="BN162" s="21"/>
      <c r="BO162" s="21"/>
      <c r="BP162" s="21"/>
      <c r="BQ162" s="21"/>
      <c r="BR162" s="21">
        <v>15</v>
      </c>
      <c r="BS162" s="21">
        <v>15</v>
      </c>
      <c r="BT162" s="100">
        <f t="shared" si="48"/>
        <v>103</v>
      </c>
      <c r="BU162" s="94">
        <f t="shared" si="49"/>
        <v>-9</v>
      </c>
      <c r="BV162" s="26" t="s">
        <v>2023</v>
      </c>
      <c r="BW162" s="27"/>
      <c r="BX162" s="19" t="s">
        <v>1828</v>
      </c>
      <c r="BY162" s="19" t="b">
        <f t="shared" si="56"/>
        <v>1</v>
      </c>
      <c r="BZ162" s="53" t="s">
        <v>1828</v>
      </c>
      <c r="CA162" s="19" t="s">
        <v>1913</v>
      </c>
      <c r="CB162" s="19" t="s">
        <v>1086</v>
      </c>
      <c r="CC162" s="19" t="s">
        <v>1087</v>
      </c>
      <c r="CD162" s="19" t="s">
        <v>1910</v>
      </c>
      <c r="CE162" s="19" t="s">
        <v>1120</v>
      </c>
      <c r="CF162" s="19" t="s">
        <v>1090</v>
      </c>
      <c r="CG162" s="19" t="s">
        <v>1091</v>
      </c>
      <c r="CH162" s="19" t="s">
        <v>1092</v>
      </c>
      <c r="CI162" s="19" t="s">
        <v>1093</v>
      </c>
      <c r="CJ162" s="19" t="s">
        <v>1094</v>
      </c>
      <c r="CK162" s="19" t="s">
        <v>1095</v>
      </c>
      <c r="CL162" s="19" t="s">
        <v>1125</v>
      </c>
      <c r="CM162" s="19" t="s">
        <v>1118</v>
      </c>
      <c r="CN162" s="19"/>
      <c r="CO162" s="19"/>
      <c r="CP162" s="19" t="s">
        <v>1098</v>
      </c>
      <c r="CQ162" s="19" t="s">
        <v>1099</v>
      </c>
      <c r="CR162" s="19" t="s">
        <v>1911</v>
      </c>
      <c r="CS162" s="19" t="s">
        <v>1912</v>
      </c>
      <c r="CT162" s="19"/>
      <c r="CU162" s="19"/>
      <c r="CV162" s="19"/>
      <c r="CW162" s="19"/>
      <c r="CX162" s="19"/>
      <c r="CY162" s="19"/>
      <c r="CZ162" s="19"/>
      <c r="DA162" s="19"/>
      <c r="DB162" s="19"/>
      <c r="DC162" s="19"/>
    </row>
    <row r="163" spans="1:107" s="7" customFormat="1" x14ac:dyDescent="0.25">
      <c r="A163" s="19" t="s">
        <v>81</v>
      </c>
      <c r="B163" s="19" t="s">
        <v>92</v>
      </c>
      <c r="C163" s="19" t="str">
        <f t="shared" si="54"/>
        <v>80653614UTD.ARAB EMIR.</v>
      </c>
      <c r="D163" s="19">
        <v>80653614</v>
      </c>
      <c r="E163" s="19" t="s">
        <v>1828</v>
      </c>
      <c r="F163" s="19" t="s">
        <v>261</v>
      </c>
      <c r="G163" s="20" t="s">
        <v>1828</v>
      </c>
      <c r="H163" s="19"/>
      <c r="I163" s="19" t="s">
        <v>230</v>
      </c>
      <c r="J163" s="19" t="s">
        <v>359</v>
      </c>
      <c r="K163" s="19" t="s">
        <v>352</v>
      </c>
      <c r="L163" s="19" t="s">
        <v>289</v>
      </c>
      <c r="M163" s="19" t="s">
        <v>353</v>
      </c>
      <c r="N163" s="19" t="s">
        <v>284</v>
      </c>
      <c r="O163" s="19" t="s">
        <v>275</v>
      </c>
      <c r="P163" s="51" t="s">
        <v>285</v>
      </c>
      <c r="Q163" s="19" t="s">
        <v>354</v>
      </c>
      <c r="R163" s="19">
        <v>6300</v>
      </c>
      <c r="S163" s="19" t="s">
        <v>272</v>
      </c>
      <c r="T163" s="19" t="s">
        <v>287</v>
      </c>
      <c r="U163" s="20" t="s">
        <v>287</v>
      </c>
      <c r="V163" s="19" t="s">
        <v>1774</v>
      </c>
      <c r="W163" s="19" t="s">
        <v>219</v>
      </c>
      <c r="X163" s="35"/>
      <c r="Y163" s="35"/>
      <c r="Z163" s="32">
        <v>30</v>
      </c>
      <c r="AA163" s="22">
        <v>30</v>
      </c>
      <c r="AB163" s="22"/>
      <c r="AC163" s="22"/>
      <c r="AD163" s="22"/>
      <c r="AE163" s="61">
        <f t="shared" si="51"/>
        <v>30</v>
      </c>
      <c r="AF163" s="22"/>
      <c r="AG163" s="40">
        <f t="shared" si="52"/>
        <v>30</v>
      </c>
      <c r="AH163" s="24">
        <v>30</v>
      </c>
      <c r="AI163" s="24"/>
      <c r="AJ163" s="23">
        <f t="shared" si="53"/>
        <v>0</v>
      </c>
      <c r="AK163" s="25"/>
      <c r="AL163" s="25"/>
      <c r="AM163" s="25"/>
      <c r="AN163" s="25"/>
      <c r="AO163" s="25">
        <f t="shared" si="55"/>
        <v>0</v>
      </c>
      <c r="AP163" s="13">
        <v>30</v>
      </c>
      <c r="AQ163" s="21">
        <v>10</v>
      </c>
      <c r="AR163" s="21">
        <v>10</v>
      </c>
      <c r="AS163" s="21">
        <v>10</v>
      </c>
      <c r="AT163" s="21"/>
      <c r="AU163" s="21"/>
      <c r="AV163" s="21"/>
      <c r="AW163" s="21"/>
      <c r="AX163" s="21"/>
      <c r="AY163" s="77"/>
      <c r="AZ163" s="21"/>
      <c r="BA163" s="21"/>
      <c r="BB163" s="21"/>
      <c r="BC163" s="21"/>
      <c r="BD163" s="21"/>
      <c r="BE163" s="21"/>
      <c r="BF163" s="77"/>
      <c r="BG163" s="21"/>
      <c r="BH163" s="21"/>
      <c r="BI163" s="21"/>
      <c r="BJ163" s="21"/>
      <c r="BK163" s="21"/>
      <c r="BL163" s="21"/>
      <c r="BM163" s="77"/>
      <c r="BN163" s="21"/>
      <c r="BO163" s="21"/>
      <c r="BP163" s="21"/>
      <c r="BQ163" s="21"/>
      <c r="BR163" s="21"/>
      <c r="BS163" s="21"/>
      <c r="BT163" s="100">
        <f t="shared" si="48"/>
        <v>30</v>
      </c>
      <c r="BU163" s="94">
        <f t="shared" si="49"/>
        <v>-30</v>
      </c>
      <c r="BV163" s="26"/>
      <c r="BW163" s="27"/>
      <c r="BX163" s="19" t="s">
        <v>1828</v>
      </c>
      <c r="BY163" s="19" t="b">
        <f t="shared" si="56"/>
        <v>1</v>
      </c>
      <c r="BZ163" s="53" t="s">
        <v>1828</v>
      </c>
      <c r="CA163" s="19" t="s">
        <v>1913</v>
      </c>
      <c r="CB163" s="19" t="s">
        <v>1086</v>
      </c>
      <c r="CC163" s="19" t="s">
        <v>1087</v>
      </c>
      <c r="CD163" s="19" t="s">
        <v>1910</v>
      </c>
      <c r="CE163" s="19" t="s">
        <v>1120</v>
      </c>
      <c r="CF163" s="19" t="s">
        <v>1090</v>
      </c>
      <c r="CG163" s="19" t="s">
        <v>1091</v>
      </c>
      <c r="CH163" s="19" t="s">
        <v>1092</v>
      </c>
      <c r="CI163" s="19" t="s">
        <v>1093</v>
      </c>
      <c r="CJ163" s="19" t="s">
        <v>1094</v>
      </c>
      <c r="CK163" s="19" t="s">
        <v>1095</v>
      </c>
      <c r="CL163" s="19" t="s">
        <v>1125</v>
      </c>
      <c r="CM163" s="19" t="s">
        <v>1118</v>
      </c>
      <c r="CN163" s="19"/>
      <c r="CO163" s="19"/>
      <c r="CP163" s="19" t="s">
        <v>1098</v>
      </c>
      <c r="CQ163" s="19" t="s">
        <v>1099</v>
      </c>
      <c r="CR163" s="19" t="s">
        <v>1911</v>
      </c>
      <c r="CS163" s="19" t="s">
        <v>1912</v>
      </c>
      <c r="CT163" s="19"/>
      <c r="CU163" s="19"/>
      <c r="CV163" s="19"/>
      <c r="CW163" s="19"/>
      <c r="CX163" s="19"/>
      <c r="CY163" s="19"/>
      <c r="CZ163" s="19"/>
      <c r="DA163" s="19"/>
      <c r="DB163" s="19"/>
      <c r="DC163" s="19"/>
    </row>
    <row r="164" spans="1:107" s="7" customFormat="1" x14ac:dyDescent="0.25">
      <c r="A164" s="19" t="s">
        <v>81</v>
      </c>
      <c r="B164" s="19" t="s">
        <v>92</v>
      </c>
      <c r="C164" s="19" t="str">
        <f t="shared" si="54"/>
        <v>80652753UTD.ARAB EMIR.</v>
      </c>
      <c r="D164" s="19">
        <v>80652753</v>
      </c>
      <c r="E164" s="19" t="s">
        <v>1829</v>
      </c>
      <c r="F164" s="19" t="s">
        <v>261</v>
      </c>
      <c r="G164" s="20" t="s">
        <v>1829</v>
      </c>
      <c r="H164" s="19"/>
      <c r="I164" s="19" t="s">
        <v>230</v>
      </c>
      <c r="J164" s="19" t="s">
        <v>359</v>
      </c>
      <c r="K164" s="19" t="s">
        <v>352</v>
      </c>
      <c r="L164" s="19" t="s">
        <v>289</v>
      </c>
      <c r="M164" s="19" t="s">
        <v>353</v>
      </c>
      <c r="N164" s="19" t="s">
        <v>284</v>
      </c>
      <c r="O164" s="19" t="s">
        <v>275</v>
      </c>
      <c r="P164" s="51" t="s">
        <v>285</v>
      </c>
      <c r="Q164" s="19" t="s">
        <v>354</v>
      </c>
      <c r="R164" s="19">
        <v>6300</v>
      </c>
      <c r="S164" s="19" t="s">
        <v>272</v>
      </c>
      <c r="T164" s="19" t="s">
        <v>287</v>
      </c>
      <c r="U164" s="20" t="s">
        <v>287</v>
      </c>
      <c r="V164" s="19" t="s">
        <v>1995</v>
      </c>
      <c r="W164" s="19" t="s">
        <v>219</v>
      </c>
      <c r="X164" s="35"/>
      <c r="Y164" s="35"/>
      <c r="Z164" s="32">
        <v>13</v>
      </c>
      <c r="AA164" s="22">
        <v>13</v>
      </c>
      <c r="AB164" s="22"/>
      <c r="AC164" s="22"/>
      <c r="AD164" s="22"/>
      <c r="AE164" s="61">
        <f t="shared" si="51"/>
        <v>13</v>
      </c>
      <c r="AF164" s="22"/>
      <c r="AG164" s="40">
        <f t="shared" si="52"/>
        <v>13</v>
      </c>
      <c r="AH164" s="24"/>
      <c r="AI164" s="24"/>
      <c r="AJ164" s="23">
        <f t="shared" si="53"/>
        <v>13</v>
      </c>
      <c r="AK164" s="25"/>
      <c r="AL164" s="25"/>
      <c r="AM164" s="25"/>
      <c r="AN164" s="25">
        <v>13</v>
      </c>
      <c r="AO164" s="25">
        <f t="shared" si="55"/>
        <v>13</v>
      </c>
      <c r="AP164" s="13"/>
      <c r="AQ164" s="21"/>
      <c r="AR164" s="21"/>
      <c r="AS164" s="21"/>
      <c r="AT164" s="21"/>
      <c r="AU164" s="21"/>
      <c r="AV164" s="21"/>
      <c r="AW164" s="21"/>
      <c r="AX164" s="21"/>
      <c r="AY164" s="77"/>
      <c r="AZ164" s="21"/>
      <c r="BA164" s="21"/>
      <c r="BB164" s="21"/>
      <c r="BC164" s="21"/>
      <c r="BD164" s="21"/>
      <c r="BE164" s="21"/>
      <c r="BF164" s="77"/>
      <c r="BG164" s="21"/>
      <c r="BH164" s="21"/>
      <c r="BI164" s="21"/>
      <c r="BJ164" s="21"/>
      <c r="BK164" s="21"/>
      <c r="BL164" s="21"/>
      <c r="BM164" s="77"/>
      <c r="BN164" s="21"/>
      <c r="BO164" s="21"/>
      <c r="BP164" s="21"/>
      <c r="BQ164" s="21"/>
      <c r="BR164" s="21"/>
      <c r="BS164" s="21"/>
      <c r="BT164" s="96">
        <f t="shared" si="48"/>
        <v>0</v>
      </c>
      <c r="BU164" s="94">
        <f t="shared" si="49"/>
        <v>13</v>
      </c>
      <c r="BV164" s="26" t="s">
        <v>2023</v>
      </c>
      <c r="BW164" s="27"/>
      <c r="BX164" s="19" t="s">
        <v>1829</v>
      </c>
      <c r="BY164" s="19" t="b">
        <f t="shared" si="56"/>
        <v>1</v>
      </c>
      <c r="BZ164" s="53" t="s">
        <v>1829</v>
      </c>
      <c r="CA164" s="19" t="s">
        <v>1909</v>
      </c>
      <c r="CB164" s="19" t="s">
        <v>1086</v>
      </c>
      <c r="CC164" s="19" t="s">
        <v>1087</v>
      </c>
      <c r="CD164" s="19" t="s">
        <v>1910</v>
      </c>
      <c r="CE164" s="19" t="s">
        <v>1120</v>
      </c>
      <c r="CF164" s="19" t="s">
        <v>1090</v>
      </c>
      <c r="CG164" s="19" t="s">
        <v>1091</v>
      </c>
      <c r="CH164" s="19" t="s">
        <v>1092</v>
      </c>
      <c r="CI164" s="19" t="s">
        <v>1093</v>
      </c>
      <c r="CJ164" s="19" t="s">
        <v>1094</v>
      </c>
      <c r="CK164" s="19" t="s">
        <v>1095</v>
      </c>
      <c r="CL164" s="19" t="s">
        <v>1125</v>
      </c>
      <c r="CM164" s="19" t="s">
        <v>1118</v>
      </c>
      <c r="CN164" s="19"/>
      <c r="CO164" s="19"/>
      <c r="CP164" s="19" t="s">
        <v>1098</v>
      </c>
      <c r="CQ164" s="19" t="s">
        <v>1099</v>
      </c>
      <c r="CR164" s="19" t="s">
        <v>1911</v>
      </c>
      <c r="CS164" s="19" t="s">
        <v>1912</v>
      </c>
      <c r="CT164" s="19"/>
      <c r="CU164" s="19"/>
      <c r="CV164" s="19"/>
      <c r="CW164" s="19"/>
      <c r="CX164" s="19"/>
      <c r="CY164" s="19"/>
      <c r="CZ164" s="19"/>
      <c r="DA164" s="19"/>
      <c r="DB164" s="19"/>
      <c r="DC164" s="19"/>
    </row>
    <row r="165" spans="1:107" s="7" customFormat="1" x14ac:dyDescent="0.25">
      <c r="A165" s="19" t="s">
        <v>81</v>
      </c>
      <c r="B165" s="19" t="s">
        <v>1743</v>
      </c>
      <c r="C165" s="19" t="str">
        <f t="shared" si="54"/>
        <v>80657559SAUDI ARABIA</v>
      </c>
      <c r="D165" s="19">
        <v>80657559</v>
      </c>
      <c r="E165" s="19" t="s">
        <v>1830</v>
      </c>
      <c r="F165" s="19" t="s">
        <v>261</v>
      </c>
      <c r="G165" s="20" t="s">
        <v>1830</v>
      </c>
      <c r="H165" s="19"/>
      <c r="I165" s="19" t="s">
        <v>230</v>
      </c>
      <c r="J165" s="19" t="s">
        <v>357</v>
      </c>
      <c r="K165" s="19" t="s">
        <v>352</v>
      </c>
      <c r="L165" s="19" t="s">
        <v>361</v>
      </c>
      <c r="M165" s="19" t="s">
        <v>353</v>
      </c>
      <c r="N165" s="19" t="s">
        <v>284</v>
      </c>
      <c r="O165" s="19" t="s">
        <v>275</v>
      </c>
      <c r="P165" s="51" t="s">
        <v>285</v>
      </c>
      <c r="Q165" s="19" t="s">
        <v>354</v>
      </c>
      <c r="R165" s="19">
        <v>6300</v>
      </c>
      <c r="S165" s="19" t="s">
        <v>272</v>
      </c>
      <c r="T165" s="19" t="s">
        <v>287</v>
      </c>
      <c r="U165" s="20" t="s">
        <v>287</v>
      </c>
      <c r="V165" s="19" t="s">
        <v>1996</v>
      </c>
      <c r="W165" s="19" t="s">
        <v>219</v>
      </c>
      <c r="X165" s="35">
        <v>40</v>
      </c>
      <c r="Y165" s="35"/>
      <c r="Z165" s="32"/>
      <c r="AA165" s="22"/>
      <c r="AB165" s="22"/>
      <c r="AC165" s="22"/>
      <c r="AD165" s="22"/>
      <c r="AE165" s="61">
        <f t="shared" si="51"/>
        <v>0</v>
      </c>
      <c r="AF165" s="22"/>
      <c r="AG165" s="40">
        <f t="shared" si="52"/>
        <v>0</v>
      </c>
      <c r="AH165" s="24"/>
      <c r="AI165" s="24"/>
      <c r="AJ165" s="23">
        <f t="shared" si="53"/>
        <v>0</v>
      </c>
      <c r="AK165" s="25"/>
      <c r="AL165" s="25"/>
      <c r="AM165" s="25"/>
      <c r="AN165" s="25"/>
      <c r="AO165" s="25">
        <f t="shared" si="55"/>
        <v>0</v>
      </c>
      <c r="AP165" s="13"/>
      <c r="AQ165" s="21"/>
      <c r="AR165" s="21"/>
      <c r="AS165" s="21"/>
      <c r="AT165" s="21"/>
      <c r="AU165" s="21"/>
      <c r="AV165" s="21"/>
      <c r="AW165" s="21"/>
      <c r="AX165" s="21"/>
      <c r="AY165" s="77"/>
      <c r="AZ165" s="21"/>
      <c r="BA165" s="21"/>
      <c r="BB165" s="21"/>
      <c r="BC165" s="21"/>
      <c r="BD165" s="21"/>
      <c r="BE165" s="21"/>
      <c r="BF165" s="77"/>
      <c r="BG165" s="21"/>
      <c r="BH165" s="21"/>
      <c r="BI165" s="21"/>
      <c r="BJ165" s="21"/>
      <c r="BK165" s="21"/>
      <c r="BL165" s="21"/>
      <c r="BM165" s="77"/>
      <c r="BN165" s="21"/>
      <c r="BO165" s="21"/>
      <c r="BP165" s="21"/>
      <c r="BQ165" s="21"/>
      <c r="BR165" s="21"/>
      <c r="BS165" s="21"/>
      <c r="BT165" s="96">
        <f t="shared" si="48"/>
        <v>0</v>
      </c>
      <c r="BU165" s="94">
        <f t="shared" si="49"/>
        <v>0</v>
      </c>
      <c r="BV165" s="26"/>
      <c r="BW165" s="27"/>
      <c r="BX165" s="19" t="s">
        <v>1830</v>
      </c>
      <c r="BY165" s="19" t="b">
        <f t="shared" si="56"/>
        <v>1</v>
      </c>
      <c r="BZ165" s="53" t="s">
        <v>1830</v>
      </c>
      <c r="CA165" s="19" t="s">
        <v>1914</v>
      </c>
      <c r="CB165" s="19" t="s">
        <v>632</v>
      </c>
      <c r="CC165" s="19" t="s">
        <v>1103</v>
      </c>
      <c r="CD165" s="19" t="s">
        <v>1104</v>
      </c>
      <c r="CE165" s="19" t="s">
        <v>1105</v>
      </c>
      <c r="CF165" s="19" t="s">
        <v>1106</v>
      </c>
      <c r="CG165" s="19" t="s">
        <v>1107</v>
      </c>
      <c r="CH165" s="19" t="s">
        <v>1108</v>
      </c>
      <c r="CI165" s="19" t="s">
        <v>1109</v>
      </c>
      <c r="CJ165" s="19" t="s">
        <v>1915</v>
      </c>
      <c r="CK165" s="19" t="s">
        <v>1916</v>
      </c>
      <c r="CL165" s="19" t="s">
        <v>1112</v>
      </c>
      <c r="CM165" s="19" t="s">
        <v>1113</v>
      </c>
      <c r="CN165" s="19"/>
      <c r="CO165" s="19"/>
      <c r="CP165" s="19" t="s">
        <v>1114</v>
      </c>
      <c r="CQ165" s="19" t="s">
        <v>1115</v>
      </c>
      <c r="CR165" s="19" t="s">
        <v>1116</v>
      </c>
      <c r="CS165" s="19" t="s">
        <v>1117</v>
      </c>
      <c r="CT165" s="19"/>
      <c r="CU165" s="19"/>
      <c r="CV165" s="19"/>
      <c r="CW165" s="19"/>
      <c r="CX165" s="19"/>
      <c r="CY165" s="19"/>
      <c r="CZ165" s="19"/>
      <c r="DA165" s="19"/>
      <c r="DB165" s="19"/>
      <c r="DC165" s="19"/>
    </row>
    <row r="166" spans="1:107" s="7" customFormat="1" x14ac:dyDescent="0.25">
      <c r="A166" s="19" t="s">
        <v>81</v>
      </c>
      <c r="B166" s="19" t="s">
        <v>1744</v>
      </c>
      <c r="C166" s="19" t="str">
        <f t="shared" si="54"/>
        <v>80654113ANGOLA</v>
      </c>
      <c r="D166" s="19">
        <v>80654113</v>
      </c>
      <c r="E166" s="19" t="s">
        <v>1831</v>
      </c>
      <c r="F166" s="19" t="s">
        <v>261</v>
      </c>
      <c r="G166" s="20" t="s">
        <v>1831</v>
      </c>
      <c r="H166" s="19"/>
      <c r="I166" s="19" t="s">
        <v>230</v>
      </c>
      <c r="J166" s="19" t="s">
        <v>351</v>
      </c>
      <c r="K166" s="19" t="s">
        <v>352</v>
      </c>
      <c r="L166" s="19" t="s">
        <v>289</v>
      </c>
      <c r="M166" s="19" t="s">
        <v>353</v>
      </c>
      <c r="N166" s="19" t="s">
        <v>284</v>
      </c>
      <c r="O166" s="19" t="s">
        <v>275</v>
      </c>
      <c r="P166" s="51" t="s">
        <v>285</v>
      </c>
      <c r="Q166" s="19" t="s">
        <v>354</v>
      </c>
      <c r="R166" s="19">
        <v>6300</v>
      </c>
      <c r="S166" s="19" t="s">
        <v>272</v>
      </c>
      <c r="T166" s="19" t="s">
        <v>287</v>
      </c>
      <c r="U166" s="20" t="s">
        <v>287</v>
      </c>
      <c r="V166" s="19" t="s">
        <v>1775</v>
      </c>
      <c r="W166" s="19" t="s">
        <v>219</v>
      </c>
      <c r="X166" s="35"/>
      <c r="Y166" s="35"/>
      <c r="Z166" s="32">
        <v>1</v>
      </c>
      <c r="AA166" s="22">
        <v>1</v>
      </c>
      <c r="AB166" s="22"/>
      <c r="AC166" s="22"/>
      <c r="AD166" s="22"/>
      <c r="AE166" s="61">
        <f t="shared" si="51"/>
        <v>1</v>
      </c>
      <c r="AF166" s="22"/>
      <c r="AG166" s="40">
        <f t="shared" si="52"/>
        <v>1</v>
      </c>
      <c r="AH166" s="24"/>
      <c r="AI166" s="24"/>
      <c r="AJ166" s="23">
        <f t="shared" si="53"/>
        <v>1</v>
      </c>
      <c r="AK166" s="25"/>
      <c r="AL166" s="25"/>
      <c r="AM166" s="25"/>
      <c r="AN166" s="25">
        <v>1</v>
      </c>
      <c r="AO166" s="25">
        <f t="shared" si="55"/>
        <v>1</v>
      </c>
      <c r="AP166" s="13"/>
      <c r="AQ166" s="21"/>
      <c r="AR166" s="21"/>
      <c r="AS166" s="21"/>
      <c r="AT166" s="21"/>
      <c r="AU166" s="21"/>
      <c r="AV166" s="21"/>
      <c r="AW166" s="21"/>
      <c r="AX166" s="21"/>
      <c r="AY166" s="77"/>
      <c r="AZ166" s="21"/>
      <c r="BA166" s="21"/>
      <c r="BB166" s="21"/>
      <c r="BC166" s="21"/>
      <c r="BD166" s="21"/>
      <c r="BE166" s="21"/>
      <c r="BF166" s="77"/>
      <c r="BG166" s="21"/>
      <c r="BH166" s="21"/>
      <c r="BI166" s="21"/>
      <c r="BJ166" s="21"/>
      <c r="BK166" s="21"/>
      <c r="BL166" s="21"/>
      <c r="BM166" s="77"/>
      <c r="BN166" s="21"/>
      <c r="BO166" s="21"/>
      <c r="BP166" s="21"/>
      <c r="BQ166" s="21"/>
      <c r="BR166" s="21"/>
      <c r="BS166" s="21"/>
      <c r="BT166" s="100">
        <f t="shared" si="48"/>
        <v>0</v>
      </c>
      <c r="BU166" s="94">
        <f t="shared" si="49"/>
        <v>1</v>
      </c>
      <c r="BV166" s="26" t="s">
        <v>2023</v>
      </c>
      <c r="BW166" s="27"/>
      <c r="BX166" s="19" t="s">
        <v>1831</v>
      </c>
      <c r="BY166" s="19" t="b">
        <f t="shared" si="56"/>
        <v>1</v>
      </c>
      <c r="BZ166" s="53" t="s">
        <v>1831</v>
      </c>
      <c r="CA166" s="19" t="s">
        <v>1085</v>
      </c>
      <c r="CB166" s="19" t="s">
        <v>1086</v>
      </c>
      <c r="CC166" s="19" t="s">
        <v>1087</v>
      </c>
      <c r="CD166" s="19" t="s">
        <v>1088</v>
      </c>
      <c r="CE166" s="19" t="s">
        <v>1089</v>
      </c>
      <c r="CF166" s="19" t="s">
        <v>1090</v>
      </c>
      <c r="CG166" s="19" t="s">
        <v>1091</v>
      </c>
      <c r="CH166" s="19" t="s">
        <v>1092</v>
      </c>
      <c r="CI166" s="19" t="s">
        <v>1093</v>
      </c>
      <c r="CJ166" s="19" t="s">
        <v>1094</v>
      </c>
      <c r="CK166" s="19" t="s">
        <v>1095</v>
      </c>
      <c r="CL166" s="19" t="s">
        <v>1096</v>
      </c>
      <c r="CM166" s="19" t="s">
        <v>1097</v>
      </c>
      <c r="CN166" s="19"/>
      <c r="CO166" s="19"/>
      <c r="CP166" s="19" t="s">
        <v>1098</v>
      </c>
      <c r="CQ166" s="19" t="s">
        <v>1099</v>
      </c>
      <c r="CR166" s="19" t="s">
        <v>1100</v>
      </c>
      <c r="CS166" s="19" t="s">
        <v>1101</v>
      </c>
      <c r="CT166" s="19"/>
      <c r="CU166" s="19"/>
      <c r="CV166" s="19"/>
      <c r="CW166" s="19"/>
      <c r="CX166" s="19"/>
      <c r="CY166" s="19"/>
      <c r="CZ166" s="19"/>
      <c r="DA166" s="19"/>
      <c r="DB166" s="19"/>
      <c r="DC166" s="19"/>
    </row>
    <row r="167" spans="1:107" s="7" customFormat="1" x14ac:dyDescent="0.25">
      <c r="A167" s="19" t="s">
        <v>81</v>
      </c>
      <c r="B167" s="19" t="s">
        <v>82</v>
      </c>
      <c r="C167" s="19" t="str">
        <f t="shared" si="54"/>
        <v>80652672Saudi Arabia</v>
      </c>
      <c r="D167" s="19">
        <v>80652672</v>
      </c>
      <c r="E167" s="19" t="s">
        <v>356</v>
      </c>
      <c r="F167" s="19" t="s">
        <v>261</v>
      </c>
      <c r="G167" s="20" t="s">
        <v>356</v>
      </c>
      <c r="H167" s="19"/>
      <c r="I167" s="19" t="s">
        <v>230</v>
      </c>
      <c r="J167" s="19" t="s">
        <v>357</v>
      </c>
      <c r="K167" s="19" t="s">
        <v>352</v>
      </c>
      <c r="L167" s="19" t="s">
        <v>289</v>
      </c>
      <c r="M167" s="19" t="s">
        <v>353</v>
      </c>
      <c r="N167" s="19" t="s">
        <v>284</v>
      </c>
      <c r="O167" s="19" t="s">
        <v>275</v>
      </c>
      <c r="P167" s="51" t="s">
        <v>285</v>
      </c>
      <c r="Q167" s="19" t="s">
        <v>354</v>
      </c>
      <c r="R167" s="19">
        <v>6300</v>
      </c>
      <c r="S167" s="19" t="s">
        <v>272</v>
      </c>
      <c r="T167" s="19" t="s">
        <v>287</v>
      </c>
      <c r="U167" s="20" t="s">
        <v>287</v>
      </c>
      <c r="V167" s="19" t="s">
        <v>1589</v>
      </c>
      <c r="W167" s="19" t="s">
        <v>220</v>
      </c>
      <c r="X167" s="35"/>
      <c r="Y167" s="35"/>
      <c r="Z167" s="32"/>
      <c r="AA167" s="22"/>
      <c r="AB167" s="22">
        <v>2</v>
      </c>
      <c r="AC167" s="22"/>
      <c r="AD167" s="22"/>
      <c r="AE167" s="61">
        <f t="shared" si="51"/>
        <v>2</v>
      </c>
      <c r="AF167" s="22"/>
      <c r="AG167" s="40">
        <f t="shared" si="52"/>
        <v>2</v>
      </c>
      <c r="AH167" s="24">
        <v>2</v>
      </c>
      <c r="AI167" s="24"/>
      <c r="AJ167" s="23">
        <f t="shared" si="53"/>
        <v>0</v>
      </c>
      <c r="AK167" s="25"/>
      <c r="AL167" s="25"/>
      <c r="AM167" s="25"/>
      <c r="AN167" s="25"/>
      <c r="AO167" s="25">
        <f t="shared" si="55"/>
        <v>0</v>
      </c>
      <c r="AP167" s="13">
        <v>2</v>
      </c>
      <c r="AQ167" s="21"/>
      <c r="AR167" s="21">
        <v>2</v>
      </c>
      <c r="AS167" s="21"/>
      <c r="AT167" s="21"/>
      <c r="AU167" s="21"/>
      <c r="AV167" s="21"/>
      <c r="AW167" s="21"/>
      <c r="AX167" s="21"/>
      <c r="AY167" s="77"/>
      <c r="AZ167" s="21"/>
      <c r="BA167" s="21"/>
      <c r="BB167" s="21"/>
      <c r="BC167" s="21"/>
      <c r="BD167" s="21"/>
      <c r="BE167" s="21"/>
      <c r="BF167" s="77"/>
      <c r="BG167" s="21"/>
      <c r="BH167" s="21"/>
      <c r="BI167" s="21"/>
      <c r="BJ167" s="21"/>
      <c r="BK167" s="21"/>
      <c r="BL167" s="21"/>
      <c r="BM167" s="77"/>
      <c r="BN167" s="21"/>
      <c r="BO167" s="21"/>
      <c r="BP167" s="21"/>
      <c r="BQ167" s="21"/>
      <c r="BR167" s="21"/>
      <c r="BS167" s="21"/>
      <c r="BT167" s="100">
        <f t="shared" si="48"/>
        <v>2</v>
      </c>
      <c r="BU167" s="94">
        <f t="shared" si="49"/>
        <v>-2</v>
      </c>
      <c r="BV167" s="26"/>
      <c r="BW167" s="27"/>
      <c r="BX167" s="19" t="s">
        <v>356</v>
      </c>
      <c r="BY167" s="19" t="b">
        <f t="shared" si="56"/>
        <v>1</v>
      </c>
      <c r="BZ167" s="53" t="s">
        <v>356</v>
      </c>
      <c r="CA167" s="19" t="s">
        <v>1102</v>
      </c>
      <c r="CB167" s="19" t="s">
        <v>632</v>
      </c>
      <c r="CC167" s="19" t="s">
        <v>1103</v>
      </c>
      <c r="CD167" s="19" t="s">
        <v>1104</v>
      </c>
      <c r="CE167" s="19" t="s">
        <v>1105</v>
      </c>
      <c r="CF167" s="19" t="s">
        <v>1106</v>
      </c>
      <c r="CG167" s="19" t="s">
        <v>1107</v>
      </c>
      <c r="CH167" s="19" t="s">
        <v>1108</v>
      </c>
      <c r="CI167" s="19" t="s">
        <v>1109</v>
      </c>
      <c r="CJ167" s="19" t="s">
        <v>1110</v>
      </c>
      <c r="CK167" s="19" t="s">
        <v>1111</v>
      </c>
      <c r="CL167" s="19" t="s">
        <v>1112</v>
      </c>
      <c r="CM167" s="19" t="s">
        <v>1113</v>
      </c>
      <c r="CN167" s="19"/>
      <c r="CO167" s="19"/>
      <c r="CP167" s="19" t="s">
        <v>1114</v>
      </c>
      <c r="CQ167" s="19" t="s">
        <v>1115</v>
      </c>
      <c r="CR167" s="19" t="s">
        <v>1116</v>
      </c>
      <c r="CS167" s="19" t="s">
        <v>1117</v>
      </c>
      <c r="CT167" s="19"/>
      <c r="CU167" s="19"/>
      <c r="CV167" s="19"/>
      <c r="CW167" s="19"/>
      <c r="CX167" s="19"/>
      <c r="CY167" s="19"/>
      <c r="CZ167" s="19"/>
      <c r="DA167" s="19"/>
      <c r="DB167" s="19"/>
      <c r="DC167" s="19"/>
    </row>
    <row r="168" spans="1:107" s="7" customFormat="1" x14ac:dyDescent="0.25">
      <c r="A168" s="19" t="s">
        <v>81</v>
      </c>
      <c r="B168" s="19" t="s">
        <v>94</v>
      </c>
      <c r="C168" s="19" t="str">
        <f t="shared" si="54"/>
        <v>80652672Qatar</v>
      </c>
      <c r="D168" s="19">
        <v>80652672</v>
      </c>
      <c r="E168" s="19" t="s">
        <v>356</v>
      </c>
      <c r="F168" s="19" t="s">
        <v>261</v>
      </c>
      <c r="G168" s="20" t="s">
        <v>356</v>
      </c>
      <c r="H168" s="19"/>
      <c r="I168" s="19" t="s">
        <v>230</v>
      </c>
      <c r="J168" s="19" t="s">
        <v>357</v>
      </c>
      <c r="K168" s="19" t="s">
        <v>352</v>
      </c>
      <c r="L168" s="19" t="s">
        <v>289</v>
      </c>
      <c r="M168" s="19" t="s">
        <v>353</v>
      </c>
      <c r="N168" s="19" t="s">
        <v>284</v>
      </c>
      <c r="O168" s="19" t="s">
        <v>275</v>
      </c>
      <c r="P168" s="51" t="s">
        <v>285</v>
      </c>
      <c r="Q168" s="19" t="s">
        <v>354</v>
      </c>
      <c r="R168" s="19">
        <v>6300</v>
      </c>
      <c r="S168" s="19" t="s">
        <v>272</v>
      </c>
      <c r="T168" s="19" t="s">
        <v>287</v>
      </c>
      <c r="U168" s="20" t="s">
        <v>287</v>
      </c>
      <c r="V168" s="19" t="s">
        <v>1589</v>
      </c>
      <c r="W168" s="19" t="s">
        <v>220</v>
      </c>
      <c r="X168" s="35">
        <v>20</v>
      </c>
      <c r="Y168" s="35">
        <v>20</v>
      </c>
      <c r="Z168" s="32"/>
      <c r="AA168" s="22"/>
      <c r="AB168" s="22"/>
      <c r="AC168" s="22">
        <v>20</v>
      </c>
      <c r="AD168" s="22">
        <v>20</v>
      </c>
      <c r="AE168" s="61">
        <f t="shared" si="51"/>
        <v>40</v>
      </c>
      <c r="AF168" s="22"/>
      <c r="AG168" s="40">
        <f t="shared" si="52"/>
        <v>40</v>
      </c>
      <c r="AH168" s="24"/>
      <c r="AI168" s="24"/>
      <c r="AJ168" s="23">
        <f t="shared" si="53"/>
        <v>40</v>
      </c>
      <c r="AK168" s="25">
        <v>10</v>
      </c>
      <c r="AL168" s="25">
        <v>20</v>
      </c>
      <c r="AM168" s="25">
        <v>10</v>
      </c>
      <c r="AN168" s="25"/>
      <c r="AO168" s="25">
        <f t="shared" si="55"/>
        <v>40</v>
      </c>
      <c r="AP168" s="13"/>
      <c r="AQ168" s="21"/>
      <c r="AR168" s="21"/>
      <c r="AS168" s="21"/>
      <c r="AT168" s="21"/>
      <c r="AU168" s="21"/>
      <c r="AV168" s="21"/>
      <c r="AW168" s="21"/>
      <c r="AX168" s="21"/>
      <c r="AY168" s="77"/>
      <c r="AZ168" s="21">
        <v>5</v>
      </c>
      <c r="BA168" s="21">
        <v>5</v>
      </c>
      <c r="BB168" s="21"/>
      <c r="BC168" s="21"/>
      <c r="BD168" s="21">
        <v>10</v>
      </c>
      <c r="BE168" s="21">
        <v>10</v>
      </c>
      <c r="BF168" s="77"/>
      <c r="BG168" s="21"/>
      <c r="BH168" s="21"/>
      <c r="BI168" s="21"/>
      <c r="BJ168" s="21"/>
      <c r="BK168" s="21"/>
      <c r="BL168" s="21">
        <v>5</v>
      </c>
      <c r="BM168" s="77"/>
      <c r="BN168" s="21">
        <v>5</v>
      </c>
      <c r="BO168" s="21"/>
      <c r="BP168" s="21"/>
      <c r="BQ168" s="21"/>
      <c r="BR168" s="21"/>
      <c r="BS168" s="21"/>
      <c r="BT168" s="100">
        <f t="shared" si="48"/>
        <v>40</v>
      </c>
      <c r="BU168" s="94">
        <f t="shared" si="49"/>
        <v>0</v>
      </c>
      <c r="BV168" s="26"/>
      <c r="BW168" s="27"/>
      <c r="BX168" s="19" t="s">
        <v>356</v>
      </c>
      <c r="BY168" s="19" t="b">
        <f t="shared" si="56"/>
        <v>1</v>
      </c>
      <c r="BZ168" s="53" t="s">
        <v>356</v>
      </c>
      <c r="CA168" s="19" t="s">
        <v>1102</v>
      </c>
      <c r="CB168" s="19" t="s">
        <v>632</v>
      </c>
      <c r="CC168" s="19" t="s">
        <v>1103</v>
      </c>
      <c r="CD168" s="19" t="s">
        <v>1104</v>
      </c>
      <c r="CE168" s="19" t="s">
        <v>1105</v>
      </c>
      <c r="CF168" s="19" t="s">
        <v>1106</v>
      </c>
      <c r="CG168" s="19" t="s">
        <v>1107</v>
      </c>
      <c r="CH168" s="19" t="s">
        <v>1108</v>
      </c>
      <c r="CI168" s="19" t="s">
        <v>1109</v>
      </c>
      <c r="CJ168" s="19" t="s">
        <v>1110</v>
      </c>
      <c r="CK168" s="19" t="s">
        <v>1111</v>
      </c>
      <c r="CL168" s="19" t="s">
        <v>1112</v>
      </c>
      <c r="CM168" s="19" t="s">
        <v>1113</v>
      </c>
      <c r="CN168" s="19"/>
      <c r="CO168" s="19"/>
      <c r="CP168" s="19" t="s">
        <v>1114</v>
      </c>
      <c r="CQ168" s="19" t="s">
        <v>1115</v>
      </c>
      <c r="CR168" s="19" t="s">
        <v>1116</v>
      </c>
      <c r="CS168" s="19" t="s">
        <v>1117</v>
      </c>
      <c r="CT168" s="19"/>
      <c r="CU168" s="19"/>
      <c r="CV168" s="19"/>
      <c r="CW168" s="19"/>
      <c r="CX168" s="19"/>
      <c r="CY168" s="19"/>
      <c r="CZ168" s="19"/>
      <c r="DA168" s="19"/>
      <c r="DB168" s="19"/>
      <c r="DC168" s="19"/>
    </row>
    <row r="169" spans="1:107" s="7" customFormat="1" x14ac:dyDescent="0.25">
      <c r="A169" s="19" t="s">
        <v>81</v>
      </c>
      <c r="B169" s="19" t="s">
        <v>92</v>
      </c>
      <c r="C169" s="19" t="str">
        <f t="shared" si="54"/>
        <v>80651341UTD.ARAB EMIR.</v>
      </c>
      <c r="D169" s="19">
        <v>80651341</v>
      </c>
      <c r="E169" s="19" t="s">
        <v>1835</v>
      </c>
      <c r="F169" s="19" t="s">
        <v>261</v>
      </c>
      <c r="G169" s="20" t="s">
        <v>1835</v>
      </c>
      <c r="H169" s="19"/>
      <c r="I169" s="19" t="s">
        <v>230</v>
      </c>
      <c r="J169" s="19" t="s">
        <v>359</v>
      </c>
      <c r="K169" s="19" t="s">
        <v>352</v>
      </c>
      <c r="L169" s="19" t="s">
        <v>361</v>
      </c>
      <c r="M169" s="19" t="s">
        <v>353</v>
      </c>
      <c r="N169" s="19" t="s">
        <v>284</v>
      </c>
      <c r="O169" s="19" t="s">
        <v>275</v>
      </c>
      <c r="P169" s="51" t="s">
        <v>285</v>
      </c>
      <c r="Q169" s="19" t="s">
        <v>354</v>
      </c>
      <c r="R169" s="19">
        <v>6300</v>
      </c>
      <c r="S169" s="19" t="s">
        <v>272</v>
      </c>
      <c r="T169" s="19" t="s">
        <v>287</v>
      </c>
      <c r="U169" s="20" t="s">
        <v>287</v>
      </c>
      <c r="V169" s="19" t="s">
        <v>134</v>
      </c>
      <c r="W169" s="19" t="s">
        <v>219</v>
      </c>
      <c r="X169" s="35"/>
      <c r="Y169" s="35"/>
      <c r="Z169" s="32"/>
      <c r="AA169" s="22"/>
      <c r="AB169" s="22"/>
      <c r="AC169" s="22">
        <v>4</v>
      </c>
      <c r="AD169" s="22">
        <v>10</v>
      </c>
      <c r="AE169" s="61">
        <f t="shared" si="51"/>
        <v>14</v>
      </c>
      <c r="AF169" s="22"/>
      <c r="AG169" s="40">
        <f t="shared" si="52"/>
        <v>14</v>
      </c>
      <c r="AH169" s="24"/>
      <c r="AI169" s="24"/>
      <c r="AJ169" s="23">
        <f t="shared" si="53"/>
        <v>14</v>
      </c>
      <c r="AK169" s="25"/>
      <c r="AL169" s="25"/>
      <c r="AM169" s="25"/>
      <c r="AN169" s="25">
        <v>14</v>
      </c>
      <c r="AO169" s="25">
        <f t="shared" si="55"/>
        <v>14</v>
      </c>
      <c r="AP169" s="13"/>
      <c r="AQ169" s="21"/>
      <c r="AR169" s="21"/>
      <c r="AS169" s="21"/>
      <c r="AT169" s="21"/>
      <c r="AU169" s="21"/>
      <c r="AV169" s="21"/>
      <c r="AW169" s="21"/>
      <c r="AX169" s="21"/>
      <c r="AY169" s="77"/>
      <c r="AZ169" s="21"/>
      <c r="BA169" s="21"/>
      <c r="BB169" s="21"/>
      <c r="BC169" s="21"/>
      <c r="BD169" s="21"/>
      <c r="BE169" s="21"/>
      <c r="BF169" s="77"/>
      <c r="BG169" s="21"/>
      <c r="BH169" s="21"/>
      <c r="BI169" s="21"/>
      <c r="BJ169" s="21"/>
      <c r="BK169" s="21"/>
      <c r="BL169" s="21"/>
      <c r="BM169" s="77"/>
      <c r="BN169" s="21"/>
      <c r="BO169" s="21"/>
      <c r="BP169" s="21"/>
      <c r="BQ169" s="21"/>
      <c r="BR169" s="21"/>
      <c r="BS169" s="21"/>
      <c r="BT169" s="100">
        <f t="shared" si="48"/>
        <v>0</v>
      </c>
      <c r="BU169" s="94">
        <f t="shared" si="49"/>
        <v>14</v>
      </c>
      <c r="BV169" s="26" t="s">
        <v>2023</v>
      </c>
      <c r="BW169" s="27"/>
      <c r="BX169" s="19" t="s">
        <v>1835</v>
      </c>
      <c r="BY169" s="19" t="b">
        <f t="shared" si="56"/>
        <v>1</v>
      </c>
      <c r="BZ169" s="53" t="s">
        <v>1835</v>
      </c>
      <c r="CA169" s="19" t="s">
        <v>1118</v>
      </c>
      <c r="CB169" s="19" t="s">
        <v>1086</v>
      </c>
      <c r="CC169" s="19" t="s">
        <v>1087</v>
      </c>
      <c r="CD169" s="19" t="s">
        <v>1119</v>
      </c>
      <c r="CE169" s="19" t="s">
        <v>1120</v>
      </c>
      <c r="CF169" s="19" t="s">
        <v>1090</v>
      </c>
      <c r="CG169" s="19" t="s">
        <v>1091</v>
      </c>
      <c r="CH169" s="19" t="s">
        <v>1121</v>
      </c>
      <c r="CI169" s="19" t="s">
        <v>1122</v>
      </c>
      <c r="CJ169" s="19" t="s">
        <v>1123</v>
      </c>
      <c r="CK169" s="19" t="s">
        <v>1124</v>
      </c>
      <c r="CL169" s="19" t="s">
        <v>1125</v>
      </c>
      <c r="CM169" s="19" t="s">
        <v>1118</v>
      </c>
      <c r="CN169" s="19"/>
      <c r="CO169" s="19"/>
      <c r="CP169" s="19" t="s">
        <v>1114</v>
      </c>
      <c r="CQ169" s="19" t="s">
        <v>1115</v>
      </c>
      <c r="CR169" s="19" t="s">
        <v>1126</v>
      </c>
      <c r="CS169" s="19" t="s">
        <v>1127</v>
      </c>
      <c r="CT169" s="19"/>
      <c r="CU169" s="19"/>
      <c r="CV169" s="19"/>
      <c r="CW169" s="19"/>
      <c r="CX169" s="19"/>
      <c r="CY169" s="19"/>
      <c r="CZ169" s="19"/>
      <c r="DA169" s="19"/>
      <c r="DB169" s="19"/>
      <c r="DC169" s="19"/>
    </row>
    <row r="170" spans="1:107" s="7" customFormat="1" x14ac:dyDescent="0.25">
      <c r="A170" s="19" t="s">
        <v>81</v>
      </c>
      <c r="B170" s="19" t="s">
        <v>97</v>
      </c>
      <c r="C170" s="19" t="str">
        <f t="shared" si="54"/>
        <v>80653171GHANA</v>
      </c>
      <c r="D170" s="19">
        <v>80653171</v>
      </c>
      <c r="E170" s="19" t="s">
        <v>350</v>
      </c>
      <c r="F170" s="19" t="s">
        <v>261</v>
      </c>
      <c r="G170" s="20" t="s">
        <v>350</v>
      </c>
      <c r="H170" s="19"/>
      <c r="I170" s="19" t="s">
        <v>230</v>
      </c>
      <c r="J170" s="19" t="s">
        <v>351</v>
      </c>
      <c r="K170" s="19" t="s">
        <v>352</v>
      </c>
      <c r="L170" s="19" t="s">
        <v>289</v>
      </c>
      <c r="M170" s="19" t="s">
        <v>353</v>
      </c>
      <c r="N170" s="19" t="s">
        <v>284</v>
      </c>
      <c r="O170" s="19" t="s">
        <v>275</v>
      </c>
      <c r="P170" s="51" t="s">
        <v>285</v>
      </c>
      <c r="Q170" s="19" t="s">
        <v>354</v>
      </c>
      <c r="R170" s="19">
        <v>6300</v>
      </c>
      <c r="S170" s="19" t="s">
        <v>272</v>
      </c>
      <c r="T170" s="19" t="s">
        <v>287</v>
      </c>
      <c r="U170" s="20" t="s">
        <v>287</v>
      </c>
      <c r="V170" s="19" t="s">
        <v>135</v>
      </c>
      <c r="W170" s="19" t="s">
        <v>221</v>
      </c>
      <c r="X170" s="35">
        <v>1</v>
      </c>
      <c r="Y170" s="35">
        <v>2</v>
      </c>
      <c r="Z170" s="32">
        <v>3</v>
      </c>
      <c r="AA170" s="22">
        <v>3</v>
      </c>
      <c r="AB170" s="22"/>
      <c r="AC170" s="22"/>
      <c r="AD170" s="22"/>
      <c r="AE170" s="61">
        <f t="shared" si="51"/>
        <v>3</v>
      </c>
      <c r="AF170" s="22"/>
      <c r="AG170" s="40">
        <f t="shared" si="52"/>
        <v>3</v>
      </c>
      <c r="AH170" s="24">
        <v>3</v>
      </c>
      <c r="AI170" s="24"/>
      <c r="AJ170" s="23">
        <f t="shared" si="53"/>
        <v>0</v>
      </c>
      <c r="AK170" s="25"/>
      <c r="AL170" s="25"/>
      <c r="AM170" s="25"/>
      <c r="AN170" s="25"/>
      <c r="AO170" s="25">
        <f t="shared" si="55"/>
        <v>0</v>
      </c>
      <c r="AP170" s="13">
        <v>3</v>
      </c>
      <c r="AQ170" s="21">
        <v>3</v>
      </c>
      <c r="AR170" s="21"/>
      <c r="AS170" s="21"/>
      <c r="AT170" s="21"/>
      <c r="AU170" s="21"/>
      <c r="AV170" s="21"/>
      <c r="AW170" s="21"/>
      <c r="AX170" s="21"/>
      <c r="AY170" s="77"/>
      <c r="AZ170" s="21"/>
      <c r="BA170" s="21"/>
      <c r="BB170" s="21"/>
      <c r="BC170" s="21"/>
      <c r="BD170" s="21"/>
      <c r="BE170" s="21"/>
      <c r="BF170" s="77"/>
      <c r="BG170" s="21"/>
      <c r="BH170" s="21"/>
      <c r="BI170" s="21"/>
      <c r="BJ170" s="21"/>
      <c r="BK170" s="21"/>
      <c r="BL170" s="21"/>
      <c r="BM170" s="77"/>
      <c r="BN170" s="21"/>
      <c r="BO170" s="21"/>
      <c r="BP170" s="21"/>
      <c r="BQ170" s="21"/>
      <c r="BR170" s="21"/>
      <c r="BS170" s="21"/>
      <c r="BT170" s="100">
        <f t="shared" si="48"/>
        <v>3</v>
      </c>
      <c r="BU170" s="94">
        <f t="shared" si="49"/>
        <v>-3</v>
      </c>
      <c r="BV170" s="26"/>
      <c r="BW170" s="27"/>
      <c r="BX170" s="19" t="s">
        <v>350</v>
      </c>
      <c r="BY170" s="19" t="b">
        <f t="shared" si="56"/>
        <v>1</v>
      </c>
      <c r="BZ170" s="53" t="s">
        <v>350</v>
      </c>
      <c r="CA170" s="19" t="s">
        <v>1085</v>
      </c>
      <c r="CB170" s="19" t="s">
        <v>1086</v>
      </c>
      <c r="CC170" s="19" t="s">
        <v>1087</v>
      </c>
      <c r="CD170" s="19" t="s">
        <v>1088</v>
      </c>
      <c r="CE170" s="19" t="s">
        <v>1089</v>
      </c>
      <c r="CF170" s="19" t="s">
        <v>1090</v>
      </c>
      <c r="CG170" s="19" t="s">
        <v>1091</v>
      </c>
      <c r="CH170" s="19" t="s">
        <v>1092</v>
      </c>
      <c r="CI170" s="19" t="s">
        <v>1093</v>
      </c>
      <c r="CJ170" s="19" t="s">
        <v>1094</v>
      </c>
      <c r="CK170" s="19" t="s">
        <v>1095</v>
      </c>
      <c r="CL170" s="19" t="s">
        <v>1096</v>
      </c>
      <c r="CM170" s="19" t="s">
        <v>1097</v>
      </c>
      <c r="CN170" s="19"/>
      <c r="CO170" s="19"/>
      <c r="CP170" s="19" t="s">
        <v>1098</v>
      </c>
      <c r="CQ170" s="19" t="s">
        <v>1099</v>
      </c>
      <c r="CR170" s="19" t="s">
        <v>1100</v>
      </c>
      <c r="CS170" s="19" t="s">
        <v>1101</v>
      </c>
      <c r="CT170" s="19"/>
      <c r="CU170" s="19"/>
      <c r="CV170" s="19"/>
      <c r="CW170" s="19"/>
      <c r="CX170" s="19"/>
      <c r="CY170" s="19"/>
      <c r="CZ170" s="19"/>
      <c r="DA170" s="19"/>
      <c r="DB170" s="19"/>
      <c r="DC170" s="19"/>
    </row>
    <row r="171" spans="1:107" s="7" customFormat="1" x14ac:dyDescent="0.25">
      <c r="A171" s="19" t="s">
        <v>81</v>
      </c>
      <c r="B171" s="19" t="s">
        <v>97</v>
      </c>
      <c r="C171" s="19" t="str">
        <f t="shared" si="54"/>
        <v>80654113GHANA</v>
      </c>
      <c r="D171" s="19">
        <v>80654113</v>
      </c>
      <c r="E171" s="19" t="s">
        <v>1831</v>
      </c>
      <c r="F171" s="19" t="s">
        <v>261</v>
      </c>
      <c r="G171" s="20" t="s">
        <v>1831</v>
      </c>
      <c r="H171" s="19"/>
      <c r="I171" s="19" t="s">
        <v>230</v>
      </c>
      <c r="J171" s="19" t="s">
        <v>351</v>
      </c>
      <c r="K171" s="19" t="s">
        <v>352</v>
      </c>
      <c r="L171" s="19" t="s">
        <v>289</v>
      </c>
      <c r="M171" s="19" t="s">
        <v>353</v>
      </c>
      <c r="N171" s="19" t="s">
        <v>284</v>
      </c>
      <c r="O171" s="19" t="s">
        <v>275</v>
      </c>
      <c r="P171" s="51" t="s">
        <v>285</v>
      </c>
      <c r="Q171" s="19" t="s">
        <v>354</v>
      </c>
      <c r="R171" s="19">
        <v>6300</v>
      </c>
      <c r="S171" s="19" t="s">
        <v>272</v>
      </c>
      <c r="T171" s="19" t="s">
        <v>287</v>
      </c>
      <c r="U171" s="20" t="s">
        <v>287</v>
      </c>
      <c r="V171" s="19" t="s">
        <v>1775</v>
      </c>
      <c r="W171" s="19" t="s">
        <v>222</v>
      </c>
      <c r="X171" s="35">
        <v>1</v>
      </c>
      <c r="Y171" s="35">
        <v>2</v>
      </c>
      <c r="Z171" s="32"/>
      <c r="AA171" s="22"/>
      <c r="AB171" s="22"/>
      <c r="AC171" s="22"/>
      <c r="AD171" s="22"/>
      <c r="AE171" s="61">
        <f t="shared" si="51"/>
        <v>0</v>
      </c>
      <c r="AF171" s="22"/>
      <c r="AG171" s="40">
        <f t="shared" si="52"/>
        <v>0</v>
      </c>
      <c r="AH171" s="24"/>
      <c r="AI171" s="24"/>
      <c r="AJ171" s="23">
        <f t="shared" si="53"/>
        <v>0</v>
      </c>
      <c r="AK171" s="25"/>
      <c r="AL171" s="25"/>
      <c r="AM171" s="25"/>
      <c r="AN171" s="25"/>
      <c r="AO171" s="25">
        <f t="shared" si="55"/>
        <v>0</v>
      </c>
      <c r="AP171" s="13"/>
      <c r="AQ171" s="21"/>
      <c r="AR171" s="21"/>
      <c r="AS171" s="21"/>
      <c r="AT171" s="21"/>
      <c r="AU171" s="21"/>
      <c r="AV171" s="21"/>
      <c r="AW171" s="21"/>
      <c r="AX171" s="21"/>
      <c r="AY171" s="77"/>
      <c r="AZ171" s="21"/>
      <c r="BA171" s="21"/>
      <c r="BB171" s="21"/>
      <c r="BC171" s="21"/>
      <c r="BD171" s="21"/>
      <c r="BE171" s="21"/>
      <c r="BF171" s="77"/>
      <c r="BG171" s="21"/>
      <c r="BH171" s="21"/>
      <c r="BI171" s="21"/>
      <c r="BJ171" s="21"/>
      <c r="BK171" s="21"/>
      <c r="BL171" s="21"/>
      <c r="BM171" s="77"/>
      <c r="BN171" s="21"/>
      <c r="BO171" s="21"/>
      <c r="BP171" s="21"/>
      <c r="BQ171" s="21"/>
      <c r="BR171" s="21"/>
      <c r="BS171" s="21"/>
      <c r="BT171" s="96">
        <f t="shared" si="48"/>
        <v>0</v>
      </c>
      <c r="BU171" s="94">
        <f t="shared" si="49"/>
        <v>0</v>
      </c>
      <c r="BV171" s="26"/>
      <c r="BW171" s="27"/>
      <c r="BX171" s="19" t="s">
        <v>1831</v>
      </c>
      <c r="BY171" s="19" t="b">
        <f t="shared" si="56"/>
        <v>1</v>
      </c>
      <c r="BZ171" s="53" t="s">
        <v>1831</v>
      </c>
      <c r="CA171" s="19" t="s">
        <v>1085</v>
      </c>
      <c r="CB171" s="19" t="s">
        <v>1086</v>
      </c>
      <c r="CC171" s="19" t="s">
        <v>1087</v>
      </c>
      <c r="CD171" s="19" t="s">
        <v>1088</v>
      </c>
      <c r="CE171" s="19" t="s">
        <v>1089</v>
      </c>
      <c r="CF171" s="19" t="s">
        <v>1090</v>
      </c>
      <c r="CG171" s="19" t="s">
        <v>1091</v>
      </c>
      <c r="CH171" s="19" t="s">
        <v>1092</v>
      </c>
      <c r="CI171" s="19" t="s">
        <v>1093</v>
      </c>
      <c r="CJ171" s="19" t="s">
        <v>1094</v>
      </c>
      <c r="CK171" s="19" t="s">
        <v>1095</v>
      </c>
      <c r="CL171" s="19" t="s">
        <v>1096</v>
      </c>
      <c r="CM171" s="19" t="s">
        <v>1097</v>
      </c>
      <c r="CN171" s="19"/>
      <c r="CO171" s="19"/>
      <c r="CP171" s="19" t="s">
        <v>1098</v>
      </c>
      <c r="CQ171" s="19" t="s">
        <v>1099</v>
      </c>
      <c r="CR171" s="19" t="s">
        <v>1100</v>
      </c>
      <c r="CS171" s="19" t="s">
        <v>1101</v>
      </c>
      <c r="CT171" s="19"/>
      <c r="CU171" s="19"/>
      <c r="CV171" s="19"/>
      <c r="CW171" s="19"/>
      <c r="CX171" s="19"/>
      <c r="CY171" s="19"/>
      <c r="CZ171" s="19"/>
      <c r="DA171" s="19"/>
      <c r="DB171" s="19"/>
      <c r="DC171" s="19"/>
    </row>
    <row r="172" spans="1:107" s="7" customFormat="1" x14ac:dyDescent="0.25">
      <c r="A172" s="19" t="s">
        <v>81</v>
      </c>
      <c r="B172" s="19" t="s">
        <v>91</v>
      </c>
      <c r="C172" s="19" t="str">
        <f t="shared" si="54"/>
        <v>83200362Sri Lanka</v>
      </c>
      <c r="D172" s="19">
        <v>83200362</v>
      </c>
      <c r="E172" s="19" t="s">
        <v>366</v>
      </c>
      <c r="F172" s="19" t="s">
        <v>261</v>
      </c>
      <c r="G172" s="20" t="s">
        <v>366</v>
      </c>
      <c r="H172" s="19"/>
      <c r="I172" s="19" t="s">
        <v>230</v>
      </c>
      <c r="J172" s="19" t="s">
        <v>359</v>
      </c>
      <c r="K172" s="19" t="s">
        <v>367</v>
      </c>
      <c r="L172" s="19" t="s">
        <v>252</v>
      </c>
      <c r="M172" s="19" t="s">
        <v>345</v>
      </c>
      <c r="N172" s="19" t="s">
        <v>284</v>
      </c>
      <c r="O172" s="19" t="s">
        <v>368</v>
      </c>
      <c r="P172" s="51" t="s">
        <v>285</v>
      </c>
      <c r="Q172" s="19" t="s">
        <v>369</v>
      </c>
      <c r="R172" s="19">
        <v>7200</v>
      </c>
      <c r="S172" s="19" t="s">
        <v>239</v>
      </c>
      <c r="T172" s="19" t="s">
        <v>287</v>
      </c>
      <c r="U172" s="20" t="s">
        <v>287</v>
      </c>
      <c r="V172" s="19" t="s">
        <v>130</v>
      </c>
      <c r="W172" s="19" t="s">
        <v>219</v>
      </c>
      <c r="X172" s="35">
        <v>2</v>
      </c>
      <c r="Y172" s="35"/>
      <c r="Z172" s="32"/>
      <c r="AA172" s="22"/>
      <c r="AB172" s="22"/>
      <c r="AC172" s="22"/>
      <c r="AD172" s="22"/>
      <c r="AE172" s="61">
        <f t="shared" ref="AE172:AE201" si="57">SUM(AA172:AD172)</f>
        <v>0</v>
      </c>
      <c r="AF172" s="22"/>
      <c r="AG172" s="40">
        <f t="shared" ref="AG172:AG201" si="58">AE172+AF172</f>
        <v>0</v>
      </c>
      <c r="AH172" s="24"/>
      <c r="AI172" s="24"/>
      <c r="AJ172" s="23">
        <f t="shared" ref="AJ172:AJ201" si="59">AG172-AH172+AI172</f>
        <v>0</v>
      </c>
      <c r="AK172" s="25"/>
      <c r="AL172" s="25"/>
      <c r="AM172" s="25"/>
      <c r="AN172" s="25"/>
      <c r="AO172" s="25">
        <f t="shared" si="55"/>
        <v>0</v>
      </c>
      <c r="AP172" s="13"/>
      <c r="AQ172" s="21"/>
      <c r="AR172" s="21"/>
      <c r="AS172" s="21"/>
      <c r="AT172" s="21"/>
      <c r="AU172" s="21"/>
      <c r="AV172" s="21"/>
      <c r="AW172" s="21"/>
      <c r="AX172" s="21"/>
      <c r="AY172" s="77"/>
      <c r="AZ172" s="21"/>
      <c r="BA172" s="21"/>
      <c r="BB172" s="21"/>
      <c r="BC172" s="21"/>
      <c r="BD172" s="21"/>
      <c r="BE172" s="21"/>
      <c r="BF172" s="77"/>
      <c r="BG172" s="21"/>
      <c r="BH172" s="21"/>
      <c r="BI172" s="21"/>
      <c r="BJ172" s="21"/>
      <c r="BK172" s="21"/>
      <c r="BL172" s="21"/>
      <c r="BM172" s="77"/>
      <c r="BN172" s="21"/>
      <c r="BO172" s="21"/>
      <c r="BP172" s="21"/>
      <c r="BQ172" s="21"/>
      <c r="BR172" s="21"/>
      <c r="BS172" s="21"/>
      <c r="BT172" s="96">
        <f t="shared" si="48"/>
        <v>0</v>
      </c>
      <c r="BU172" s="94">
        <f t="shared" si="49"/>
        <v>0</v>
      </c>
      <c r="BV172" s="26"/>
      <c r="BW172" s="27"/>
      <c r="BX172" s="19" t="s">
        <v>366</v>
      </c>
      <c r="BY172" s="19" t="b">
        <f t="shared" si="56"/>
        <v>1</v>
      </c>
      <c r="BZ172" s="53" t="s">
        <v>366</v>
      </c>
      <c r="CA172" s="19" t="s">
        <v>1137</v>
      </c>
      <c r="CB172" s="19" t="s">
        <v>1131</v>
      </c>
      <c r="CC172" s="19" t="s">
        <v>1132</v>
      </c>
      <c r="CD172" s="19" t="s">
        <v>1138</v>
      </c>
      <c r="CE172" s="19" t="s">
        <v>1139</v>
      </c>
      <c r="CF172" s="19" t="s">
        <v>1140</v>
      </c>
      <c r="CG172" s="19" t="s">
        <v>1141</v>
      </c>
      <c r="CH172" s="19" t="s">
        <v>1142</v>
      </c>
      <c r="CI172" s="19" t="s">
        <v>1143</v>
      </c>
      <c r="CJ172" s="19" t="s">
        <v>1144</v>
      </c>
      <c r="CK172" s="19" t="s">
        <v>1145</v>
      </c>
      <c r="CL172" s="19" t="s">
        <v>1146</v>
      </c>
      <c r="CM172" s="19" t="s">
        <v>1147</v>
      </c>
      <c r="CN172" s="19" t="s">
        <v>1133</v>
      </c>
      <c r="CO172" s="19" t="s">
        <v>1134</v>
      </c>
      <c r="CP172" s="19" t="s">
        <v>1135</v>
      </c>
      <c r="CQ172" s="19" t="s">
        <v>1136</v>
      </c>
      <c r="CR172" s="19" t="s">
        <v>1148</v>
      </c>
      <c r="CS172" s="19" t="s">
        <v>1149</v>
      </c>
      <c r="CT172" s="19"/>
      <c r="CU172" s="19"/>
      <c r="CV172" s="19"/>
      <c r="CW172" s="19"/>
      <c r="CX172" s="19"/>
      <c r="CY172" s="19"/>
      <c r="CZ172" s="19"/>
      <c r="DA172" s="19"/>
      <c r="DB172" s="19"/>
      <c r="DC172" s="19"/>
    </row>
    <row r="173" spans="1:107" s="7" customFormat="1" x14ac:dyDescent="0.25">
      <c r="A173" s="19" t="s">
        <v>81</v>
      </c>
      <c r="B173" s="19" t="s">
        <v>85</v>
      </c>
      <c r="C173" s="19" t="str">
        <f t="shared" ref="C173:C202" si="60">D173&amp;B173</f>
        <v>82006938ZIMBABWE</v>
      </c>
      <c r="D173" s="19">
        <v>82006938</v>
      </c>
      <c r="E173" s="19" t="s">
        <v>1832</v>
      </c>
      <c r="F173" s="19" t="s">
        <v>261</v>
      </c>
      <c r="G173" s="20" t="s">
        <v>1832</v>
      </c>
      <c r="H173" s="19"/>
      <c r="I173" s="19" t="s">
        <v>230</v>
      </c>
      <c r="J173" s="19" t="s">
        <v>355</v>
      </c>
      <c r="K173" s="19" t="s">
        <v>1833</v>
      </c>
      <c r="L173" s="19" t="s">
        <v>282</v>
      </c>
      <c r="M173" s="19" t="s">
        <v>345</v>
      </c>
      <c r="N173" s="19" t="s">
        <v>284</v>
      </c>
      <c r="O173" s="19" t="s">
        <v>335</v>
      </c>
      <c r="P173" s="51" t="s">
        <v>285</v>
      </c>
      <c r="Q173" s="19" t="s">
        <v>383</v>
      </c>
      <c r="R173" s="19">
        <v>7200</v>
      </c>
      <c r="S173" s="19" t="s">
        <v>239</v>
      </c>
      <c r="T173" s="19" t="s">
        <v>287</v>
      </c>
      <c r="U173" s="20" t="s">
        <v>287</v>
      </c>
      <c r="V173" s="19" t="s">
        <v>1776</v>
      </c>
      <c r="W173" s="19" t="s">
        <v>221</v>
      </c>
      <c r="X173" s="35"/>
      <c r="Y173" s="35">
        <v>2</v>
      </c>
      <c r="Z173" s="32"/>
      <c r="AA173" s="22"/>
      <c r="AB173" s="22"/>
      <c r="AC173" s="22"/>
      <c r="AD173" s="22"/>
      <c r="AE173" s="61">
        <f t="shared" si="57"/>
        <v>0</v>
      </c>
      <c r="AF173" s="22"/>
      <c r="AG173" s="40">
        <f t="shared" si="58"/>
        <v>0</v>
      </c>
      <c r="AH173" s="24"/>
      <c r="AI173" s="24"/>
      <c r="AJ173" s="23">
        <f t="shared" si="59"/>
        <v>0</v>
      </c>
      <c r="AK173" s="25"/>
      <c r="AL173" s="25"/>
      <c r="AM173" s="25"/>
      <c r="AN173" s="25"/>
      <c r="AO173" s="25">
        <f t="shared" ref="AO173:AO203" si="61">SUM(AK173:AN173)</f>
        <v>0</v>
      </c>
      <c r="AP173" s="13"/>
      <c r="AQ173" s="21"/>
      <c r="AR173" s="21"/>
      <c r="AS173" s="21"/>
      <c r="AT173" s="21"/>
      <c r="AU173" s="21"/>
      <c r="AV173" s="21"/>
      <c r="AW173" s="21"/>
      <c r="AX173" s="21"/>
      <c r="AY173" s="77"/>
      <c r="AZ173" s="21"/>
      <c r="BA173" s="21"/>
      <c r="BB173" s="21"/>
      <c r="BC173" s="21"/>
      <c r="BD173" s="21"/>
      <c r="BE173" s="21"/>
      <c r="BF173" s="77"/>
      <c r="BG173" s="21"/>
      <c r="BH173" s="21"/>
      <c r="BI173" s="21"/>
      <c r="BJ173" s="21"/>
      <c r="BK173" s="21"/>
      <c r="BL173" s="21"/>
      <c r="BM173" s="77"/>
      <c r="BN173" s="21"/>
      <c r="BO173" s="21"/>
      <c r="BP173" s="21"/>
      <c r="BQ173" s="21"/>
      <c r="BR173" s="21"/>
      <c r="BS173" s="21"/>
      <c r="BT173" s="96">
        <f t="shared" si="48"/>
        <v>0</v>
      </c>
      <c r="BU173" s="94">
        <f t="shared" si="49"/>
        <v>0</v>
      </c>
      <c r="BV173" s="26"/>
      <c r="BW173" s="27"/>
      <c r="BX173" s="19" t="s">
        <v>1832</v>
      </c>
      <c r="BY173" s="19" t="b">
        <f t="shared" ref="BY173:BY202" si="62">BZ173=BX173</f>
        <v>1</v>
      </c>
      <c r="BZ173" s="53" t="s">
        <v>1832</v>
      </c>
      <c r="CA173" s="19" t="s">
        <v>1920</v>
      </c>
      <c r="CB173" s="19" t="s">
        <v>1150</v>
      </c>
      <c r="CC173" s="19" t="s">
        <v>1151</v>
      </c>
      <c r="CD173" s="19" t="s">
        <v>1152</v>
      </c>
      <c r="CE173" s="19" t="s">
        <v>1153</v>
      </c>
      <c r="CF173" s="19" t="s">
        <v>1921</v>
      </c>
      <c r="CG173" s="19" t="s">
        <v>1922</v>
      </c>
      <c r="CH173" s="19" t="s">
        <v>1923</v>
      </c>
      <c r="CI173" s="19" t="s">
        <v>1158</v>
      </c>
      <c r="CJ173" s="19" t="s">
        <v>1924</v>
      </c>
      <c r="CK173" s="19" t="s">
        <v>1165</v>
      </c>
      <c r="CL173" s="19" t="s">
        <v>1925</v>
      </c>
      <c r="CM173" s="19" t="s">
        <v>1926</v>
      </c>
      <c r="CN173" s="19" t="s">
        <v>1154</v>
      </c>
      <c r="CO173" s="19" t="s">
        <v>1155</v>
      </c>
      <c r="CP173" s="19" t="s">
        <v>1156</v>
      </c>
      <c r="CQ173" s="19" t="s">
        <v>1157</v>
      </c>
      <c r="CR173" s="19" t="s">
        <v>1927</v>
      </c>
      <c r="CS173" s="19" t="s">
        <v>1928</v>
      </c>
      <c r="CT173" s="19" t="s">
        <v>1929</v>
      </c>
      <c r="CU173" s="19" t="s">
        <v>1919</v>
      </c>
      <c r="CV173" s="19"/>
      <c r="CW173" s="19"/>
      <c r="CX173" s="19"/>
      <c r="CY173" s="19"/>
      <c r="CZ173" s="19"/>
      <c r="DA173" s="19"/>
      <c r="DB173" s="19"/>
      <c r="DC173" s="19"/>
    </row>
    <row r="174" spans="1:107" s="7" customFormat="1" x14ac:dyDescent="0.25">
      <c r="A174" s="19" t="s">
        <v>81</v>
      </c>
      <c r="B174" s="19" t="s">
        <v>93</v>
      </c>
      <c r="C174" s="19" t="str">
        <f t="shared" si="60"/>
        <v>82006958Bangladesh</v>
      </c>
      <c r="D174" s="19">
        <v>82006958</v>
      </c>
      <c r="E174" s="19" t="s">
        <v>380</v>
      </c>
      <c r="F174" s="19" t="s">
        <v>261</v>
      </c>
      <c r="G174" s="20" t="s">
        <v>380</v>
      </c>
      <c r="H174" s="19"/>
      <c r="I174" s="19" t="s">
        <v>230</v>
      </c>
      <c r="J174" s="19" t="s">
        <v>355</v>
      </c>
      <c r="K174" s="19" t="s">
        <v>381</v>
      </c>
      <c r="L174" s="19" t="s">
        <v>282</v>
      </c>
      <c r="M174" s="19" t="s">
        <v>382</v>
      </c>
      <c r="N174" s="19" t="s">
        <v>284</v>
      </c>
      <c r="O174" s="19" t="s">
        <v>293</v>
      </c>
      <c r="P174" s="51" t="s">
        <v>285</v>
      </c>
      <c r="Q174" s="19" t="s">
        <v>383</v>
      </c>
      <c r="R174" s="19">
        <v>7200</v>
      </c>
      <c r="S174" s="19" t="s">
        <v>239</v>
      </c>
      <c r="T174" s="19" t="s">
        <v>287</v>
      </c>
      <c r="U174" s="20" t="s">
        <v>287</v>
      </c>
      <c r="V174" s="19" t="s">
        <v>136</v>
      </c>
      <c r="W174" s="19" t="s">
        <v>219</v>
      </c>
      <c r="X174" s="35">
        <v>5</v>
      </c>
      <c r="Y174" s="35">
        <v>5</v>
      </c>
      <c r="Z174" s="32">
        <v>10</v>
      </c>
      <c r="AA174" s="22">
        <v>10</v>
      </c>
      <c r="AB174" s="22"/>
      <c r="AC174" s="22"/>
      <c r="AD174" s="22"/>
      <c r="AE174" s="61">
        <f t="shared" si="57"/>
        <v>10</v>
      </c>
      <c r="AF174" s="22"/>
      <c r="AG174" s="40">
        <f t="shared" si="58"/>
        <v>10</v>
      </c>
      <c r="AH174" s="24"/>
      <c r="AI174" s="24"/>
      <c r="AJ174" s="23">
        <f t="shared" si="59"/>
        <v>10</v>
      </c>
      <c r="AK174" s="25"/>
      <c r="AL174" s="25"/>
      <c r="AM174" s="25">
        <v>10</v>
      </c>
      <c r="AN174" s="25"/>
      <c r="AO174" s="25">
        <f t="shared" si="61"/>
        <v>10</v>
      </c>
      <c r="AP174" s="13"/>
      <c r="AQ174" s="21"/>
      <c r="AR174" s="21"/>
      <c r="AS174" s="21"/>
      <c r="AT174" s="21"/>
      <c r="AU174" s="21"/>
      <c r="AV174" s="21"/>
      <c r="AW174" s="21"/>
      <c r="AX174" s="21"/>
      <c r="AY174" s="77"/>
      <c r="AZ174" s="21"/>
      <c r="BA174" s="21"/>
      <c r="BB174" s="21"/>
      <c r="BC174" s="21"/>
      <c r="BD174" s="21"/>
      <c r="BE174" s="21"/>
      <c r="BF174" s="77"/>
      <c r="BG174" s="21"/>
      <c r="BH174" s="21"/>
      <c r="BI174" s="21">
        <v>5</v>
      </c>
      <c r="BJ174" s="21">
        <v>5</v>
      </c>
      <c r="BK174" s="21"/>
      <c r="BL174" s="21"/>
      <c r="BM174" s="77"/>
      <c r="BN174" s="21"/>
      <c r="BO174" s="21"/>
      <c r="BP174" s="21"/>
      <c r="BQ174" s="21"/>
      <c r="BR174" s="21"/>
      <c r="BS174" s="21"/>
      <c r="BT174" s="96">
        <f t="shared" si="48"/>
        <v>10</v>
      </c>
      <c r="BU174" s="94">
        <f t="shared" si="49"/>
        <v>0</v>
      </c>
      <c r="BV174" s="26"/>
      <c r="BW174" s="27"/>
      <c r="BX174" s="19" t="s">
        <v>380</v>
      </c>
      <c r="BY174" s="19" t="b">
        <f t="shared" si="62"/>
        <v>1</v>
      </c>
      <c r="BZ174" s="53" t="s">
        <v>380</v>
      </c>
      <c r="CA174" s="19" t="s">
        <v>1159</v>
      </c>
      <c r="CB174" s="19" t="s">
        <v>1150</v>
      </c>
      <c r="CC174" s="19" t="s">
        <v>1151</v>
      </c>
      <c r="CD174" s="19" t="s">
        <v>1152</v>
      </c>
      <c r="CE174" s="19" t="s">
        <v>1153</v>
      </c>
      <c r="CF174" s="19" t="s">
        <v>1160</v>
      </c>
      <c r="CG174" s="19" t="s">
        <v>1161</v>
      </c>
      <c r="CH174" s="19" t="s">
        <v>1162</v>
      </c>
      <c r="CI174" s="19" t="s">
        <v>1163</v>
      </c>
      <c r="CJ174" s="19" t="s">
        <v>1164</v>
      </c>
      <c r="CK174" s="19" t="s">
        <v>1165</v>
      </c>
      <c r="CL174" s="19" t="s">
        <v>1166</v>
      </c>
      <c r="CM174" s="19" t="s">
        <v>1167</v>
      </c>
      <c r="CN174" s="19" t="s">
        <v>1154</v>
      </c>
      <c r="CO174" s="19" t="s">
        <v>1155</v>
      </c>
      <c r="CP174" s="19" t="s">
        <v>1156</v>
      </c>
      <c r="CQ174" s="19" t="s">
        <v>1157</v>
      </c>
      <c r="CR174" s="19" t="s">
        <v>1168</v>
      </c>
      <c r="CS174" s="19" t="s">
        <v>1169</v>
      </c>
      <c r="CT174" s="19" t="s">
        <v>1170</v>
      </c>
      <c r="CU174" s="19" t="s">
        <v>1171</v>
      </c>
      <c r="CV174" s="19"/>
      <c r="CW174" s="19"/>
      <c r="CX174" s="19"/>
      <c r="CY174" s="19"/>
      <c r="CZ174" s="19"/>
      <c r="DA174" s="19"/>
      <c r="DB174" s="19"/>
      <c r="DC174" s="19"/>
    </row>
    <row r="175" spans="1:107" s="7" customFormat="1" x14ac:dyDescent="0.25">
      <c r="A175" s="19" t="s">
        <v>228</v>
      </c>
      <c r="B175" s="19" t="s">
        <v>80</v>
      </c>
      <c r="C175" s="19" t="str">
        <f t="shared" si="60"/>
        <v>11151231India</v>
      </c>
      <c r="D175" s="19">
        <v>11151231</v>
      </c>
      <c r="E175" s="19" t="s">
        <v>1850</v>
      </c>
      <c r="F175" s="19" t="s">
        <v>261</v>
      </c>
      <c r="G175" s="20" t="s">
        <v>1850</v>
      </c>
      <c r="H175" s="19"/>
      <c r="I175" s="19" t="s">
        <v>230</v>
      </c>
      <c r="J175" s="19" t="s">
        <v>487</v>
      </c>
      <c r="K175" s="19" t="s">
        <v>1851</v>
      </c>
      <c r="L175" s="19" t="s">
        <v>1821</v>
      </c>
      <c r="M175" s="19" t="s">
        <v>1852</v>
      </c>
      <c r="N175" s="19" t="s">
        <v>284</v>
      </c>
      <c r="O175" s="19" t="s">
        <v>270</v>
      </c>
      <c r="P175" s="51" t="s">
        <v>285</v>
      </c>
      <c r="Q175" s="19" t="s">
        <v>223</v>
      </c>
      <c r="R175" s="19">
        <v>7750</v>
      </c>
      <c r="S175" s="19" t="s">
        <v>1853</v>
      </c>
      <c r="T175" s="19" t="s">
        <v>488</v>
      </c>
      <c r="U175" s="20" t="s">
        <v>488</v>
      </c>
      <c r="V175" s="19" t="s">
        <v>1809</v>
      </c>
      <c r="W175" s="19" t="s">
        <v>219</v>
      </c>
      <c r="X175" s="35"/>
      <c r="Y175" s="35"/>
      <c r="Z175" s="32"/>
      <c r="AA175" s="22">
        <v>13</v>
      </c>
      <c r="AB175" s="22"/>
      <c r="AC175" s="22"/>
      <c r="AD175" s="22"/>
      <c r="AE175" s="61">
        <f t="shared" si="57"/>
        <v>13</v>
      </c>
      <c r="AF175" s="22"/>
      <c r="AG175" s="40">
        <f t="shared" si="58"/>
        <v>13</v>
      </c>
      <c r="AH175" s="24">
        <v>2</v>
      </c>
      <c r="AI175" s="24"/>
      <c r="AJ175" s="23">
        <f t="shared" si="59"/>
        <v>11</v>
      </c>
      <c r="AK175" s="25"/>
      <c r="AL175" s="25"/>
      <c r="AM175" s="25"/>
      <c r="AN175" s="25"/>
      <c r="AO175" s="25">
        <f t="shared" si="61"/>
        <v>0</v>
      </c>
      <c r="AP175" s="13">
        <v>2</v>
      </c>
      <c r="AQ175" s="21"/>
      <c r="AR175" s="21"/>
      <c r="AS175" s="21">
        <v>2</v>
      </c>
      <c r="AT175" s="21"/>
      <c r="AU175" s="21"/>
      <c r="AV175" s="21"/>
      <c r="AW175" s="21"/>
      <c r="AX175" s="21"/>
      <c r="AY175" s="77"/>
      <c r="AZ175" s="21"/>
      <c r="BA175" s="21"/>
      <c r="BB175" s="21"/>
      <c r="BC175" s="21"/>
      <c r="BD175" s="21"/>
      <c r="BE175" s="21"/>
      <c r="BF175" s="77"/>
      <c r="BG175" s="21"/>
      <c r="BH175" s="21"/>
      <c r="BI175" s="21"/>
      <c r="BJ175" s="21"/>
      <c r="BK175" s="21"/>
      <c r="BL175" s="21"/>
      <c r="BM175" s="77"/>
      <c r="BN175" s="21"/>
      <c r="BO175" s="21"/>
      <c r="BP175" s="21"/>
      <c r="BQ175" s="21"/>
      <c r="BR175" s="21"/>
      <c r="BS175" s="21"/>
      <c r="BT175" s="96">
        <f t="shared" si="48"/>
        <v>2</v>
      </c>
      <c r="BU175" s="94">
        <f t="shared" si="49"/>
        <v>-2</v>
      </c>
      <c r="BV175" s="26"/>
      <c r="BW175" s="27"/>
      <c r="BX175" s="19" t="s">
        <v>1850</v>
      </c>
      <c r="BY175" s="19" t="b">
        <f t="shared" si="62"/>
        <v>1</v>
      </c>
      <c r="BZ175" s="53" t="s">
        <v>1850</v>
      </c>
      <c r="CA175" s="19" t="s">
        <v>1930</v>
      </c>
      <c r="CB175" s="19"/>
      <c r="CC175" s="19"/>
      <c r="CD175" s="19"/>
      <c r="CE175" s="19"/>
      <c r="CF175" s="19"/>
      <c r="CG175" s="19"/>
      <c r="CH175" s="19" t="s">
        <v>1931</v>
      </c>
      <c r="CI175" s="19" t="s">
        <v>1932</v>
      </c>
      <c r="CJ175" s="19" t="s">
        <v>1933</v>
      </c>
      <c r="CK175" s="19" t="s">
        <v>1934</v>
      </c>
      <c r="CL175" s="19" t="s">
        <v>1935</v>
      </c>
      <c r="CM175" s="19" t="s">
        <v>1936</v>
      </c>
      <c r="CN175" s="19"/>
      <c r="CO175" s="19"/>
      <c r="CP175" s="19" t="s">
        <v>1917</v>
      </c>
      <c r="CQ175" s="19" t="s">
        <v>1918</v>
      </c>
      <c r="CR175" s="19"/>
      <c r="CS175" s="19"/>
      <c r="CT175" s="19" t="s">
        <v>1937</v>
      </c>
      <c r="CU175" s="19" t="s">
        <v>1937</v>
      </c>
      <c r="CV175" s="19"/>
      <c r="CW175" s="19"/>
      <c r="CX175" s="19"/>
      <c r="CY175" s="19"/>
      <c r="CZ175" s="19"/>
      <c r="DA175" s="19"/>
      <c r="DB175" s="19"/>
      <c r="DC175" s="19"/>
    </row>
    <row r="176" spans="1:107" s="7" customFormat="1" x14ac:dyDescent="0.25">
      <c r="A176" s="57" t="s">
        <v>224</v>
      </c>
      <c r="B176" s="57" t="s">
        <v>224</v>
      </c>
      <c r="C176" s="19" t="str">
        <f t="shared" si="60"/>
        <v>11152905NPI Proj</v>
      </c>
      <c r="D176" s="57">
        <v>11152905</v>
      </c>
      <c r="E176" s="19" t="s">
        <v>229</v>
      </c>
      <c r="F176" s="19" t="s">
        <v>261</v>
      </c>
      <c r="G176" s="75" t="s">
        <v>229</v>
      </c>
      <c r="H176" s="19"/>
      <c r="I176" s="57" t="s">
        <v>491</v>
      </c>
      <c r="J176" s="57" t="s">
        <v>487</v>
      </c>
      <c r="K176" s="57" t="s">
        <v>492</v>
      </c>
      <c r="L176" s="57" t="s">
        <v>361</v>
      </c>
      <c r="M176" s="57" t="s">
        <v>362</v>
      </c>
      <c r="N176" s="57" t="s">
        <v>284</v>
      </c>
      <c r="O176" s="57" t="s">
        <v>270</v>
      </c>
      <c r="P176" s="91" t="s">
        <v>285</v>
      </c>
      <c r="Q176" s="57" t="s">
        <v>223</v>
      </c>
      <c r="R176" s="57">
        <v>7750</v>
      </c>
      <c r="S176" s="57" t="s">
        <v>272</v>
      </c>
      <c r="T176" s="57" t="s">
        <v>488</v>
      </c>
      <c r="U176" s="75" t="s">
        <v>488</v>
      </c>
      <c r="V176" s="19" t="s">
        <v>1615</v>
      </c>
      <c r="W176" s="19"/>
      <c r="X176" s="35">
        <v>2</v>
      </c>
      <c r="Y176" s="35">
        <v>2</v>
      </c>
      <c r="Z176" s="32"/>
      <c r="AA176" s="22">
        <v>1</v>
      </c>
      <c r="AB176" s="22"/>
      <c r="AC176" s="22">
        <v>1</v>
      </c>
      <c r="AD176" s="22"/>
      <c r="AE176" s="61">
        <f t="shared" si="57"/>
        <v>2</v>
      </c>
      <c r="AF176" s="22"/>
      <c r="AG176" s="40">
        <f t="shared" si="58"/>
        <v>2</v>
      </c>
      <c r="AH176" s="24"/>
      <c r="AI176" s="24"/>
      <c r="AJ176" s="23">
        <f t="shared" si="59"/>
        <v>2</v>
      </c>
      <c r="AK176" s="25"/>
      <c r="AL176" s="25"/>
      <c r="AM176" s="25"/>
      <c r="AN176" s="25"/>
      <c r="AO176" s="25">
        <f t="shared" si="61"/>
        <v>0</v>
      </c>
      <c r="AP176" s="13"/>
      <c r="AQ176" s="21"/>
      <c r="AR176" s="21"/>
      <c r="AS176" s="21"/>
      <c r="AT176" s="21"/>
      <c r="AU176" s="21"/>
      <c r="AV176" s="21"/>
      <c r="AW176" s="21"/>
      <c r="AX176" s="21"/>
      <c r="AY176" s="77"/>
      <c r="AZ176" s="21"/>
      <c r="BA176" s="21"/>
      <c r="BB176" s="21"/>
      <c r="BC176" s="21"/>
      <c r="BD176" s="21"/>
      <c r="BE176" s="21"/>
      <c r="BF176" s="77"/>
      <c r="BG176" s="21"/>
      <c r="BH176" s="21"/>
      <c r="BI176" s="21"/>
      <c r="BJ176" s="21"/>
      <c r="BK176" s="21"/>
      <c r="BL176" s="21"/>
      <c r="BM176" s="77"/>
      <c r="BN176" s="21"/>
      <c r="BO176" s="21"/>
      <c r="BP176" s="21"/>
      <c r="BQ176" s="21"/>
      <c r="BR176" s="21"/>
      <c r="BS176" s="21"/>
      <c r="BT176" s="96">
        <f t="shared" si="48"/>
        <v>0</v>
      </c>
      <c r="BU176" s="94">
        <f t="shared" si="49"/>
        <v>0</v>
      </c>
      <c r="BV176" s="26" t="s">
        <v>2022</v>
      </c>
      <c r="BW176" s="27"/>
      <c r="BX176" s="19" t="s">
        <v>229</v>
      </c>
      <c r="BY176" s="19" t="b">
        <f t="shared" si="62"/>
        <v>0</v>
      </c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  <c r="CO176" s="19"/>
      <c r="CP176" s="19"/>
      <c r="CQ176" s="19"/>
      <c r="CR176" s="19"/>
      <c r="CS176" s="19"/>
      <c r="CT176" s="19"/>
      <c r="CU176" s="19"/>
      <c r="CV176" s="19"/>
      <c r="CW176" s="19"/>
      <c r="CX176" s="19"/>
      <c r="CY176" s="19"/>
      <c r="CZ176" s="19"/>
      <c r="DA176" s="19"/>
      <c r="DB176" s="19"/>
      <c r="DC176" s="19"/>
    </row>
    <row r="177" spans="1:107" s="7" customFormat="1" x14ac:dyDescent="0.25">
      <c r="A177" s="57" t="s">
        <v>224</v>
      </c>
      <c r="B177" s="57" t="s">
        <v>224</v>
      </c>
      <c r="C177" s="19" t="str">
        <f t="shared" si="60"/>
        <v>11153079NPI Proj</v>
      </c>
      <c r="D177" s="57">
        <v>11153079</v>
      </c>
      <c r="E177" s="19" t="s">
        <v>229</v>
      </c>
      <c r="F177" s="19" t="s">
        <v>261</v>
      </c>
      <c r="G177" s="75" t="s">
        <v>229</v>
      </c>
      <c r="H177" s="19"/>
      <c r="I177" s="57" t="s">
        <v>491</v>
      </c>
      <c r="J177" s="57" t="s">
        <v>487</v>
      </c>
      <c r="K177" s="57" t="s">
        <v>492</v>
      </c>
      <c r="L177" s="57" t="s">
        <v>361</v>
      </c>
      <c r="M177" s="57" t="s">
        <v>362</v>
      </c>
      <c r="N177" s="57" t="s">
        <v>284</v>
      </c>
      <c r="O177" s="57" t="s">
        <v>270</v>
      </c>
      <c r="P177" s="91" t="s">
        <v>285</v>
      </c>
      <c r="Q177" s="57" t="s">
        <v>223</v>
      </c>
      <c r="R177" s="57">
        <v>7750</v>
      </c>
      <c r="S177" s="57" t="s">
        <v>272</v>
      </c>
      <c r="T177" s="57" t="s">
        <v>488</v>
      </c>
      <c r="U177" s="75" t="s">
        <v>488</v>
      </c>
      <c r="V177" s="19" t="s">
        <v>1997</v>
      </c>
      <c r="W177" s="19"/>
      <c r="X177" s="35">
        <v>4</v>
      </c>
      <c r="Y177" s="35"/>
      <c r="Z177" s="32"/>
      <c r="AA177" s="22">
        <v>1</v>
      </c>
      <c r="AB177" s="22">
        <v>1</v>
      </c>
      <c r="AC177" s="22">
        <v>1</v>
      </c>
      <c r="AD177" s="22"/>
      <c r="AE177" s="61">
        <f t="shared" si="57"/>
        <v>3</v>
      </c>
      <c r="AF177" s="22"/>
      <c r="AG177" s="40">
        <f t="shared" si="58"/>
        <v>3</v>
      </c>
      <c r="AH177" s="24"/>
      <c r="AI177" s="24"/>
      <c r="AJ177" s="23">
        <f t="shared" si="59"/>
        <v>3</v>
      </c>
      <c r="AK177" s="25"/>
      <c r="AL177" s="25"/>
      <c r="AM177" s="25"/>
      <c r="AN177" s="25"/>
      <c r="AO177" s="25">
        <f t="shared" si="61"/>
        <v>0</v>
      </c>
      <c r="AP177" s="13"/>
      <c r="AQ177" s="21"/>
      <c r="AR177" s="21"/>
      <c r="AS177" s="21"/>
      <c r="AT177" s="21"/>
      <c r="AU177" s="21"/>
      <c r="AV177" s="21"/>
      <c r="AW177" s="21"/>
      <c r="AX177" s="21"/>
      <c r="AY177" s="77"/>
      <c r="AZ177" s="21"/>
      <c r="BA177" s="21"/>
      <c r="BB177" s="21"/>
      <c r="BC177" s="21"/>
      <c r="BD177" s="21"/>
      <c r="BE177" s="21"/>
      <c r="BF177" s="77"/>
      <c r="BG177" s="21"/>
      <c r="BH177" s="21"/>
      <c r="BI177" s="21"/>
      <c r="BJ177" s="21"/>
      <c r="BK177" s="21"/>
      <c r="BL177" s="21"/>
      <c r="BM177" s="77"/>
      <c r="BN177" s="21"/>
      <c r="BO177" s="21"/>
      <c r="BP177" s="21"/>
      <c r="BQ177" s="21"/>
      <c r="BR177" s="21"/>
      <c r="BS177" s="21"/>
      <c r="BT177" s="96">
        <f t="shared" si="48"/>
        <v>0</v>
      </c>
      <c r="BU177" s="94">
        <f t="shared" si="49"/>
        <v>0</v>
      </c>
      <c r="BV177" s="26" t="s">
        <v>2022</v>
      </c>
      <c r="BW177" s="27"/>
      <c r="BX177" s="19" t="s">
        <v>229</v>
      </c>
      <c r="BY177" s="19" t="b">
        <f t="shared" si="62"/>
        <v>0</v>
      </c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  <c r="CO177" s="19"/>
      <c r="CP177" s="19"/>
      <c r="CQ177" s="19"/>
      <c r="CR177" s="19"/>
      <c r="CS177" s="19"/>
      <c r="CT177" s="19"/>
      <c r="CU177" s="19"/>
      <c r="CV177" s="19"/>
      <c r="CW177" s="19"/>
      <c r="CX177" s="19"/>
      <c r="CY177" s="19"/>
      <c r="CZ177" s="19"/>
      <c r="DA177" s="19"/>
      <c r="DB177" s="19"/>
      <c r="DC177" s="19"/>
    </row>
    <row r="178" spans="1:107" s="7" customFormat="1" x14ac:dyDescent="0.25">
      <c r="A178" s="57" t="s">
        <v>224</v>
      </c>
      <c r="B178" s="57" t="s">
        <v>224</v>
      </c>
      <c r="C178" s="19" t="str">
        <f t="shared" si="60"/>
        <v>11152967NPI Proj</v>
      </c>
      <c r="D178" s="57">
        <v>11152967</v>
      </c>
      <c r="E178" s="19" t="s">
        <v>229</v>
      </c>
      <c r="F178" s="19" t="s">
        <v>261</v>
      </c>
      <c r="G178" s="75" t="s">
        <v>229</v>
      </c>
      <c r="H178" s="19"/>
      <c r="I178" s="57" t="s">
        <v>491</v>
      </c>
      <c r="J178" s="57" t="s">
        <v>487</v>
      </c>
      <c r="K178" s="57" t="s">
        <v>492</v>
      </c>
      <c r="L178" s="57" t="s">
        <v>361</v>
      </c>
      <c r="M178" s="57" t="s">
        <v>362</v>
      </c>
      <c r="N178" s="57" t="s">
        <v>284</v>
      </c>
      <c r="O178" s="57" t="s">
        <v>270</v>
      </c>
      <c r="P178" s="91" t="s">
        <v>285</v>
      </c>
      <c r="Q178" s="57" t="s">
        <v>223</v>
      </c>
      <c r="R178" s="57">
        <v>7750</v>
      </c>
      <c r="S178" s="57" t="s">
        <v>1856</v>
      </c>
      <c r="T178" s="57" t="s">
        <v>488</v>
      </c>
      <c r="U178" s="75" t="s">
        <v>488</v>
      </c>
      <c r="V178" s="19" t="s">
        <v>1616</v>
      </c>
      <c r="W178" s="19"/>
      <c r="X178" s="35">
        <v>2</v>
      </c>
      <c r="Y178" s="35">
        <v>2</v>
      </c>
      <c r="Z178" s="32"/>
      <c r="AA178" s="22">
        <v>1</v>
      </c>
      <c r="AB178" s="22"/>
      <c r="AC178" s="22">
        <v>1</v>
      </c>
      <c r="AD178" s="22"/>
      <c r="AE178" s="61">
        <f t="shared" si="57"/>
        <v>2</v>
      </c>
      <c r="AF178" s="22"/>
      <c r="AG178" s="40">
        <f t="shared" si="58"/>
        <v>2</v>
      </c>
      <c r="AH178" s="24"/>
      <c r="AI178" s="24"/>
      <c r="AJ178" s="23">
        <f t="shared" si="59"/>
        <v>2</v>
      </c>
      <c r="AK178" s="25"/>
      <c r="AL178" s="25"/>
      <c r="AM178" s="25"/>
      <c r="AN178" s="25"/>
      <c r="AO178" s="25">
        <f t="shared" si="61"/>
        <v>0</v>
      </c>
      <c r="AP178" s="13"/>
      <c r="AQ178" s="21"/>
      <c r="AR178" s="21"/>
      <c r="AS178" s="21"/>
      <c r="AT178" s="21"/>
      <c r="AU178" s="21"/>
      <c r="AV178" s="21"/>
      <c r="AW178" s="21"/>
      <c r="AX178" s="21"/>
      <c r="AY178" s="77"/>
      <c r="AZ178" s="21"/>
      <c r="BA178" s="21"/>
      <c r="BB178" s="21"/>
      <c r="BC178" s="21"/>
      <c r="BD178" s="21"/>
      <c r="BE178" s="21"/>
      <c r="BF178" s="77"/>
      <c r="BG178" s="21"/>
      <c r="BH178" s="21"/>
      <c r="BI178" s="21"/>
      <c r="BJ178" s="21"/>
      <c r="BK178" s="21"/>
      <c r="BL178" s="21"/>
      <c r="BM178" s="77"/>
      <c r="BN178" s="21"/>
      <c r="BO178" s="21"/>
      <c r="BP178" s="21"/>
      <c r="BQ178" s="21"/>
      <c r="BR178" s="21"/>
      <c r="BS178" s="21"/>
      <c r="BT178" s="96">
        <f t="shared" si="48"/>
        <v>0</v>
      </c>
      <c r="BU178" s="94">
        <f t="shared" si="49"/>
        <v>0</v>
      </c>
      <c r="BV178" s="26" t="s">
        <v>2022</v>
      </c>
      <c r="BW178" s="27"/>
      <c r="BX178" s="19" t="s">
        <v>229</v>
      </c>
      <c r="BY178" s="19" t="b">
        <f t="shared" si="62"/>
        <v>0</v>
      </c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  <c r="CO178" s="19"/>
      <c r="CP178" s="19"/>
      <c r="CQ178" s="19"/>
      <c r="CR178" s="19"/>
      <c r="CS178" s="19"/>
      <c r="CT178" s="19"/>
      <c r="CU178" s="19"/>
      <c r="CV178" s="19"/>
      <c r="CW178" s="19"/>
      <c r="CX178" s="19"/>
      <c r="CY178" s="19"/>
      <c r="CZ178" s="19"/>
      <c r="DA178" s="19"/>
      <c r="DB178" s="19"/>
      <c r="DC178" s="19"/>
    </row>
    <row r="179" spans="1:107" s="7" customFormat="1" x14ac:dyDescent="0.25">
      <c r="A179" s="57" t="s">
        <v>224</v>
      </c>
      <c r="B179" s="57" t="s">
        <v>224</v>
      </c>
      <c r="C179" s="19" t="str">
        <f t="shared" si="60"/>
        <v>BPCH2001NPI Proj</v>
      </c>
      <c r="D179" s="57" t="s">
        <v>1815</v>
      </c>
      <c r="E179" s="19" t="s">
        <v>229</v>
      </c>
      <c r="F179" s="19" t="s">
        <v>261</v>
      </c>
      <c r="G179" s="75" t="s">
        <v>229</v>
      </c>
      <c r="H179" s="19"/>
      <c r="I179" s="57" t="s">
        <v>491</v>
      </c>
      <c r="J179" s="57" t="s">
        <v>487</v>
      </c>
      <c r="K179" s="57" t="s">
        <v>492</v>
      </c>
      <c r="L179" s="57" t="s">
        <v>361</v>
      </c>
      <c r="M179" s="57" t="s">
        <v>362</v>
      </c>
      <c r="N179" s="57" t="s">
        <v>284</v>
      </c>
      <c r="O179" s="57" t="s">
        <v>270</v>
      </c>
      <c r="P179" s="91" t="s">
        <v>285</v>
      </c>
      <c r="Q179" s="57" t="s">
        <v>223</v>
      </c>
      <c r="R179" s="57">
        <v>7750</v>
      </c>
      <c r="S179" s="57" t="s">
        <v>272</v>
      </c>
      <c r="T179" s="57" t="s">
        <v>488</v>
      </c>
      <c r="U179" s="75" t="s">
        <v>488</v>
      </c>
      <c r="V179" s="57" t="s">
        <v>226</v>
      </c>
      <c r="W179" s="19"/>
      <c r="X179" s="35"/>
      <c r="Y179" s="35"/>
      <c r="Z179" s="32"/>
      <c r="AA179" s="22">
        <v>1</v>
      </c>
      <c r="AB179" s="22"/>
      <c r="AC179" s="22"/>
      <c r="AD179" s="22"/>
      <c r="AE179" s="61">
        <f t="shared" si="57"/>
        <v>1</v>
      </c>
      <c r="AF179" s="22"/>
      <c r="AG179" s="40">
        <f t="shared" si="58"/>
        <v>1</v>
      </c>
      <c r="AH179" s="24"/>
      <c r="AI179" s="24"/>
      <c r="AJ179" s="23">
        <f t="shared" si="59"/>
        <v>1</v>
      </c>
      <c r="AK179" s="25"/>
      <c r="AL179" s="25"/>
      <c r="AM179" s="25"/>
      <c r="AN179" s="25"/>
      <c r="AO179" s="25">
        <f t="shared" si="61"/>
        <v>0</v>
      </c>
      <c r="AP179" s="13"/>
      <c r="AQ179" s="21"/>
      <c r="AR179" s="21"/>
      <c r="AS179" s="21"/>
      <c r="AT179" s="21"/>
      <c r="AU179" s="21"/>
      <c r="AV179" s="21"/>
      <c r="AW179" s="21"/>
      <c r="AX179" s="21"/>
      <c r="AY179" s="77"/>
      <c r="AZ179" s="21"/>
      <c r="BA179" s="21"/>
      <c r="BB179" s="21"/>
      <c r="BC179" s="21"/>
      <c r="BD179" s="21"/>
      <c r="BE179" s="21"/>
      <c r="BF179" s="77"/>
      <c r="BG179" s="21"/>
      <c r="BH179" s="21"/>
      <c r="BI179" s="21"/>
      <c r="BJ179" s="21"/>
      <c r="BK179" s="21"/>
      <c r="BL179" s="21"/>
      <c r="BM179" s="77"/>
      <c r="BN179" s="21"/>
      <c r="BO179" s="21"/>
      <c r="BP179" s="21"/>
      <c r="BQ179" s="21"/>
      <c r="BR179" s="21"/>
      <c r="BS179" s="21"/>
      <c r="BT179" s="96">
        <f t="shared" si="48"/>
        <v>0</v>
      </c>
      <c r="BU179" s="94">
        <f t="shared" si="49"/>
        <v>0</v>
      </c>
      <c r="BV179" s="26" t="s">
        <v>2022</v>
      </c>
      <c r="BW179" s="27"/>
      <c r="BX179" s="19" t="s">
        <v>229</v>
      </c>
      <c r="BY179" s="19" t="b">
        <f t="shared" si="62"/>
        <v>0</v>
      </c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  <c r="CO179" s="19"/>
      <c r="CP179" s="19"/>
      <c r="CQ179" s="19"/>
      <c r="CR179" s="19"/>
      <c r="CS179" s="19"/>
      <c r="CT179" s="19"/>
      <c r="CU179" s="19"/>
      <c r="CV179" s="19"/>
      <c r="CW179" s="19"/>
      <c r="CX179" s="19"/>
      <c r="CY179" s="19"/>
      <c r="CZ179" s="19"/>
      <c r="DA179" s="19"/>
      <c r="DB179" s="19"/>
      <c r="DC179" s="19"/>
    </row>
    <row r="180" spans="1:107" s="7" customFormat="1" x14ac:dyDescent="0.25">
      <c r="A180" s="57" t="s">
        <v>224</v>
      </c>
      <c r="B180" s="57" t="s">
        <v>224</v>
      </c>
      <c r="C180" s="19" t="str">
        <f t="shared" si="60"/>
        <v>10153320NPI Proj</v>
      </c>
      <c r="D180" s="57">
        <v>10153320</v>
      </c>
      <c r="E180" s="19" t="s">
        <v>229</v>
      </c>
      <c r="F180" s="19" t="s">
        <v>261</v>
      </c>
      <c r="G180" s="75" t="s">
        <v>229</v>
      </c>
      <c r="H180" s="19"/>
      <c r="I180" s="57" t="s">
        <v>491</v>
      </c>
      <c r="J180" s="57" t="s">
        <v>487</v>
      </c>
      <c r="K180" s="57" t="s">
        <v>492</v>
      </c>
      <c r="L180" s="57" t="s">
        <v>361</v>
      </c>
      <c r="M180" s="57" t="s">
        <v>362</v>
      </c>
      <c r="N180" s="57" t="s">
        <v>284</v>
      </c>
      <c r="O180" s="57" t="s">
        <v>270</v>
      </c>
      <c r="P180" s="91" t="s">
        <v>285</v>
      </c>
      <c r="Q180" s="57" t="s">
        <v>223</v>
      </c>
      <c r="R180" s="57">
        <v>7750</v>
      </c>
      <c r="S180" s="57" t="s">
        <v>272</v>
      </c>
      <c r="T180" s="57" t="s">
        <v>488</v>
      </c>
      <c r="U180" s="75" t="s">
        <v>488</v>
      </c>
      <c r="V180" s="57" t="s">
        <v>1817</v>
      </c>
      <c r="W180" s="19"/>
      <c r="X180" s="35"/>
      <c r="Y180" s="35"/>
      <c r="Z180" s="32"/>
      <c r="AA180" s="22">
        <v>3</v>
      </c>
      <c r="AB180" s="22">
        <v>1</v>
      </c>
      <c r="AC180" s="22"/>
      <c r="AD180" s="22"/>
      <c r="AE180" s="61">
        <f t="shared" si="57"/>
        <v>4</v>
      </c>
      <c r="AF180" s="22"/>
      <c r="AG180" s="40">
        <f t="shared" si="58"/>
        <v>4</v>
      </c>
      <c r="AH180" s="24"/>
      <c r="AI180" s="24"/>
      <c r="AJ180" s="23">
        <f t="shared" si="59"/>
        <v>4</v>
      </c>
      <c r="AK180" s="25"/>
      <c r="AL180" s="25"/>
      <c r="AM180" s="25"/>
      <c r="AN180" s="25"/>
      <c r="AO180" s="25">
        <f t="shared" si="61"/>
        <v>0</v>
      </c>
      <c r="AP180" s="13"/>
      <c r="AQ180" s="21"/>
      <c r="AR180" s="21"/>
      <c r="AS180" s="21"/>
      <c r="AT180" s="21"/>
      <c r="AU180" s="21"/>
      <c r="AV180" s="21"/>
      <c r="AW180" s="21"/>
      <c r="AX180" s="21"/>
      <c r="AY180" s="77"/>
      <c r="AZ180" s="21"/>
      <c r="BA180" s="21"/>
      <c r="BB180" s="21"/>
      <c r="BC180" s="21"/>
      <c r="BD180" s="21"/>
      <c r="BE180" s="21"/>
      <c r="BF180" s="77"/>
      <c r="BG180" s="21"/>
      <c r="BH180" s="21"/>
      <c r="BI180" s="21"/>
      <c r="BJ180" s="21"/>
      <c r="BK180" s="21"/>
      <c r="BL180" s="21"/>
      <c r="BM180" s="77"/>
      <c r="BN180" s="21"/>
      <c r="BO180" s="21"/>
      <c r="BP180" s="21"/>
      <c r="BQ180" s="21"/>
      <c r="BR180" s="21"/>
      <c r="BS180" s="21"/>
      <c r="BT180" s="96">
        <f t="shared" si="48"/>
        <v>0</v>
      </c>
      <c r="BU180" s="94">
        <f t="shared" si="49"/>
        <v>0</v>
      </c>
      <c r="BV180" s="26" t="s">
        <v>2022</v>
      </c>
      <c r="BW180" s="27"/>
      <c r="BX180" s="19" t="s">
        <v>229</v>
      </c>
      <c r="BY180" s="19" t="b">
        <f t="shared" si="62"/>
        <v>0</v>
      </c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  <c r="CO180" s="19"/>
      <c r="CP180" s="19"/>
      <c r="CQ180" s="19"/>
      <c r="CR180" s="19"/>
      <c r="CS180" s="19"/>
      <c r="CT180" s="19"/>
      <c r="CU180" s="19"/>
      <c r="CV180" s="19"/>
      <c r="CW180" s="19"/>
      <c r="CX180" s="19"/>
      <c r="CY180" s="19"/>
      <c r="CZ180" s="19"/>
      <c r="DA180" s="19"/>
      <c r="DB180" s="19"/>
      <c r="DC180" s="19"/>
    </row>
    <row r="181" spans="1:107" s="7" customFormat="1" x14ac:dyDescent="0.25">
      <c r="A181" s="57" t="s">
        <v>224</v>
      </c>
      <c r="B181" s="57" t="s">
        <v>224</v>
      </c>
      <c r="C181" s="19" t="str">
        <f t="shared" si="60"/>
        <v>10153271PNPI Proj</v>
      </c>
      <c r="D181" s="57" t="s">
        <v>1566</v>
      </c>
      <c r="E181" s="19" t="s">
        <v>229</v>
      </c>
      <c r="F181" s="19" t="s">
        <v>261</v>
      </c>
      <c r="G181" s="75" t="s">
        <v>229</v>
      </c>
      <c r="H181" s="19"/>
      <c r="I181" s="57" t="s">
        <v>491</v>
      </c>
      <c r="J181" s="57" t="s">
        <v>487</v>
      </c>
      <c r="K181" s="57" t="s">
        <v>492</v>
      </c>
      <c r="L181" s="57" t="s">
        <v>361</v>
      </c>
      <c r="M181" s="57" t="s">
        <v>362</v>
      </c>
      <c r="N181" s="57" t="s">
        <v>284</v>
      </c>
      <c r="O181" s="57" t="s">
        <v>270</v>
      </c>
      <c r="P181" s="91" t="s">
        <v>285</v>
      </c>
      <c r="Q181" s="57" t="s">
        <v>223</v>
      </c>
      <c r="R181" s="57">
        <v>7750</v>
      </c>
      <c r="S181" s="57" t="s">
        <v>272</v>
      </c>
      <c r="T181" s="57" t="s">
        <v>488</v>
      </c>
      <c r="U181" s="75" t="s">
        <v>488</v>
      </c>
      <c r="V181" s="57" t="s">
        <v>1568</v>
      </c>
      <c r="W181" s="19"/>
      <c r="X181" s="35"/>
      <c r="Y181" s="35"/>
      <c r="Z181" s="32"/>
      <c r="AA181" s="22"/>
      <c r="AB181" s="22"/>
      <c r="AC181" s="22">
        <v>1</v>
      </c>
      <c r="AD181" s="22"/>
      <c r="AE181" s="61">
        <f t="shared" si="57"/>
        <v>1</v>
      </c>
      <c r="AF181" s="22"/>
      <c r="AG181" s="40">
        <f t="shared" si="58"/>
        <v>1</v>
      </c>
      <c r="AH181" s="24"/>
      <c r="AI181" s="24"/>
      <c r="AJ181" s="23">
        <f t="shared" si="59"/>
        <v>1</v>
      </c>
      <c r="AK181" s="25"/>
      <c r="AL181" s="25"/>
      <c r="AM181" s="25"/>
      <c r="AN181" s="25"/>
      <c r="AO181" s="25">
        <f t="shared" si="61"/>
        <v>0</v>
      </c>
      <c r="AP181" s="13"/>
      <c r="AQ181" s="21"/>
      <c r="AR181" s="21"/>
      <c r="AS181" s="21"/>
      <c r="AT181" s="21"/>
      <c r="AU181" s="21"/>
      <c r="AV181" s="21"/>
      <c r="AW181" s="21"/>
      <c r="AX181" s="21"/>
      <c r="AY181" s="77"/>
      <c r="AZ181" s="21"/>
      <c r="BA181" s="21"/>
      <c r="BB181" s="21"/>
      <c r="BC181" s="21"/>
      <c r="BD181" s="21"/>
      <c r="BE181" s="21"/>
      <c r="BF181" s="77"/>
      <c r="BG181" s="21"/>
      <c r="BH181" s="21"/>
      <c r="BI181" s="21"/>
      <c r="BJ181" s="21"/>
      <c r="BK181" s="21"/>
      <c r="BL181" s="21"/>
      <c r="BM181" s="77"/>
      <c r="BN181" s="21"/>
      <c r="BO181" s="21"/>
      <c r="BP181" s="21"/>
      <c r="BQ181" s="21"/>
      <c r="BR181" s="21"/>
      <c r="BS181" s="21"/>
      <c r="BT181" s="96">
        <f t="shared" si="48"/>
        <v>0</v>
      </c>
      <c r="BU181" s="94">
        <f t="shared" si="49"/>
        <v>0</v>
      </c>
      <c r="BV181" s="26" t="s">
        <v>2022</v>
      </c>
      <c r="BW181" s="27"/>
      <c r="BX181" s="19" t="s">
        <v>229</v>
      </c>
      <c r="BY181" s="19" t="b">
        <f t="shared" si="62"/>
        <v>0</v>
      </c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  <c r="CO181" s="19"/>
      <c r="CP181" s="19"/>
      <c r="CQ181" s="19"/>
      <c r="CR181" s="19"/>
      <c r="CS181" s="19"/>
      <c r="CT181" s="19"/>
      <c r="CU181" s="19"/>
      <c r="CV181" s="19"/>
      <c r="CW181" s="19"/>
      <c r="CX181" s="19"/>
      <c r="CY181" s="19"/>
      <c r="CZ181" s="19"/>
      <c r="DA181" s="19"/>
      <c r="DB181" s="19"/>
      <c r="DC181" s="19"/>
    </row>
    <row r="182" spans="1:107" s="7" customFormat="1" x14ac:dyDescent="0.25">
      <c r="A182" s="57" t="s">
        <v>224</v>
      </c>
      <c r="B182" s="57" t="s">
        <v>224</v>
      </c>
      <c r="C182" s="19" t="str">
        <f t="shared" si="60"/>
        <v>10153270PNPI Proj</v>
      </c>
      <c r="D182" s="57" t="s">
        <v>1567</v>
      </c>
      <c r="E182" s="19" t="s">
        <v>229</v>
      </c>
      <c r="F182" s="19" t="s">
        <v>261</v>
      </c>
      <c r="G182" s="75" t="s">
        <v>229</v>
      </c>
      <c r="H182" s="19"/>
      <c r="I182" s="57" t="s">
        <v>491</v>
      </c>
      <c r="J182" s="57" t="s">
        <v>487</v>
      </c>
      <c r="K182" s="57" t="s">
        <v>492</v>
      </c>
      <c r="L182" s="57" t="s">
        <v>361</v>
      </c>
      <c r="M182" s="57" t="s">
        <v>362</v>
      </c>
      <c r="N182" s="57" t="s">
        <v>284</v>
      </c>
      <c r="O182" s="57" t="s">
        <v>270</v>
      </c>
      <c r="P182" s="91" t="s">
        <v>285</v>
      </c>
      <c r="Q182" s="57" t="s">
        <v>223</v>
      </c>
      <c r="R182" s="57">
        <v>7750</v>
      </c>
      <c r="S182" s="57" t="s">
        <v>272</v>
      </c>
      <c r="T182" s="57" t="s">
        <v>488</v>
      </c>
      <c r="U182" s="75" t="s">
        <v>488</v>
      </c>
      <c r="V182" s="57" t="s">
        <v>1569</v>
      </c>
      <c r="W182" s="19"/>
      <c r="X182" s="35">
        <v>1</v>
      </c>
      <c r="Y182" s="35"/>
      <c r="Z182" s="32"/>
      <c r="AA182" s="22"/>
      <c r="AB182" s="22"/>
      <c r="AC182" s="22"/>
      <c r="AD182" s="22">
        <v>1</v>
      </c>
      <c r="AE182" s="61">
        <f t="shared" si="57"/>
        <v>1</v>
      </c>
      <c r="AF182" s="22"/>
      <c r="AG182" s="40">
        <f t="shared" si="58"/>
        <v>1</v>
      </c>
      <c r="AH182" s="24"/>
      <c r="AI182" s="24"/>
      <c r="AJ182" s="23">
        <f t="shared" si="59"/>
        <v>1</v>
      </c>
      <c r="AK182" s="25"/>
      <c r="AL182" s="25"/>
      <c r="AM182" s="25"/>
      <c r="AN182" s="25"/>
      <c r="AO182" s="25">
        <f t="shared" si="61"/>
        <v>0</v>
      </c>
      <c r="AP182" s="13"/>
      <c r="AQ182" s="21"/>
      <c r="AR182" s="21"/>
      <c r="AS182" s="21"/>
      <c r="AT182" s="21"/>
      <c r="AU182" s="21"/>
      <c r="AV182" s="21"/>
      <c r="AW182" s="21"/>
      <c r="AX182" s="21"/>
      <c r="AY182" s="77"/>
      <c r="AZ182" s="21"/>
      <c r="BA182" s="21"/>
      <c r="BB182" s="21"/>
      <c r="BC182" s="21"/>
      <c r="BD182" s="21"/>
      <c r="BE182" s="21"/>
      <c r="BF182" s="77"/>
      <c r="BG182" s="21"/>
      <c r="BH182" s="21"/>
      <c r="BI182" s="21"/>
      <c r="BJ182" s="21"/>
      <c r="BK182" s="21"/>
      <c r="BL182" s="21"/>
      <c r="BM182" s="77"/>
      <c r="BN182" s="21"/>
      <c r="BO182" s="21"/>
      <c r="BP182" s="21"/>
      <c r="BQ182" s="21"/>
      <c r="BR182" s="21"/>
      <c r="BS182" s="21"/>
      <c r="BT182" s="96">
        <f t="shared" si="48"/>
        <v>0</v>
      </c>
      <c r="BU182" s="94">
        <f t="shared" si="49"/>
        <v>0</v>
      </c>
      <c r="BV182" s="26" t="s">
        <v>2022</v>
      </c>
      <c r="BW182" s="27"/>
      <c r="BX182" s="19" t="s">
        <v>229</v>
      </c>
      <c r="BY182" s="19" t="b">
        <f t="shared" si="62"/>
        <v>0</v>
      </c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  <c r="CO182" s="19"/>
      <c r="CP182" s="19"/>
      <c r="CQ182" s="19"/>
      <c r="CR182" s="19"/>
      <c r="CS182" s="19"/>
      <c r="CT182" s="19"/>
      <c r="CU182" s="19"/>
      <c r="CV182" s="19"/>
      <c r="CW182" s="19"/>
      <c r="CX182" s="19"/>
      <c r="CY182" s="19"/>
      <c r="CZ182" s="19"/>
      <c r="DA182" s="19"/>
      <c r="DB182" s="19"/>
      <c r="DC182" s="19"/>
    </row>
    <row r="183" spans="1:107" s="7" customFormat="1" x14ac:dyDescent="0.25">
      <c r="A183" s="19" t="s">
        <v>228</v>
      </c>
      <c r="B183" s="19" t="s">
        <v>80</v>
      </c>
      <c r="C183" s="19" t="str">
        <f t="shared" si="60"/>
        <v>91906425India</v>
      </c>
      <c r="D183" s="19">
        <v>91906425</v>
      </c>
      <c r="E183" s="19" t="s">
        <v>292</v>
      </c>
      <c r="F183" s="19" t="s">
        <v>261</v>
      </c>
      <c r="G183" s="20" t="s">
        <v>292</v>
      </c>
      <c r="H183" s="19"/>
      <c r="I183" s="19" t="s">
        <v>230</v>
      </c>
      <c r="J183" s="19" t="s">
        <v>288</v>
      </c>
      <c r="K183" s="19" t="s">
        <v>290</v>
      </c>
      <c r="L183" s="19" t="s">
        <v>245</v>
      </c>
      <c r="M183" s="19" t="s">
        <v>234</v>
      </c>
      <c r="N183" s="19" t="s">
        <v>284</v>
      </c>
      <c r="O183" s="19" t="s">
        <v>293</v>
      </c>
      <c r="P183" s="51" t="s">
        <v>285</v>
      </c>
      <c r="Q183" s="19" t="s">
        <v>291</v>
      </c>
      <c r="R183" s="19">
        <v>7800</v>
      </c>
      <c r="S183" s="19" t="s">
        <v>239</v>
      </c>
      <c r="T183" s="19" t="s">
        <v>287</v>
      </c>
      <c r="U183" s="20" t="s">
        <v>287</v>
      </c>
      <c r="V183" s="19" t="s">
        <v>110</v>
      </c>
      <c r="W183" s="19" t="s">
        <v>221</v>
      </c>
      <c r="X183" s="35">
        <v>20</v>
      </c>
      <c r="Y183" s="35">
        <v>20</v>
      </c>
      <c r="Z183" s="32"/>
      <c r="AA183" s="22">
        <v>6</v>
      </c>
      <c r="AB183" s="22">
        <v>3</v>
      </c>
      <c r="AC183" s="22">
        <v>3</v>
      </c>
      <c r="AD183" s="22">
        <v>3</v>
      </c>
      <c r="AE183" s="61">
        <f t="shared" si="57"/>
        <v>15</v>
      </c>
      <c r="AF183" s="22"/>
      <c r="AG183" s="40">
        <f t="shared" si="58"/>
        <v>15</v>
      </c>
      <c r="AH183" s="24">
        <v>7</v>
      </c>
      <c r="AI183" s="24"/>
      <c r="AJ183" s="23">
        <f t="shared" si="59"/>
        <v>8</v>
      </c>
      <c r="AK183" s="25"/>
      <c r="AL183" s="25">
        <v>4</v>
      </c>
      <c r="AM183" s="25">
        <v>4</v>
      </c>
      <c r="AN183" s="25"/>
      <c r="AO183" s="25">
        <f t="shared" si="61"/>
        <v>8</v>
      </c>
      <c r="AP183" s="13">
        <v>7</v>
      </c>
      <c r="AQ183" s="21"/>
      <c r="AR183" s="21"/>
      <c r="AS183" s="21">
        <v>7</v>
      </c>
      <c r="AT183" s="21"/>
      <c r="AU183" s="21"/>
      <c r="AV183" s="21"/>
      <c r="AW183" s="21"/>
      <c r="AX183" s="21"/>
      <c r="AY183" s="77"/>
      <c r="AZ183" s="21"/>
      <c r="BA183" s="21"/>
      <c r="BB183" s="21">
        <v>2</v>
      </c>
      <c r="BC183" s="21">
        <v>2</v>
      </c>
      <c r="BD183" s="21"/>
      <c r="BE183" s="21"/>
      <c r="BF183" s="77"/>
      <c r="BG183" s="21"/>
      <c r="BH183" s="21"/>
      <c r="BI183" s="21">
        <v>2</v>
      </c>
      <c r="BJ183" s="21">
        <v>2</v>
      </c>
      <c r="BK183" s="21"/>
      <c r="BL183" s="21"/>
      <c r="BM183" s="77"/>
      <c r="BN183" s="21"/>
      <c r="BO183" s="21"/>
      <c r="BP183" s="21"/>
      <c r="BQ183" s="21"/>
      <c r="BR183" s="21"/>
      <c r="BS183" s="21"/>
      <c r="BT183" s="96">
        <f t="shared" si="48"/>
        <v>15</v>
      </c>
      <c r="BU183" s="94">
        <f t="shared" si="49"/>
        <v>-7</v>
      </c>
      <c r="BV183" s="26"/>
      <c r="BW183" s="27"/>
      <c r="BX183" s="19" t="s">
        <v>292</v>
      </c>
      <c r="BY183" s="19" t="b">
        <f t="shared" si="62"/>
        <v>1</v>
      </c>
      <c r="BZ183" s="53" t="s">
        <v>292</v>
      </c>
      <c r="CA183" s="19" t="s">
        <v>1205</v>
      </c>
      <c r="CB183" s="19" t="s">
        <v>1189</v>
      </c>
      <c r="CC183" s="19" t="s">
        <v>1190</v>
      </c>
      <c r="CD183" s="19" t="s">
        <v>1191</v>
      </c>
      <c r="CE183" s="19" t="s">
        <v>1673</v>
      </c>
      <c r="CF183" s="19" t="s">
        <v>1192</v>
      </c>
      <c r="CG183" s="19" t="s">
        <v>1193</v>
      </c>
      <c r="CH183" s="19" t="s">
        <v>1194</v>
      </c>
      <c r="CI183" s="19" t="s">
        <v>1195</v>
      </c>
      <c r="CJ183" s="19" t="s">
        <v>1196</v>
      </c>
      <c r="CK183" s="19" t="s">
        <v>1674</v>
      </c>
      <c r="CL183" s="19" t="s">
        <v>1197</v>
      </c>
      <c r="CM183" s="19" t="s">
        <v>1198</v>
      </c>
      <c r="CN183" s="19" t="s">
        <v>1199</v>
      </c>
      <c r="CO183" s="19" t="s">
        <v>1200</v>
      </c>
      <c r="CP183" s="19" t="s">
        <v>1201</v>
      </c>
      <c r="CQ183" s="19" t="s">
        <v>1202</v>
      </c>
      <c r="CR183" s="19" t="s">
        <v>1203</v>
      </c>
      <c r="CS183" s="19" t="s">
        <v>1204</v>
      </c>
      <c r="CT183" s="19"/>
      <c r="CU183" s="19"/>
      <c r="CV183" s="19"/>
      <c r="CW183" s="19"/>
      <c r="CX183" s="19"/>
      <c r="CY183" s="19"/>
      <c r="CZ183" s="19"/>
      <c r="DA183" s="19"/>
      <c r="DB183" s="19"/>
      <c r="DC183" s="19"/>
    </row>
    <row r="184" spans="1:107" s="7" customFormat="1" x14ac:dyDescent="0.25">
      <c r="A184" s="19" t="s">
        <v>81</v>
      </c>
      <c r="B184" s="19" t="s">
        <v>83</v>
      </c>
      <c r="C184" s="19" t="str">
        <f t="shared" si="60"/>
        <v>91902955NEPAL</v>
      </c>
      <c r="D184" s="19">
        <v>91902955</v>
      </c>
      <c r="E184" s="19" t="s">
        <v>385</v>
      </c>
      <c r="F184" s="19" t="s">
        <v>261</v>
      </c>
      <c r="G184" s="20" t="s">
        <v>385</v>
      </c>
      <c r="H184" s="19"/>
      <c r="I184" s="19" t="s">
        <v>230</v>
      </c>
      <c r="J184" s="19" t="s">
        <v>288</v>
      </c>
      <c r="K184" s="19" t="s">
        <v>386</v>
      </c>
      <c r="L184" s="19" t="s">
        <v>245</v>
      </c>
      <c r="M184" s="19" t="s">
        <v>234</v>
      </c>
      <c r="N184" s="19" t="s">
        <v>284</v>
      </c>
      <c r="O184" s="19" t="s">
        <v>293</v>
      </c>
      <c r="P184" s="51" t="s">
        <v>285</v>
      </c>
      <c r="Q184" s="19" t="s">
        <v>291</v>
      </c>
      <c r="R184" s="19">
        <v>7800</v>
      </c>
      <c r="S184" s="19" t="s">
        <v>239</v>
      </c>
      <c r="T184" s="19" t="s">
        <v>287</v>
      </c>
      <c r="U184" s="20" t="s">
        <v>287</v>
      </c>
      <c r="V184" s="19" t="s">
        <v>138</v>
      </c>
      <c r="W184" s="19" t="s">
        <v>219</v>
      </c>
      <c r="X184" s="35"/>
      <c r="Y184" s="35">
        <v>2</v>
      </c>
      <c r="Z184" s="32">
        <v>2</v>
      </c>
      <c r="AA184" s="22">
        <v>2</v>
      </c>
      <c r="AB184" s="22"/>
      <c r="AC184" s="22"/>
      <c r="AD184" s="22"/>
      <c r="AE184" s="61">
        <f t="shared" si="57"/>
        <v>2</v>
      </c>
      <c r="AF184" s="22"/>
      <c r="AG184" s="40">
        <f t="shared" si="58"/>
        <v>2</v>
      </c>
      <c r="AH184" s="24">
        <v>2</v>
      </c>
      <c r="AI184" s="24"/>
      <c r="AJ184" s="23">
        <f t="shared" si="59"/>
        <v>0</v>
      </c>
      <c r="AK184" s="25"/>
      <c r="AL184" s="25"/>
      <c r="AM184" s="25"/>
      <c r="AN184" s="25"/>
      <c r="AO184" s="25">
        <f t="shared" si="61"/>
        <v>0</v>
      </c>
      <c r="AP184" s="13">
        <v>2</v>
      </c>
      <c r="AQ184" s="21"/>
      <c r="AR184" s="21"/>
      <c r="AS184" s="21">
        <v>2</v>
      </c>
      <c r="AT184" s="21"/>
      <c r="AU184" s="21"/>
      <c r="AV184" s="21"/>
      <c r="AW184" s="21"/>
      <c r="AX184" s="21"/>
      <c r="AY184" s="77"/>
      <c r="AZ184" s="21"/>
      <c r="BA184" s="21"/>
      <c r="BB184" s="21"/>
      <c r="BC184" s="21"/>
      <c r="BD184" s="21"/>
      <c r="BE184" s="21"/>
      <c r="BF184" s="77"/>
      <c r="BG184" s="21"/>
      <c r="BH184" s="21"/>
      <c r="BI184" s="21"/>
      <c r="BJ184" s="21"/>
      <c r="BK184" s="21"/>
      <c r="BL184" s="21"/>
      <c r="BM184" s="77"/>
      <c r="BN184" s="21"/>
      <c r="BO184" s="21"/>
      <c r="BP184" s="21"/>
      <c r="BQ184" s="21"/>
      <c r="BR184" s="21"/>
      <c r="BS184" s="21"/>
      <c r="BT184" s="96">
        <f t="shared" si="48"/>
        <v>2</v>
      </c>
      <c r="BU184" s="94">
        <f t="shared" si="49"/>
        <v>-2</v>
      </c>
      <c r="BV184" s="26"/>
      <c r="BW184" s="27"/>
      <c r="BX184" s="19" t="s">
        <v>385</v>
      </c>
      <c r="BY184" s="19" t="b">
        <f t="shared" si="62"/>
        <v>1</v>
      </c>
      <c r="BZ184" s="53" t="s">
        <v>385</v>
      </c>
      <c r="CA184" s="19" t="s">
        <v>1675</v>
      </c>
      <c r="CB184" s="19" t="s">
        <v>1189</v>
      </c>
      <c r="CC184" s="19" t="s">
        <v>1190</v>
      </c>
      <c r="CD184" s="19" t="s">
        <v>1191</v>
      </c>
      <c r="CE184" s="19" t="s">
        <v>1673</v>
      </c>
      <c r="CF184" s="19" t="s">
        <v>1192</v>
      </c>
      <c r="CG184" s="19" t="s">
        <v>1193</v>
      </c>
      <c r="CH184" s="19" t="s">
        <v>1194</v>
      </c>
      <c r="CI184" s="19" t="s">
        <v>1195</v>
      </c>
      <c r="CJ184" s="19" t="s">
        <v>1196</v>
      </c>
      <c r="CK184" s="19" t="s">
        <v>1674</v>
      </c>
      <c r="CL184" s="19" t="s">
        <v>1206</v>
      </c>
      <c r="CM184" s="19" t="s">
        <v>1676</v>
      </c>
      <c r="CN184" s="19" t="s">
        <v>1199</v>
      </c>
      <c r="CO184" s="19" t="s">
        <v>1200</v>
      </c>
      <c r="CP184" s="19" t="s">
        <v>1201</v>
      </c>
      <c r="CQ184" s="19" t="s">
        <v>1202</v>
      </c>
      <c r="CR184" s="19" t="s">
        <v>1207</v>
      </c>
      <c r="CS184" s="19" t="s">
        <v>1208</v>
      </c>
      <c r="CT184" s="19"/>
      <c r="CU184" s="19"/>
      <c r="CV184" s="19"/>
      <c r="CW184" s="19"/>
      <c r="CX184" s="19"/>
      <c r="CY184" s="19"/>
      <c r="CZ184" s="19"/>
      <c r="DA184" s="19"/>
      <c r="DB184" s="19"/>
      <c r="DC184" s="19"/>
    </row>
    <row r="185" spans="1:107" s="7" customFormat="1" x14ac:dyDescent="0.25">
      <c r="A185" s="19" t="s">
        <v>81</v>
      </c>
      <c r="B185" s="19" t="s">
        <v>90</v>
      </c>
      <c r="C185" s="19" t="str">
        <f t="shared" si="60"/>
        <v>83459512SOUTH AFRICA</v>
      </c>
      <c r="D185" s="19">
        <v>83459512</v>
      </c>
      <c r="E185" s="19" t="s">
        <v>371</v>
      </c>
      <c r="F185" s="19" t="s">
        <v>261</v>
      </c>
      <c r="G185" s="20" t="s">
        <v>371</v>
      </c>
      <c r="H185" s="19"/>
      <c r="I185" s="19" t="s">
        <v>230</v>
      </c>
      <c r="J185" s="19" t="s">
        <v>322</v>
      </c>
      <c r="K185" s="19" t="s">
        <v>372</v>
      </c>
      <c r="L185" s="19" t="s">
        <v>282</v>
      </c>
      <c r="M185" s="19" t="s">
        <v>234</v>
      </c>
      <c r="N185" s="19" t="s">
        <v>284</v>
      </c>
      <c r="O185" s="19" t="s">
        <v>335</v>
      </c>
      <c r="P185" s="51" t="s">
        <v>285</v>
      </c>
      <c r="Q185" s="19" t="s">
        <v>373</v>
      </c>
      <c r="R185" s="19">
        <v>7900</v>
      </c>
      <c r="S185" s="19" t="s">
        <v>239</v>
      </c>
      <c r="T185" s="19" t="s">
        <v>287</v>
      </c>
      <c r="U185" s="20" t="s">
        <v>287</v>
      </c>
      <c r="V185" s="19" t="s">
        <v>1590</v>
      </c>
      <c r="W185" s="19" t="s">
        <v>219</v>
      </c>
      <c r="X185" s="35"/>
      <c r="Y185" s="35"/>
      <c r="Z185" s="32">
        <v>19</v>
      </c>
      <c r="AA185" s="22">
        <v>19</v>
      </c>
      <c r="AB185" s="22"/>
      <c r="AC185" s="22"/>
      <c r="AD185" s="22"/>
      <c r="AE185" s="61">
        <f t="shared" si="57"/>
        <v>19</v>
      </c>
      <c r="AF185" s="22"/>
      <c r="AG185" s="40">
        <f t="shared" si="58"/>
        <v>19</v>
      </c>
      <c r="AH185" s="24">
        <v>19</v>
      </c>
      <c r="AI185" s="24"/>
      <c r="AJ185" s="23">
        <f t="shared" si="59"/>
        <v>0</v>
      </c>
      <c r="AK185" s="25"/>
      <c r="AL185" s="25"/>
      <c r="AM185" s="25"/>
      <c r="AN185" s="25"/>
      <c r="AO185" s="25">
        <f t="shared" si="61"/>
        <v>0</v>
      </c>
      <c r="AP185" s="13">
        <v>19</v>
      </c>
      <c r="AQ185" s="21"/>
      <c r="AR185" s="21"/>
      <c r="AS185" s="81">
        <v>9</v>
      </c>
      <c r="AT185" s="81">
        <v>10</v>
      </c>
      <c r="AU185" s="21"/>
      <c r="AV185" s="21"/>
      <c r="AW185" s="21"/>
      <c r="AX185" s="21"/>
      <c r="AY185" s="77"/>
      <c r="AZ185" s="21"/>
      <c r="BA185" s="21"/>
      <c r="BB185" s="21"/>
      <c r="BC185" s="21"/>
      <c r="BD185" s="21"/>
      <c r="BE185" s="21"/>
      <c r="BF185" s="77"/>
      <c r="BG185" s="21"/>
      <c r="BH185" s="21"/>
      <c r="BI185" s="21"/>
      <c r="BJ185" s="21"/>
      <c r="BK185" s="21"/>
      <c r="BL185" s="21"/>
      <c r="BM185" s="77"/>
      <c r="BN185" s="21"/>
      <c r="BO185" s="21"/>
      <c r="BP185" s="21"/>
      <c r="BQ185" s="21"/>
      <c r="BR185" s="21"/>
      <c r="BS185" s="21"/>
      <c r="BT185" s="100">
        <f t="shared" si="48"/>
        <v>19</v>
      </c>
      <c r="BU185" s="94">
        <f t="shared" si="49"/>
        <v>-19</v>
      </c>
      <c r="BV185" s="26"/>
      <c r="BW185" s="27"/>
      <c r="BX185" s="19" t="s">
        <v>371</v>
      </c>
      <c r="BY185" s="19" t="b">
        <f t="shared" si="62"/>
        <v>1</v>
      </c>
      <c r="BZ185" s="53" t="s">
        <v>371</v>
      </c>
      <c r="CA185" s="19" t="s">
        <v>1224</v>
      </c>
      <c r="CB185" s="19" t="s">
        <v>1189</v>
      </c>
      <c r="CC185" s="19" t="s">
        <v>1190</v>
      </c>
      <c r="CD185" s="19" t="s">
        <v>1216</v>
      </c>
      <c r="CE185" s="19" t="s">
        <v>1217</v>
      </c>
      <c r="CF185" s="19" t="s">
        <v>1218</v>
      </c>
      <c r="CG185" s="19" t="s">
        <v>1219</v>
      </c>
      <c r="CH185" s="19" t="s">
        <v>1211</v>
      </c>
      <c r="CI185" s="19" t="s">
        <v>1158</v>
      </c>
      <c r="CJ185" s="19" t="s">
        <v>1220</v>
      </c>
      <c r="CK185" s="19" t="s">
        <v>1221</v>
      </c>
      <c r="CL185" s="19" t="s">
        <v>1225</v>
      </c>
      <c r="CM185" s="19" t="s">
        <v>1226</v>
      </c>
      <c r="CN185" s="19" t="s">
        <v>1199</v>
      </c>
      <c r="CO185" s="19" t="s">
        <v>1200</v>
      </c>
      <c r="CP185" s="19" t="s">
        <v>1212</v>
      </c>
      <c r="CQ185" s="19" t="s">
        <v>1213</v>
      </c>
      <c r="CR185" s="19" t="s">
        <v>1222</v>
      </c>
      <c r="CS185" s="19" t="s">
        <v>1223</v>
      </c>
      <c r="CT185" s="19" t="s">
        <v>1214</v>
      </c>
      <c r="CU185" s="19" t="s">
        <v>1215</v>
      </c>
      <c r="CV185" s="19"/>
      <c r="CW185" s="19"/>
      <c r="CX185" s="19"/>
      <c r="CY185" s="19"/>
      <c r="CZ185" s="19"/>
      <c r="DA185" s="19"/>
      <c r="DB185" s="19"/>
      <c r="DC185" s="19"/>
    </row>
    <row r="186" spans="1:107" s="7" customFormat="1" x14ac:dyDescent="0.25">
      <c r="A186" s="19" t="s">
        <v>228</v>
      </c>
      <c r="B186" s="19" t="s">
        <v>80</v>
      </c>
      <c r="C186" s="19" t="str">
        <f t="shared" si="60"/>
        <v>91407538India</v>
      </c>
      <c r="D186" s="19">
        <v>91407538</v>
      </c>
      <c r="E186" s="19" t="s">
        <v>295</v>
      </c>
      <c r="F186" s="19" t="s">
        <v>261</v>
      </c>
      <c r="G186" s="20" t="s">
        <v>295</v>
      </c>
      <c r="H186" s="19"/>
      <c r="I186" s="19" t="s">
        <v>230</v>
      </c>
      <c r="J186" s="19" t="s">
        <v>296</v>
      </c>
      <c r="K186" s="19" t="s">
        <v>297</v>
      </c>
      <c r="L186" s="19" t="s">
        <v>282</v>
      </c>
      <c r="M186" s="19" t="s">
        <v>298</v>
      </c>
      <c r="N186" s="19" t="s">
        <v>284</v>
      </c>
      <c r="O186" s="19" t="s">
        <v>293</v>
      </c>
      <c r="P186" s="51" t="s">
        <v>285</v>
      </c>
      <c r="Q186" s="19" t="s">
        <v>299</v>
      </c>
      <c r="R186" s="19">
        <v>8000</v>
      </c>
      <c r="S186" s="19" t="s">
        <v>239</v>
      </c>
      <c r="T186" s="19" t="s">
        <v>287</v>
      </c>
      <c r="U186" s="20" t="s">
        <v>287</v>
      </c>
      <c r="V186" s="19" t="s">
        <v>111</v>
      </c>
      <c r="W186" s="19" t="s">
        <v>222</v>
      </c>
      <c r="X186" s="35">
        <v>10</v>
      </c>
      <c r="Y186" s="35">
        <v>10</v>
      </c>
      <c r="Z186" s="32"/>
      <c r="AA186" s="22">
        <v>4</v>
      </c>
      <c r="AB186" s="22">
        <v>3</v>
      </c>
      <c r="AC186" s="22">
        <v>2</v>
      </c>
      <c r="AD186" s="22">
        <v>1</v>
      </c>
      <c r="AE186" s="61">
        <f t="shared" si="57"/>
        <v>10</v>
      </c>
      <c r="AF186" s="22"/>
      <c r="AG186" s="40">
        <f t="shared" si="58"/>
        <v>10</v>
      </c>
      <c r="AH186" s="24"/>
      <c r="AI186" s="24">
        <v>5</v>
      </c>
      <c r="AJ186" s="23">
        <f t="shared" si="59"/>
        <v>15</v>
      </c>
      <c r="AK186" s="25">
        <v>5</v>
      </c>
      <c r="AL186" s="25">
        <v>5</v>
      </c>
      <c r="AM186" s="25">
        <v>5</v>
      </c>
      <c r="AN186" s="25"/>
      <c r="AO186" s="25">
        <f t="shared" si="61"/>
        <v>15</v>
      </c>
      <c r="AP186" s="13"/>
      <c r="AQ186" s="21"/>
      <c r="AR186" s="21"/>
      <c r="AS186" s="21"/>
      <c r="AT186" s="21">
        <v>5</v>
      </c>
      <c r="AU186" s="21"/>
      <c r="AV186" s="21"/>
      <c r="AW186" s="21"/>
      <c r="AX186" s="21"/>
      <c r="AY186" s="77"/>
      <c r="AZ186" s="21"/>
      <c r="BA186" s="21">
        <v>5</v>
      </c>
      <c r="BB186" s="21"/>
      <c r="BC186" s="21"/>
      <c r="BD186" s="21"/>
      <c r="BE186" s="21"/>
      <c r="BF186" s="77"/>
      <c r="BG186" s="21"/>
      <c r="BH186" s="21"/>
      <c r="BI186" s="21"/>
      <c r="BJ186" s="21"/>
      <c r="BK186" s="21"/>
      <c r="BL186" s="21"/>
      <c r="BM186" s="77"/>
      <c r="BN186" s="21"/>
      <c r="BO186" s="21"/>
      <c r="BP186" s="21"/>
      <c r="BQ186" s="21"/>
      <c r="BR186" s="21"/>
      <c r="BS186" s="21"/>
      <c r="BT186" s="96">
        <f t="shared" si="48"/>
        <v>10</v>
      </c>
      <c r="BU186" s="94">
        <f t="shared" si="49"/>
        <v>5</v>
      </c>
      <c r="BV186" s="26"/>
      <c r="BW186" s="27"/>
      <c r="BX186" s="19" t="s">
        <v>295</v>
      </c>
      <c r="BY186" s="19" t="b">
        <f t="shared" si="62"/>
        <v>1</v>
      </c>
      <c r="BZ186" s="53" t="s">
        <v>295</v>
      </c>
      <c r="CA186" s="19" t="s">
        <v>1227</v>
      </c>
      <c r="CB186" s="19" t="s">
        <v>1189</v>
      </c>
      <c r="CC186" s="19" t="s">
        <v>1190</v>
      </c>
      <c r="CD186" s="19" t="s">
        <v>1228</v>
      </c>
      <c r="CE186" s="19" t="s">
        <v>1229</v>
      </c>
      <c r="CF186" s="19" t="s">
        <v>1209</v>
      </c>
      <c r="CG186" s="19" t="s">
        <v>1210</v>
      </c>
      <c r="CH186" s="19" t="s">
        <v>1230</v>
      </c>
      <c r="CI186" s="19" t="s">
        <v>1231</v>
      </c>
      <c r="CJ186" s="19" t="s">
        <v>1232</v>
      </c>
      <c r="CK186" s="19" t="s">
        <v>1233</v>
      </c>
      <c r="CL186" s="19" t="s">
        <v>1234</v>
      </c>
      <c r="CM186" s="19" t="s">
        <v>1235</v>
      </c>
      <c r="CN186" s="19" t="s">
        <v>1199</v>
      </c>
      <c r="CO186" s="19" t="s">
        <v>1200</v>
      </c>
      <c r="CP186" s="19" t="s">
        <v>1236</v>
      </c>
      <c r="CQ186" s="19" t="s">
        <v>1237</v>
      </c>
      <c r="CR186" s="19" t="s">
        <v>1238</v>
      </c>
      <c r="CS186" s="19" t="s">
        <v>1239</v>
      </c>
      <c r="CT186" s="19" t="s">
        <v>1240</v>
      </c>
      <c r="CU186" s="19" t="s">
        <v>1241</v>
      </c>
      <c r="CV186" s="19"/>
      <c r="CW186" s="19"/>
      <c r="CX186" s="19"/>
      <c r="CY186" s="19"/>
      <c r="CZ186" s="19"/>
      <c r="DA186" s="19"/>
      <c r="DB186" s="19"/>
      <c r="DC186" s="19"/>
    </row>
    <row r="187" spans="1:107" s="7" customFormat="1" x14ac:dyDescent="0.25">
      <c r="A187" s="19" t="s">
        <v>228</v>
      </c>
      <c r="B187" s="19" t="s">
        <v>80</v>
      </c>
      <c r="C187" s="19" t="str">
        <f t="shared" si="60"/>
        <v>91407546India</v>
      </c>
      <c r="D187" s="19">
        <v>91407546</v>
      </c>
      <c r="E187" s="19" t="s">
        <v>301</v>
      </c>
      <c r="F187" s="19" t="s">
        <v>261</v>
      </c>
      <c r="G187" s="20" t="s">
        <v>301</v>
      </c>
      <c r="H187" s="19"/>
      <c r="I187" s="19" t="s">
        <v>230</v>
      </c>
      <c r="J187" s="19" t="s">
        <v>296</v>
      </c>
      <c r="K187" s="19" t="s">
        <v>297</v>
      </c>
      <c r="L187" s="19" t="s">
        <v>282</v>
      </c>
      <c r="M187" s="19" t="s">
        <v>298</v>
      </c>
      <c r="N187" s="19" t="s">
        <v>284</v>
      </c>
      <c r="O187" s="19" t="s">
        <v>293</v>
      </c>
      <c r="P187" s="51" t="s">
        <v>285</v>
      </c>
      <c r="Q187" s="19" t="s">
        <v>299</v>
      </c>
      <c r="R187" s="19">
        <v>8000</v>
      </c>
      <c r="S187" s="19" t="s">
        <v>239</v>
      </c>
      <c r="T187" s="19" t="s">
        <v>287</v>
      </c>
      <c r="U187" s="20" t="s">
        <v>287</v>
      </c>
      <c r="V187" s="19" t="s">
        <v>125</v>
      </c>
      <c r="W187" s="19" t="s">
        <v>222</v>
      </c>
      <c r="X187" s="35">
        <v>10</v>
      </c>
      <c r="Y187" s="35">
        <v>10</v>
      </c>
      <c r="Z187" s="32"/>
      <c r="AA187" s="22">
        <v>2</v>
      </c>
      <c r="AB187" s="22">
        <v>2</v>
      </c>
      <c r="AC187" s="22">
        <v>1</v>
      </c>
      <c r="AD187" s="22"/>
      <c r="AE187" s="61">
        <f t="shared" si="57"/>
        <v>5</v>
      </c>
      <c r="AF187" s="22"/>
      <c r="AG187" s="40">
        <f t="shared" si="58"/>
        <v>5</v>
      </c>
      <c r="AH187" s="24"/>
      <c r="AI187" s="24">
        <v>5</v>
      </c>
      <c r="AJ187" s="23">
        <f t="shared" si="59"/>
        <v>10</v>
      </c>
      <c r="AK187" s="25"/>
      <c r="AL187" s="25">
        <v>5</v>
      </c>
      <c r="AM187" s="25">
        <v>5</v>
      </c>
      <c r="AN187" s="25"/>
      <c r="AO187" s="25">
        <f t="shared" si="61"/>
        <v>10</v>
      </c>
      <c r="AP187" s="13"/>
      <c r="AQ187" s="21"/>
      <c r="AR187" s="21"/>
      <c r="AS187" s="21"/>
      <c r="AT187" s="21"/>
      <c r="AU187" s="21"/>
      <c r="AV187" s="21"/>
      <c r="AW187" s="21"/>
      <c r="AX187" s="21"/>
      <c r="AY187" s="77"/>
      <c r="AZ187" s="21">
        <v>5</v>
      </c>
      <c r="BA187" s="21"/>
      <c r="BB187" s="21"/>
      <c r="BC187" s="21"/>
      <c r="BD187" s="21"/>
      <c r="BE187" s="21"/>
      <c r="BF187" s="77"/>
      <c r="BG187" s="21"/>
      <c r="BH187" s="21"/>
      <c r="BI187" s="21"/>
      <c r="BJ187" s="21"/>
      <c r="BK187" s="21"/>
      <c r="BL187" s="21"/>
      <c r="BM187" s="77"/>
      <c r="BN187" s="21"/>
      <c r="BO187" s="21"/>
      <c r="BP187" s="21"/>
      <c r="BQ187" s="21"/>
      <c r="BR187" s="21"/>
      <c r="BS187" s="21"/>
      <c r="BT187" s="96">
        <f t="shared" si="48"/>
        <v>5</v>
      </c>
      <c r="BU187" s="94">
        <f t="shared" si="49"/>
        <v>5</v>
      </c>
      <c r="BV187" s="26"/>
      <c r="BW187" s="27"/>
      <c r="BX187" s="19" t="s">
        <v>301</v>
      </c>
      <c r="BY187" s="19" t="b">
        <f t="shared" si="62"/>
        <v>1</v>
      </c>
      <c r="BZ187" s="53" t="s">
        <v>301</v>
      </c>
      <c r="CA187" s="19" t="s">
        <v>1243</v>
      </c>
      <c r="CB187" s="19" t="s">
        <v>1189</v>
      </c>
      <c r="CC187" s="19" t="s">
        <v>1190</v>
      </c>
      <c r="CD187" s="19" t="s">
        <v>1228</v>
      </c>
      <c r="CE187" s="19" t="s">
        <v>1229</v>
      </c>
      <c r="CF187" s="19" t="s">
        <v>1209</v>
      </c>
      <c r="CG187" s="19" t="s">
        <v>1210</v>
      </c>
      <c r="CH187" s="19" t="s">
        <v>1230</v>
      </c>
      <c r="CI187" s="19" t="s">
        <v>1231</v>
      </c>
      <c r="CJ187" s="19" t="s">
        <v>1232</v>
      </c>
      <c r="CK187" s="19" t="s">
        <v>1233</v>
      </c>
      <c r="CL187" s="19" t="s">
        <v>1234</v>
      </c>
      <c r="CM187" s="19" t="s">
        <v>1235</v>
      </c>
      <c r="CN187" s="19" t="s">
        <v>1199</v>
      </c>
      <c r="CO187" s="19" t="s">
        <v>1200</v>
      </c>
      <c r="CP187" s="19" t="s">
        <v>1236</v>
      </c>
      <c r="CQ187" s="19" t="s">
        <v>1237</v>
      </c>
      <c r="CR187" s="19" t="s">
        <v>1238</v>
      </c>
      <c r="CS187" s="19" t="s">
        <v>1239</v>
      </c>
      <c r="CT187" s="19" t="s">
        <v>1240</v>
      </c>
      <c r="CU187" s="19" t="s">
        <v>1241</v>
      </c>
      <c r="CV187" s="19"/>
      <c r="CW187" s="19"/>
      <c r="CX187" s="19"/>
      <c r="CY187" s="19"/>
      <c r="CZ187" s="19"/>
      <c r="DA187" s="19"/>
      <c r="DB187" s="19"/>
      <c r="DC187" s="19"/>
    </row>
    <row r="188" spans="1:107" s="7" customFormat="1" x14ac:dyDescent="0.25">
      <c r="A188" s="19" t="s">
        <v>228</v>
      </c>
      <c r="B188" s="19" t="s">
        <v>80</v>
      </c>
      <c r="C188" s="19" t="str">
        <f t="shared" si="60"/>
        <v>91402007India</v>
      </c>
      <c r="D188" s="19">
        <v>91402007</v>
      </c>
      <c r="E188" s="19" t="s">
        <v>103</v>
      </c>
      <c r="F188" s="19" t="s">
        <v>261</v>
      </c>
      <c r="G188" s="20" t="s">
        <v>103</v>
      </c>
      <c r="H188" s="19"/>
      <c r="I188" s="19" t="s">
        <v>230</v>
      </c>
      <c r="J188" s="19" t="s">
        <v>296</v>
      </c>
      <c r="K188" s="19" t="s">
        <v>315</v>
      </c>
      <c r="L188" s="19" t="s">
        <v>282</v>
      </c>
      <c r="M188" s="19" t="s">
        <v>234</v>
      </c>
      <c r="N188" s="19" t="s">
        <v>284</v>
      </c>
      <c r="O188" s="19" t="s">
        <v>293</v>
      </c>
      <c r="P188" s="51" t="s">
        <v>285</v>
      </c>
      <c r="Q188" s="19" t="s">
        <v>316</v>
      </c>
      <c r="R188" s="19">
        <v>8000</v>
      </c>
      <c r="S188" s="19" t="s">
        <v>239</v>
      </c>
      <c r="T188" s="19" t="s">
        <v>287</v>
      </c>
      <c r="U188" s="20" t="s">
        <v>287</v>
      </c>
      <c r="V188" s="19" t="s">
        <v>1758</v>
      </c>
      <c r="W188" s="19" t="s">
        <v>222</v>
      </c>
      <c r="X188" s="35">
        <v>10</v>
      </c>
      <c r="Y188" s="35">
        <v>10</v>
      </c>
      <c r="Z188" s="32"/>
      <c r="AA188" s="22">
        <v>2</v>
      </c>
      <c r="AB188" s="22">
        <v>2</v>
      </c>
      <c r="AC188" s="22">
        <v>1</v>
      </c>
      <c r="AD188" s="22"/>
      <c r="AE188" s="61">
        <f t="shared" si="57"/>
        <v>5</v>
      </c>
      <c r="AF188" s="22"/>
      <c r="AG188" s="40">
        <f t="shared" si="58"/>
        <v>5</v>
      </c>
      <c r="AH188" s="24"/>
      <c r="AI188" s="24">
        <v>5</v>
      </c>
      <c r="AJ188" s="23">
        <f t="shared" si="59"/>
        <v>10</v>
      </c>
      <c r="AK188" s="25"/>
      <c r="AL188" s="25">
        <v>5</v>
      </c>
      <c r="AM188" s="25">
        <v>5</v>
      </c>
      <c r="AN188" s="25"/>
      <c r="AO188" s="25">
        <f t="shared" si="61"/>
        <v>10</v>
      </c>
      <c r="AP188" s="13"/>
      <c r="AQ188" s="21"/>
      <c r="AR188" s="21"/>
      <c r="AS188" s="21"/>
      <c r="AT188" s="21"/>
      <c r="AU188" s="21"/>
      <c r="AV188" s="21"/>
      <c r="AW188" s="21"/>
      <c r="AX188" s="21"/>
      <c r="AY188" s="77"/>
      <c r="AZ188" s="21">
        <v>5</v>
      </c>
      <c r="BA188" s="21"/>
      <c r="BB188" s="21"/>
      <c r="BC188" s="21"/>
      <c r="BD188" s="21"/>
      <c r="BE188" s="21"/>
      <c r="BF188" s="77"/>
      <c r="BG188" s="21"/>
      <c r="BH188" s="21"/>
      <c r="BI188" s="21"/>
      <c r="BJ188" s="21"/>
      <c r="BK188" s="21"/>
      <c r="BL188" s="21"/>
      <c r="BM188" s="77"/>
      <c r="BN188" s="21"/>
      <c r="BO188" s="21"/>
      <c r="BP188" s="21"/>
      <c r="BQ188" s="21"/>
      <c r="BR188" s="21"/>
      <c r="BS188" s="21"/>
      <c r="BT188" s="96">
        <f t="shared" si="48"/>
        <v>5</v>
      </c>
      <c r="BU188" s="94">
        <f t="shared" si="49"/>
        <v>5</v>
      </c>
      <c r="BV188" s="26"/>
      <c r="BW188" s="27"/>
      <c r="BX188" s="19" t="s">
        <v>103</v>
      </c>
      <c r="BY188" s="19" t="b">
        <f t="shared" si="62"/>
        <v>1</v>
      </c>
      <c r="BZ188" s="53" t="s">
        <v>103</v>
      </c>
      <c r="CA188" s="19" t="s">
        <v>124</v>
      </c>
      <c r="CB188" s="19" t="s">
        <v>1172</v>
      </c>
      <c r="CC188" s="19" t="s">
        <v>1173</v>
      </c>
      <c r="CD188" s="19" t="s">
        <v>1228</v>
      </c>
      <c r="CE188" s="19" t="s">
        <v>1229</v>
      </c>
      <c r="CF188" s="19" t="s">
        <v>1209</v>
      </c>
      <c r="CG188" s="19" t="s">
        <v>1210</v>
      </c>
      <c r="CH188" s="19" t="s">
        <v>1244</v>
      </c>
      <c r="CI188" s="19" t="s">
        <v>1245</v>
      </c>
      <c r="CJ188" s="19" t="s">
        <v>1246</v>
      </c>
      <c r="CK188" s="19" t="s">
        <v>1247</v>
      </c>
      <c r="CL188" s="19" t="s">
        <v>1248</v>
      </c>
      <c r="CM188" s="19" t="s">
        <v>1249</v>
      </c>
      <c r="CN188" s="19" t="s">
        <v>1174</v>
      </c>
      <c r="CO188" s="19" t="s">
        <v>1175</v>
      </c>
      <c r="CP188" s="19" t="s">
        <v>1236</v>
      </c>
      <c r="CQ188" s="19" t="s">
        <v>1237</v>
      </c>
      <c r="CR188" s="19" t="s">
        <v>1238</v>
      </c>
      <c r="CS188" s="19" t="s">
        <v>1239</v>
      </c>
      <c r="CT188" s="19" t="s">
        <v>1250</v>
      </c>
      <c r="CU188" s="19" t="s">
        <v>1251</v>
      </c>
      <c r="CV188" s="19"/>
      <c r="CW188" s="19"/>
      <c r="CX188" s="19"/>
      <c r="CY188" s="19"/>
      <c r="CZ188" s="19"/>
      <c r="DA188" s="19"/>
      <c r="DB188" s="19"/>
      <c r="DC188" s="19"/>
    </row>
    <row r="189" spans="1:107" s="7" customFormat="1" x14ac:dyDescent="0.25">
      <c r="A189" s="19" t="s">
        <v>228</v>
      </c>
      <c r="B189" s="19" t="s">
        <v>80</v>
      </c>
      <c r="C189" s="19" t="str">
        <f t="shared" si="60"/>
        <v>CL6464India</v>
      </c>
      <c r="D189" s="19" t="s">
        <v>100</v>
      </c>
      <c r="E189" s="19" t="s">
        <v>100</v>
      </c>
      <c r="F189" s="19" t="s">
        <v>261</v>
      </c>
      <c r="G189" s="20" t="s">
        <v>100</v>
      </c>
      <c r="H189" s="19"/>
      <c r="I189" s="19" t="s">
        <v>230</v>
      </c>
      <c r="J189" s="19" t="s">
        <v>296</v>
      </c>
      <c r="K189" s="19" t="s">
        <v>315</v>
      </c>
      <c r="L189" s="19" t="s">
        <v>282</v>
      </c>
      <c r="M189" s="19" t="s">
        <v>234</v>
      </c>
      <c r="N189" s="19" t="s">
        <v>284</v>
      </c>
      <c r="O189" s="19" t="s">
        <v>335</v>
      </c>
      <c r="P189" s="51" t="s">
        <v>285</v>
      </c>
      <c r="Q189" s="19" t="s">
        <v>316</v>
      </c>
      <c r="R189" s="19">
        <v>8000</v>
      </c>
      <c r="S189" s="19" t="s">
        <v>239</v>
      </c>
      <c r="T189" s="19" t="s">
        <v>287</v>
      </c>
      <c r="U189" s="20" t="s">
        <v>287</v>
      </c>
      <c r="V189" s="19" t="s">
        <v>1761</v>
      </c>
      <c r="W189" s="19" t="s">
        <v>219</v>
      </c>
      <c r="X189" s="35"/>
      <c r="Y189" s="35"/>
      <c r="Z189" s="32"/>
      <c r="AA189" s="22"/>
      <c r="AB189" s="22"/>
      <c r="AC189" s="22"/>
      <c r="AD189" s="22"/>
      <c r="AE189" s="61">
        <f t="shared" si="57"/>
        <v>0</v>
      </c>
      <c r="AF189" s="22">
        <v>5</v>
      </c>
      <c r="AG189" s="40">
        <f t="shared" si="58"/>
        <v>5</v>
      </c>
      <c r="AH189" s="24"/>
      <c r="AI189" s="24"/>
      <c r="AJ189" s="23">
        <f t="shared" si="59"/>
        <v>5</v>
      </c>
      <c r="AK189" s="25"/>
      <c r="AL189" s="25"/>
      <c r="AM189" s="25"/>
      <c r="AN189" s="25">
        <v>5</v>
      </c>
      <c r="AO189" s="25">
        <f t="shared" si="61"/>
        <v>5</v>
      </c>
      <c r="AP189" s="13"/>
      <c r="AQ189" s="21"/>
      <c r="AR189" s="21"/>
      <c r="AS189" s="21"/>
      <c r="AT189" s="21"/>
      <c r="AU189" s="21"/>
      <c r="AV189" s="21"/>
      <c r="AW189" s="21"/>
      <c r="AX189" s="21"/>
      <c r="AY189" s="77"/>
      <c r="AZ189" s="21"/>
      <c r="BA189" s="21"/>
      <c r="BB189" s="21"/>
      <c r="BC189" s="21"/>
      <c r="BD189" s="21"/>
      <c r="BE189" s="21"/>
      <c r="BF189" s="77"/>
      <c r="BG189" s="21"/>
      <c r="BH189" s="21"/>
      <c r="BI189" s="21"/>
      <c r="BJ189" s="21"/>
      <c r="BK189" s="21"/>
      <c r="BL189" s="21"/>
      <c r="BM189" s="77"/>
      <c r="BN189" s="21"/>
      <c r="BO189" s="21"/>
      <c r="BP189" s="21"/>
      <c r="BQ189" s="21"/>
      <c r="BR189" s="21"/>
      <c r="BS189" s="21"/>
      <c r="BT189" s="96">
        <f t="shared" si="48"/>
        <v>0</v>
      </c>
      <c r="BU189" s="94">
        <f t="shared" si="49"/>
        <v>5</v>
      </c>
      <c r="BV189" s="26"/>
      <c r="BW189" s="27"/>
      <c r="BX189" s="19" t="s">
        <v>100</v>
      </c>
      <c r="BY189" s="19" t="b">
        <f t="shared" si="62"/>
        <v>1</v>
      </c>
      <c r="BZ189" s="53" t="s">
        <v>100</v>
      </c>
      <c r="CA189" s="19" t="s">
        <v>121</v>
      </c>
      <c r="CB189" s="19" t="s">
        <v>1172</v>
      </c>
      <c r="CC189" s="19" t="s">
        <v>1173</v>
      </c>
      <c r="CD189" s="19" t="s">
        <v>1228</v>
      </c>
      <c r="CE189" s="19" t="s">
        <v>1229</v>
      </c>
      <c r="CF189" s="19" t="s">
        <v>1209</v>
      </c>
      <c r="CG189" s="19" t="s">
        <v>1210</v>
      </c>
      <c r="CH189" s="19" t="s">
        <v>1244</v>
      </c>
      <c r="CI189" s="19" t="s">
        <v>1245</v>
      </c>
      <c r="CJ189" s="19" t="s">
        <v>1246</v>
      </c>
      <c r="CK189" s="19" t="s">
        <v>1247</v>
      </c>
      <c r="CL189" s="19" t="s">
        <v>1248</v>
      </c>
      <c r="CM189" s="19" t="s">
        <v>1249</v>
      </c>
      <c r="CN189" s="19" t="s">
        <v>1174</v>
      </c>
      <c r="CO189" s="19" t="s">
        <v>1175</v>
      </c>
      <c r="CP189" s="19" t="s">
        <v>1236</v>
      </c>
      <c r="CQ189" s="19" t="s">
        <v>1237</v>
      </c>
      <c r="CR189" s="19" t="s">
        <v>1238</v>
      </c>
      <c r="CS189" s="19" t="s">
        <v>1239</v>
      </c>
      <c r="CT189" s="19" t="s">
        <v>1250</v>
      </c>
      <c r="CU189" s="19" t="s">
        <v>1251</v>
      </c>
      <c r="CV189" s="19"/>
      <c r="CW189" s="19"/>
      <c r="CX189" s="19"/>
      <c r="CY189" s="19"/>
      <c r="CZ189" s="19"/>
      <c r="DA189" s="19"/>
      <c r="DB189" s="19"/>
      <c r="DC189" s="19"/>
    </row>
    <row r="190" spans="1:107" s="7" customFormat="1" x14ac:dyDescent="0.25">
      <c r="A190" s="19" t="s">
        <v>228</v>
      </c>
      <c r="B190" s="19" t="s">
        <v>80</v>
      </c>
      <c r="C190" s="19" t="str">
        <f t="shared" si="60"/>
        <v>CL6466India</v>
      </c>
      <c r="D190" s="19" t="s">
        <v>103</v>
      </c>
      <c r="E190" s="19" t="s">
        <v>103</v>
      </c>
      <c r="F190" s="19" t="s">
        <v>261</v>
      </c>
      <c r="G190" s="20" t="s">
        <v>103</v>
      </c>
      <c r="H190" s="19"/>
      <c r="I190" s="19" t="s">
        <v>230</v>
      </c>
      <c r="J190" s="19" t="s">
        <v>296</v>
      </c>
      <c r="K190" s="19" t="s">
        <v>315</v>
      </c>
      <c r="L190" s="19" t="s">
        <v>282</v>
      </c>
      <c r="M190" s="19" t="s">
        <v>234</v>
      </c>
      <c r="N190" s="19" t="s">
        <v>284</v>
      </c>
      <c r="O190" s="19" t="s">
        <v>335</v>
      </c>
      <c r="P190" s="51" t="s">
        <v>285</v>
      </c>
      <c r="Q190" s="19" t="s">
        <v>316</v>
      </c>
      <c r="R190" s="19">
        <v>8000</v>
      </c>
      <c r="S190" s="19" t="s">
        <v>239</v>
      </c>
      <c r="T190" s="19" t="s">
        <v>287</v>
      </c>
      <c r="U190" s="20" t="s">
        <v>287</v>
      </c>
      <c r="V190" s="19" t="s">
        <v>1764</v>
      </c>
      <c r="W190" s="19" t="s">
        <v>219</v>
      </c>
      <c r="X190" s="35"/>
      <c r="Y190" s="35"/>
      <c r="Z190" s="32"/>
      <c r="AA190" s="22"/>
      <c r="AB190" s="22"/>
      <c r="AC190" s="22"/>
      <c r="AD190" s="22"/>
      <c r="AE190" s="61">
        <f t="shared" si="57"/>
        <v>0</v>
      </c>
      <c r="AF190" s="22">
        <v>5</v>
      </c>
      <c r="AG190" s="40">
        <f t="shared" si="58"/>
        <v>5</v>
      </c>
      <c r="AH190" s="24"/>
      <c r="AI190" s="24"/>
      <c r="AJ190" s="23">
        <f t="shared" si="59"/>
        <v>5</v>
      </c>
      <c r="AK190" s="25"/>
      <c r="AL190" s="25"/>
      <c r="AM190" s="25"/>
      <c r="AN190" s="25">
        <v>5</v>
      </c>
      <c r="AO190" s="25">
        <f t="shared" si="61"/>
        <v>5</v>
      </c>
      <c r="AP190" s="13"/>
      <c r="AQ190" s="21"/>
      <c r="AR190" s="21"/>
      <c r="AS190" s="21"/>
      <c r="AT190" s="21"/>
      <c r="AU190" s="21"/>
      <c r="AV190" s="21"/>
      <c r="AW190" s="21"/>
      <c r="AX190" s="21"/>
      <c r="AY190" s="77"/>
      <c r="AZ190" s="21"/>
      <c r="BA190" s="21"/>
      <c r="BB190" s="21"/>
      <c r="BC190" s="21"/>
      <c r="BD190" s="21"/>
      <c r="BE190" s="21"/>
      <c r="BF190" s="77"/>
      <c r="BG190" s="21"/>
      <c r="BH190" s="21"/>
      <c r="BI190" s="21"/>
      <c r="BJ190" s="21"/>
      <c r="BK190" s="21"/>
      <c r="BL190" s="21"/>
      <c r="BM190" s="77"/>
      <c r="BN190" s="21"/>
      <c r="BO190" s="21"/>
      <c r="BP190" s="21"/>
      <c r="BQ190" s="21"/>
      <c r="BR190" s="21"/>
      <c r="BS190" s="21"/>
      <c r="BT190" s="96">
        <f t="shared" si="48"/>
        <v>0</v>
      </c>
      <c r="BU190" s="94">
        <f t="shared" si="49"/>
        <v>5</v>
      </c>
      <c r="BV190" s="26"/>
      <c r="BW190" s="27"/>
      <c r="BX190" s="19" t="s">
        <v>103</v>
      </c>
      <c r="BY190" s="19" t="b">
        <f t="shared" si="62"/>
        <v>1</v>
      </c>
      <c r="BZ190" s="53" t="s">
        <v>103</v>
      </c>
      <c r="CA190" s="19" t="s">
        <v>124</v>
      </c>
      <c r="CB190" s="19" t="s">
        <v>1172</v>
      </c>
      <c r="CC190" s="19" t="s">
        <v>1173</v>
      </c>
      <c r="CD190" s="19" t="s">
        <v>1228</v>
      </c>
      <c r="CE190" s="19" t="s">
        <v>1229</v>
      </c>
      <c r="CF190" s="19" t="s">
        <v>1209</v>
      </c>
      <c r="CG190" s="19" t="s">
        <v>1210</v>
      </c>
      <c r="CH190" s="19" t="s">
        <v>1244</v>
      </c>
      <c r="CI190" s="19" t="s">
        <v>1245</v>
      </c>
      <c r="CJ190" s="19" t="s">
        <v>1246</v>
      </c>
      <c r="CK190" s="19" t="s">
        <v>1247</v>
      </c>
      <c r="CL190" s="19" t="s">
        <v>1248</v>
      </c>
      <c r="CM190" s="19" t="s">
        <v>1249</v>
      </c>
      <c r="CN190" s="19" t="s">
        <v>1174</v>
      </c>
      <c r="CO190" s="19" t="s">
        <v>1175</v>
      </c>
      <c r="CP190" s="19" t="s">
        <v>1236</v>
      </c>
      <c r="CQ190" s="19" t="s">
        <v>1237</v>
      </c>
      <c r="CR190" s="19" t="s">
        <v>1238</v>
      </c>
      <c r="CS190" s="19" t="s">
        <v>1239</v>
      </c>
      <c r="CT190" s="19" t="s">
        <v>1250</v>
      </c>
      <c r="CU190" s="19" t="s">
        <v>1251</v>
      </c>
      <c r="CV190" s="19"/>
      <c r="CW190" s="19"/>
      <c r="CX190" s="19"/>
      <c r="CY190" s="19"/>
      <c r="CZ190" s="19"/>
      <c r="DA190" s="19"/>
      <c r="DB190" s="19"/>
      <c r="DC190" s="19"/>
    </row>
    <row r="191" spans="1:107" s="7" customFormat="1" x14ac:dyDescent="0.25">
      <c r="A191" s="19" t="s">
        <v>228</v>
      </c>
      <c r="B191" s="19" t="s">
        <v>80</v>
      </c>
      <c r="C191" s="19" t="str">
        <f t="shared" si="60"/>
        <v>CL6465India</v>
      </c>
      <c r="D191" s="19" t="s">
        <v>1746</v>
      </c>
      <c r="E191" s="19" t="s">
        <v>1746</v>
      </c>
      <c r="F191" s="19" t="s">
        <v>261</v>
      </c>
      <c r="G191" s="20" t="s">
        <v>1746</v>
      </c>
      <c r="H191" s="19"/>
      <c r="I191" s="19" t="s">
        <v>230</v>
      </c>
      <c r="J191" s="19" t="s">
        <v>296</v>
      </c>
      <c r="K191" s="19" t="s">
        <v>315</v>
      </c>
      <c r="L191" s="19" t="s">
        <v>282</v>
      </c>
      <c r="M191" s="19" t="s">
        <v>234</v>
      </c>
      <c r="N191" s="19" t="s">
        <v>284</v>
      </c>
      <c r="O191" s="19" t="s">
        <v>335</v>
      </c>
      <c r="P191" s="51" t="s">
        <v>285</v>
      </c>
      <c r="Q191" s="19" t="s">
        <v>316</v>
      </c>
      <c r="R191" s="19">
        <v>8000</v>
      </c>
      <c r="S191" s="19" t="s">
        <v>239</v>
      </c>
      <c r="T191" s="19" t="s">
        <v>287</v>
      </c>
      <c r="U191" s="20" t="s">
        <v>287</v>
      </c>
      <c r="V191" s="19" t="s">
        <v>1765</v>
      </c>
      <c r="W191" s="19" t="s">
        <v>219</v>
      </c>
      <c r="X191" s="35"/>
      <c r="Y191" s="35"/>
      <c r="Z191" s="32"/>
      <c r="AA191" s="22"/>
      <c r="AB191" s="22"/>
      <c r="AC191" s="22"/>
      <c r="AD191" s="22"/>
      <c r="AE191" s="61">
        <f t="shared" si="57"/>
        <v>0</v>
      </c>
      <c r="AF191" s="22">
        <v>5</v>
      </c>
      <c r="AG191" s="40">
        <f t="shared" si="58"/>
        <v>5</v>
      </c>
      <c r="AH191" s="24"/>
      <c r="AI191" s="24"/>
      <c r="AJ191" s="23">
        <f t="shared" si="59"/>
        <v>5</v>
      </c>
      <c r="AK191" s="25"/>
      <c r="AL191" s="25"/>
      <c r="AM191" s="25"/>
      <c r="AN191" s="25">
        <v>5</v>
      </c>
      <c r="AO191" s="25">
        <f t="shared" si="61"/>
        <v>5</v>
      </c>
      <c r="AP191" s="13"/>
      <c r="AQ191" s="21"/>
      <c r="AR191" s="21"/>
      <c r="AS191" s="21"/>
      <c r="AT191" s="21"/>
      <c r="AU191" s="21"/>
      <c r="AV191" s="21"/>
      <c r="AW191" s="21"/>
      <c r="AX191" s="21"/>
      <c r="AY191" s="77"/>
      <c r="AZ191" s="21"/>
      <c r="BA191" s="21"/>
      <c r="BB191" s="21"/>
      <c r="BC191" s="21"/>
      <c r="BD191" s="21"/>
      <c r="BE191" s="21"/>
      <c r="BF191" s="77"/>
      <c r="BG191" s="21"/>
      <c r="BH191" s="21"/>
      <c r="BI191" s="21"/>
      <c r="BJ191" s="21"/>
      <c r="BK191" s="21"/>
      <c r="BL191" s="21"/>
      <c r="BM191" s="77"/>
      <c r="BN191" s="21"/>
      <c r="BO191" s="21"/>
      <c r="BP191" s="21"/>
      <c r="BQ191" s="21"/>
      <c r="BR191" s="21"/>
      <c r="BS191" s="21"/>
      <c r="BT191" s="96">
        <f t="shared" si="48"/>
        <v>0</v>
      </c>
      <c r="BU191" s="94">
        <f t="shared" si="49"/>
        <v>5</v>
      </c>
      <c r="BV191" s="26"/>
      <c r="BW191" s="27"/>
      <c r="BX191" s="19" t="s">
        <v>1746</v>
      </c>
      <c r="BY191" s="19" t="b">
        <f t="shared" si="62"/>
        <v>1</v>
      </c>
      <c r="BZ191" s="53" t="s">
        <v>1746</v>
      </c>
      <c r="CA191" s="19" t="s">
        <v>1940</v>
      </c>
      <c r="CB191" s="19" t="s">
        <v>1172</v>
      </c>
      <c r="CC191" s="19" t="s">
        <v>1173</v>
      </c>
      <c r="CD191" s="19" t="s">
        <v>1228</v>
      </c>
      <c r="CE191" s="19" t="s">
        <v>1229</v>
      </c>
      <c r="CF191" s="19" t="s">
        <v>1209</v>
      </c>
      <c r="CG191" s="19" t="s">
        <v>1210</v>
      </c>
      <c r="CH191" s="19" t="s">
        <v>1244</v>
      </c>
      <c r="CI191" s="19" t="s">
        <v>1245</v>
      </c>
      <c r="CJ191" s="19" t="s">
        <v>1246</v>
      </c>
      <c r="CK191" s="19" t="s">
        <v>1247</v>
      </c>
      <c r="CL191" s="19" t="s">
        <v>1248</v>
      </c>
      <c r="CM191" s="19" t="s">
        <v>1249</v>
      </c>
      <c r="CN191" s="19" t="s">
        <v>1174</v>
      </c>
      <c r="CO191" s="19" t="s">
        <v>1175</v>
      </c>
      <c r="CP191" s="19" t="s">
        <v>1236</v>
      </c>
      <c r="CQ191" s="19" t="s">
        <v>1237</v>
      </c>
      <c r="CR191" s="19" t="s">
        <v>1238</v>
      </c>
      <c r="CS191" s="19" t="s">
        <v>1239</v>
      </c>
      <c r="CT191" s="19" t="s">
        <v>1250</v>
      </c>
      <c r="CU191" s="19" t="s">
        <v>1251</v>
      </c>
      <c r="CV191" s="19"/>
      <c r="CW191" s="19"/>
      <c r="CX191" s="19"/>
      <c r="CY191" s="19"/>
      <c r="CZ191" s="19"/>
      <c r="DA191" s="19"/>
      <c r="DB191" s="19"/>
      <c r="DC191" s="19"/>
    </row>
    <row r="192" spans="1:107" s="7" customFormat="1" x14ac:dyDescent="0.25">
      <c r="A192" s="19" t="s">
        <v>228</v>
      </c>
      <c r="B192" s="19" t="s">
        <v>80</v>
      </c>
      <c r="C192" s="19" t="str">
        <f t="shared" si="60"/>
        <v>91408026India</v>
      </c>
      <c r="D192" s="19">
        <v>91408026</v>
      </c>
      <c r="E192" s="19" t="s">
        <v>100</v>
      </c>
      <c r="F192" s="19" t="s">
        <v>261</v>
      </c>
      <c r="G192" s="20" t="s">
        <v>100</v>
      </c>
      <c r="H192" s="19"/>
      <c r="I192" s="19" t="s">
        <v>230</v>
      </c>
      <c r="J192" s="19" t="s">
        <v>296</v>
      </c>
      <c r="K192" s="19" t="s">
        <v>315</v>
      </c>
      <c r="L192" s="19" t="s">
        <v>282</v>
      </c>
      <c r="M192" s="19" t="s">
        <v>234</v>
      </c>
      <c r="N192" s="19" t="s">
        <v>284</v>
      </c>
      <c r="O192" s="19" t="s">
        <v>293</v>
      </c>
      <c r="P192" s="51" t="s">
        <v>285</v>
      </c>
      <c r="Q192" s="19" t="s">
        <v>316</v>
      </c>
      <c r="R192" s="19">
        <v>8000</v>
      </c>
      <c r="S192" s="19" t="s">
        <v>239</v>
      </c>
      <c r="T192" s="19" t="s">
        <v>287</v>
      </c>
      <c r="U192" s="20" t="s">
        <v>287</v>
      </c>
      <c r="V192" s="19" t="s">
        <v>1766</v>
      </c>
      <c r="W192" s="19" t="s">
        <v>221</v>
      </c>
      <c r="X192" s="35">
        <v>10</v>
      </c>
      <c r="Y192" s="35">
        <v>10</v>
      </c>
      <c r="Z192" s="32"/>
      <c r="AA192" s="22">
        <v>2</v>
      </c>
      <c r="AB192" s="22">
        <v>2</v>
      </c>
      <c r="AC192" s="22">
        <v>1</v>
      </c>
      <c r="AD192" s="22"/>
      <c r="AE192" s="61">
        <f t="shared" si="57"/>
        <v>5</v>
      </c>
      <c r="AF192" s="22"/>
      <c r="AG192" s="40">
        <f t="shared" si="58"/>
        <v>5</v>
      </c>
      <c r="AH192" s="24"/>
      <c r="AI192" s="24">
        <v>5</v>
      </c>
      <c r="AJ192" s="23">
        <f t="shared" si="59"/>
        <v>10</v>
      </c>
      <c r="AK192" s="25"/>
      <c r="AL192" s="25">
        <v>5</v>
      </c>
      <c r="AM192" s="25">
        <v>5</v>
      </c>
      <c r="AN192" s="25"/>
      <c r="AO192" s="25">
        <f t="shared" si="61"/>
        <v>10</v>
      </c>
      <c r="AP192" s="13"/>
      <c r="AQ192" s="21"/>
      <c r="AR192" s="21"/>
      <c r="AS192" s="21"/>
      <c r="AT192" s="21"/>
      <c r="AU192" s="21"/>
      <c r="AV192" s="21"/>
      <c r="AW192" s="21"/>
      <c r="AX192" s="21"/>
      <c r="AY192" s="77"/>
      <c r="AZ192" s="21">
        <v>5</v>
      </c>
      <c r="BA192" s="21"/>
      <c r="BB192" s="21"/>
      <c r="BC192" s="21"/>
      <c r="BD192" s="21"/>
      <c r="BE192" s="21"/>
      <c r="BF192" s="77"/>
      <c r="BG192" s="21"/>
      <c r="BH192" s="21"/>
      <c r="BI192" s="21"/>
      <c r="BJ192" s="21"/>
      <c r="BK192" s="21"/>
      <c r="BL192" s="21"/>
      <c r="BM192" s="77"/>
      <c r="BN192" s="21"/>
      <c r="BO192" s="21"/>
      <c r="BP192" s="21"/>
      <c r="BQ192" s="21"/>
      <c r="BR192" s="21"/>
      <c r="BS192" s="21"/>
      <c r="BT192" s="96">
        <f t="shared" si="48"/>
        <v>5</v>
      </c>
      <c r="BU192" s="94">
        <f t="shared" si="49"/>
        <v>5</v>
      </c>
      <c r="BV192" s="26"/>
      <c r="BW192" s="27"/>
      <c r="BX192" s="19" t="s">
        <v>100</v>
      </c>
      <c r="BY192" s="19" t="b">
        <f t="shared" si="62"/>
        <v>1</v>
      </c>
      <c r="BZ192" s="53" t="s">
        <v>100</v>
      </c>
      <c r="CA192" s="19" t="s">
        <v>121</v>
      </c>
      <c r="CB192" s="19" t="s">
        <v>1172</v>
      </c>
      <c r="CC192" s="19" t="s">
        <v>1173</v>
      </c>
      <c r="CD192" s="19" t="s">
        <v>1228</v>
      </c>
      <c r="CE192" s="19" t="s">
        <v>1229</v>
      </c>
      <c r="CF192" s="19" t="s">
        <v>1209</v>
      </c>
      <c r="CG192" s="19" t="s">
        <v>1210</v>
      </c>
      <c r="CH192" s="19" t="s">
        <v>1244</v>
      </c>
      <c r="CI192" s="19" t="s">
        <v>1245</v>
      </c>
      <c r="CJ192" s="19" t="s">
        <v>1246</v>
      </c>
      <c r="CK192" s="19" t="s">
        <v>1247</v>
      </c>
      <c r="CL192" s="19" t="s">
        <v>1248</v>
      </c>
      <c r="CM192" s="19" t="s">
        <v>1249</v>
      </c>
      <c r="CN192" s="19" t="s">
        <v>1174</v>
      </c>
      <c r="CO192" s="19" t="s">
        <v>1175</v>
      </c>
      <c r="CP192" s="19" t="s">
        <v>1236</v>
      </c>
      <c r="CQ192" s="19" t="s">
        <v>1237</v>
      </c>
      <c r="CR192" s="19" t="s">
        <v>1238</v>
      </c>
      <c r="CS192" s="19" t="s">
        <v>1239</v>
      </c>
      <c r="CT192" s="19" t="s">
        <v>1250</v>
      </c>
      <c r="CU192" s="19" t="s">
        <v>1251</v>
      </c>
      <c r="CV192" s="19"/>
      <c r="CW192" s="19"/>
      <c r="CX192" s="19"/>
      <c r="CY192" s="19"/>
      <c r="CZ192" s="19"/>
      <c r="DA192" s="19"/>
      <c r="DB192" s="19"/>
      <c r="DC192" s="19"/>
    </row>
    <row r="193" spans="1:107" s="7" customFormat="1" x14ac:dyDescent="0.25">
      <c r="A193" s="19" t="s">
        <v>228</v>
      </c>
      <c r="B193" s="19" t="s">
        <v>80</v>
      </c>
      <c r="C193" s="19" t="str">
        <f t="shared" si="60"/>
        <v>91409787India</v>
      </c>
      <c r="D193" s="19">
        <v>91409787</v>
      </c>
      <c r="E193" s="19" t="s">
        <v>1824</v>
      </c>
      <c r="F193" s="19" t="s">
        <v>261</v>
      </c>
      <c r="G193" s="20" t="s">
        <v>1824</v>
      </c>
      <c r="H193" s="19"/>
      <c r="I193" s="19" t="s">
        <v>230</v>
      </c>
      <c r="J193" s="19" t="s">
        <v>296</v>
      </c>
      <c r="K193" s="19" t="s">
        <v>315</v>
      </c>
      <c r="L193" s="19" t="s">
        <v>282</v>
      </c>
      <c r="M193" s="19" t="s">
        <v>234</v>
      </c>
      <c r="N193" s="19" t="s">
        <v>284</v>
      </c>
      <c r="O193" s="19" t="s">
        <v>311</v>
      </c>
      <c r="P193" s="51" t="s">
        <v>285</v>
      </c>
      <c r="Q193" s="19" t="s">
        <v>316</v>
      </c>
      <c r="R193" s="19">
        <v>8000</v>
      </c>
      <c r="S193" s="19" t="s">
        <v>239</v>
      </c>
      <c r="T193" s="19" t="s">
        <v>287</v>
      </c>
      <c r="U193" s="20" t="s">
        <v>287</v>
      </c>
      <c r="V193" s="19" t="s">
        <v>1767</v>
      </c>
      <c r="W193" s="19" t="s">
        <v>222</v>
      </c>
      <c r="X193" s="35">
        <v>20</v>
      </c>
      <c r="Y193" s="35">
        <v>20</v>
      </c>
      <c r="Z193" s="32"/>
      <c r="AA193" s="22">
        <v>6</v>
      </c>
      <c r="AB193" s="22">
        <v>3</v>
      </c>
      <c r="AC193" s="22">
        <v>3</v>
      </c>
      <c r="AD193" s="22">
        <v>3</v>
      </c>
      <c r="AE193" s="61">
        <f t="shared" si="57"/>
        <v>15</v>
      </c>
      <c r="AF193" s="22"/>
      <c r="AG193" s="40">
        <f t="shared" si="58"/>
        <v>15</v>
      </c>
      <c r="AH193" s="24"/>
      <c r="AI193" s="24">
        <v>10</v>
      </c>
      <c r="AJ193" s="23">
        <f t="shared" si="59"/>
        <v>25</v>
      </c>
      <c r="AK193" s="25">
        <v>5</v>
      </c>
      <c r="AL193" s="25">
        <v>10</v>
      </c>
      <c r="AM193" s="25">
        <v>10</v>
      </c>
      <c r="AN193" s="25"/>
      <c r="AO193" s="25">
        <f t="shared" si="61"/>
        <v>25</v>
      </c>
      <c r="AP193" s="13"/>
      <c r="AQ193" s="21"/>
      <c r="AR193" s="21"/>
      <c r="AS193" s="21"/>
      <c r="AT193" s="21"/>
      <c r="AU193" s="21"/>
      <c r="AV193" s="21"/>
      <c r="AW193" s="21"/>
      <c r="AX193" s="21"/>
      <c r="AY193" s="77"/>
      <c r="AZ193" s="21"/>
      <c r="BA193" s="21">
        <v>5</v>
      </c>
      <c r="BB193" s="21">
        <v>5</v>
      </c>
      <c r="BC193" s="21"/>
      <c r="BD193" s="21"/>
      <c r="BE193" s="21"/>
      <c r="BF193" s="77"/>
      <c r="BG193" s="21">
        <v>5</v>
      </c>
      <c r="BH193" s="21"/>
      <c r="BI193" s="21"/>
      <c r="BJ193" s="21"/>
      <c r="BK193" s="21"/>
      <c r="BL193" s="21"/>
      <c r="BM193" s="77"/>
      <c r="BN193" s="21"/>
      <c r="BO193" s="21"/>
      <c r="BP193" s="21"/>
      <c r="BQ193" s="21"/>
      <c r="BR193" s="21"/>
      <c r="BS193" s="21"/>
      <c r="BT193" s="96">
        <f t="shared" si="48"/>
        <v>15</v>
      </c>
      <c r="BU193" s="94">
        <f t="shared" si="49"/>
        <v>10</v>
      </c>
      <c r="BV193" s="26"/>
      <c r="BW193" s="27"/>
      <c r="BX193" s="19" t="s">
        <v>1824</v>
      </c>
      <c r="BY193" s="19" t="b">
        <f t="shared" si="62"/>
        <v>1</v>
      </c>
      <c r="BZ193" s="53" t="s">
        <v>1824</v>
      </c>
      <c r="CA193" s="19" t="s">
        <v>1941</v>
      </c>
      <c r="CB193" s="19" t="s">
        <v>1172</v>
      </c>
      <c r="CC193" s="19" t="s">
        <v>1173</v>
      </c>
      <c r="CD193" s="19" t="s">
        <v>1228</v>
      </c>
      <c r="CE193" s="19" t="s">
        <v>1229</v>
      </c>
      <c r="CF193" s="19" t="s">
        <v>1209</v>
      </c>
      <c r="CG193" s="19" t="s">
        <v>1210</v>
      </c>
      <c r="CH193" s="19" t="s">
        <v>1244</v>
      </c>
      <c r="CI193" s="19" t="s">
        <v>1245</v>
      </c>
      <c r="CJ193" s="19" t="s">
        <v>1246</v>
      </c>
      <c r="CK193" s="19" t="s">
        <v>1247</v>
      </c>
      <c r="CL193" s="19" t="s">
        <v>1248</v>
      </c>
      <c r="CM193" s="19" t="s">
        <v>1249</v>
      </c>
      <c r="CN193" s="19" t="s">
        <v>1174</v>
      </c>
      <c r="CO193" s="19" t="s">
        <v>1175</v>
      </c>
      <c r="CP193" s="19" t="s">
        <v>1236</v>
      </c>
      <c r="CQ193" s="19" t="s">
        <v>1237</v>
      </c>
      <c r="CR193" s="19" t="s">
        <v>1238</v>
      </c>
      <c r="CS193" s="19" t="s">
        <v>1239</v>
      </c>
      <c r="CT193" s="19" t="s">
        <v>1250</v>
      </c>
      <c r="CU193" s="19" t="s">
        <v>1251</v>
      </c>
      <c r="CV193" s="19"/>
      <c r="CW193" s="19"/>
      <c r="CX193" s="19"/>
      <c r="CY193" s="19"/>
      <c r="CZ193" s="19"/>
      <c r="DA193" s="19"/>
      <c r="DB193" s="19"/>
      <c r="DC193" s="19"/>
    </row>
    <row r="194" spans="1:107" s="7" customFormat="1" x14ac:dyDescent="0.25">
      <c r="A194" s="19" t="s">
        <v>228</v>
      </c>
      <c r="B194" s="19" t="s">
        <v>80</v>
      </c>
      <c r="C194" s="19" t="str">
        <f t="shared" si="60"/>
        <v>91408019India</v>
      </c>
      <c r="D194" s="19">
        <v>91408019</v>
      </c>
      <c r="E194" s="19" t="s">
        <v>1825</v>
      </c>
      <c r="F194" s="19" t="s">
        <v>261</v>
      </c>
      <c r="G194" s="20" t="s">
        <v>1825</v>
      </c>
      <c r="H194" s="19"/>
      <c r="I194" s="19" t="s">
        <v>230</v>
      </c>
      <c r="J194" s="19" t="s">
        <v>296</v>
      </c>
      <c r="K194" s="19" t="s">
        <v>315</v>
      </c>
      <c r="L194" s="19" t="s">
        <v>262</v>
      </c>
      <c r="M194" s="19" t="s">
        <v>234</v>
      </c>
      <c r="N194" s="19" t="s">
        <v>284</v>
      </c>
      <c r="O194" s="19" t="s">
        <v>293</v>
      </c>
      <c r="P194" s="51" t="s">
        <v>285</v>
      </c>
      <c r="Q194" s="19" t="s">
        <v>316</v>
      </c>
      <c r="R194" s="19">
        <v>8000</v>
      </c>
      <c r="S194" s="19" t="s">
        <v>239</v>
      </c>
      <c r="T194" s="19" t="s">
        <v>287</v>
      </c>
      <c r="U194" s="20" t="s">
        <v>287</v>
      </c>
      <c r="V194" s="19" t="s">
        <v>1768</v>
      </c>
      <c r="W194" s="19" t="s">
        <v>219</v>
      </c>
      <c r="X194" s="35">
        <v>10</v>
      </c>
      <c r="Y194" s="35">
        <v>10</v>
      </c>
      <c r="Z194" s="32"/>
      <c r="AA194" s="22">
        <v>2</v>
      </c>
      <c r="AB194" s="22">
        <v>2</v>
      </c>
      <c r="AC194" s="22">
        <v>1</v>
      </c>
      <c r="AD194" s="22"/>
      <c r="AE194" s="61">
        <f t="shared" si="57"/>
        <v>5</v>
      </c>
      <c r="AF194" s="22"/>
      <c r="AG194" s="40">
        <f t="shared" si="58"/>
        <v>5</v>
      </c>
      <c r="AH194" s="24"/>
      <c r="AI194" s="24">
        <v>5</v>
      </c>
      <c r="AJ194" s="23">
        <f t="shared" si="59"/>
        <v>10</v>
      </c>
      <c r="AK194" s="25"/>
      <c r="AL194" s="25">
        <v>5</v>
      </c>
      <c r="AM194" s="25">
        <v>5</v>
      </c>
      <c r="AN194" s="25"/>
      <c r="AO194" s="25">
        <f t="shared" si="61"/>
        <v>10</v>
      </c>
      <c r="AP194" s="13"/>
      <c r="AQ194" s="21"/>
      <c r="AR194" s="21"/>
      <c r="AS194" s="21"/>
      <c r="AT194" s="21"/>
      <c r="AU194" s="21"/>
      <c r="AV194" s="21"/>
      <c r="AW194" s="21"/>
      <c r="AX194" s="21"/>
      <c r="AY194" s="77"/>
      <c r="AZ194" s="21"/>
      <c r="BA194" s="21">
        <v>5</v>
      </c>
      <c r="BB194" s="21"/>
      <c r="BC194" s="21"/>
      <c r="BD194" s="21"/>
      <c r="BE194" s="21"/>
      <c r="BF194" s="77"/>
      <c r="BG194" s="21"/>
      <c r="BH194" s="21"/>
      <c r="BI194" s="21"/>
      <c r="BJ194" s="21"/>
      <c r="BK194" s="21"/>
      <c r="BL194" s="21"/>
      <c r="BM194" s="77"/>
      <c r="BN194" s="21"/>
      <c r="BO194" s="21"/>
      <c r="BP194" s="21"/>
      <c r="BQ194" s="21"/>
      <c r="BR194" s="21"/>
      <c r="BS194" s="21"/>
      <c r="BT194" s="96">
        <f t="shared" si="48"/>
        <v>5</v>
      </c>
      <c r="BU194" s="94">
        <f t="shared" si="49"/>
        <v>5</v>
      </c>
      <c r="BV194" s="26"/>
      <c r="BW194" s="27"/>
      <c r="BX194" s="19" t="s">
        <v>1825</v>
      </c>
      <c r="BY194" s="19" t="b">
        <f t="shared" si="62"/>
        <v>1</v>
      </c>
      <c r="BZ194" s="53" t="s">
        <v>1825</v>
      </c>
      <c r="CA194" s="19" t="s">
        <v>1942</v>
      </c>
      <c r="CB194" s="19" t="s">
        <v>1172</v>
      </c>
      <c r="CC194" s="19" t="s">
        <v>1173</v>
      </c>
      <c r="CD194" s="19" t="s">
        <v>1228</v>
      </c>
      <c r="CE194" s="19" t="s">
        <v>1229</v>
      </c>
      <c r="CF194" s="19" t="s">
        <v>1209</v>
      </c>
      <c r="CG194" s="19" t="s">
        <v>1210</v>
      </c>
      <c r="CH194" s="19" t="s">
        <v>1244</v>
      </c>
      <c r="CI194" s="19" t="s">
        <v>1245</v>
      </c>
      <c r="CJ194" s="19" t="s">
        <v>1943</v>
      </c>
      <c r="CK194" s="19" t="s">
        <v>1944</v>
      </c>
      <c r="CL194" s="19" t="s">
        <v>1248</v>
      </c>
      <c r="CM194" s="19" t="s">
        <v>1249</v>
      </c>
      <c r="CN194" s="19" t="s">
        <v>1174</v>
      </c>
      <c r="CO194" s="19" t="s">
        <v>1175</v>
      </c>
      <c r="CP194" s="19" t="s">
        <v>1236</v>
      </c>
      <c r="CQ194" s="19" t="s">
        <v>1237</v>
      </c>
      <c r="CR194" s="19" t="s">
        <v>1238</v>
      </c>
      <c r="CS194" s="19" t="s">
        <v>1239</v>
      </c>
      <c r="CT194" s="19" t="s">
        <v>1250</v>
      </c>
      <c r="CU194" s="19" t="s">
        <v>1251</v>
      </c>
      <c r="CV194" s="19"/>
      <c r="CW194" s="19"/>
      <c r="CX194" s="19"/>
      <c r="CY194" s="19"/>
      <c r="CZ194" s="19"/>
      <c r="DA194" s="19"/>
      <c r="DB194" s="19"/>
      <c r="DC194" s="19"/>
    </row>
    <row r="195" spans="1:107" s="7" customFormat="1" x14ac:dyDescent="0.25">
      <c r="A195" s="19" t="s">
        <v>228</v>
      </c>
      <c r="B195" s="19" t="s">
        <v>80</v>
      </c>
      <c r="C195" s="19" t="str">
        <f t="shared" si="60"/>
        <v>91408022India</v>
      </c>
      <c r="D195" s="19">
        <v>91408022</v>
      </c>
      <c r="E195" s="19" t="s">
        <v>1826</v>
      </c>
      <c r="F195" s="19" t="s">
        <v>261</v>
      </c>
      <c r="G195" s="20" t="s">
        <v>1826</v>
      </c>
      <c r="H195" s="19"/>
      <c r="I195" s="19" t="s">
        <v>230</v>
      </c>
      <c r="J195" s="19" t="s">
        <v>296</v>
      </c>
      <c r="K195" s="19" t="s">
        <v>315</v>
      </c>
      <c r="L195" s="19" t="s">
        <v>262</v>
      </c>
      <c r="M195" s="19" t="s">
        <v>234</v>
      </c>
      <c r="N195" s="19" t="s">
        <v>284</v>
      </c>
      <c r="O195" s="19" t="s">
        <v>293</v>
      </c>
      <c r="P195" s="51" t="s">
        <v>285</v>
      </c>
      <c r="Q195" s="19" t="s">
        <v>316</v>
      </c>
      <c r="R195" s="19">
        <v>8000</v>
      </c>
      <c r="S195" s="19" t="s">
        <v>239</v>
      </c>
      <c r="T195" s="19" t="s">
        <v>287</v>
      </c>
      <c r="U195" s="20" t="s">
        <v>287</v>
      </c>
      <c r="V195" s="19" t="s">
        <v>1769</v>
      </c>
      <c r="W195" s="19" t="s">
        <v>222</v>
      </c>
      <c r="X195" s="35">
        <v>10</v>
      </c>
      <c r="Y195" s="35">
        <v>10</v>
      </c>
      <c r="Z195" s="32"/>
      <c r="AA195" s="22">
        <v>2</v>
      </c>
      <c r="AB195" s="22">
        <v>2</v>
      </c>
      <c r="AC195" s="22">
        <v>1</v>
      </c>
      <c r="AD195" s="22"/>
      <c r="AE195" s="61">
        <f t="shared" si="57"/>
        <v>5</v>
      </c>
      <c r="AF195" s="22"/>
      <c r="AG195" s="40">
        <f t="shared" si="58"/>
        <v>5</v>
      </c>
      <c r="AH195" s="24"/>
      <c r="AI195" s="24">
        <v>5</v>
      </c>
      <c r="AJ195" s="23">
        <f t="shared" si="59"/>
        <v>10</v>
      </c>
      <c r="AK195" s="25"/>
      <c r="AL195" s="25">
        <v>5</v>
      </c>
      <c r="AM195" s="25">
        <v>5</v>
      </c>
      <c r="AN195" s="25"/>
      <c r="AO195" s="25">
        <f t="shared" si="61"/>
        <v>10</v>
      </c>
      <c r="AP195" s="13"/>
      <c r="AQ195" s="21"/>
      <c r="AR195" s="21"/>
      <c r="AS195" s="21"/>
      <c r="AT195" s="21"/>
      <c r="AU195" s="21"/>
      <c r="AV195" s="21"/>
      <c r="AW195" s="21"/>
      <c r="AX195" s="21"/>
      <c r="AY195" s="77"/>
      <c r="AZ195" s="21"/>
      <c r="BA195" s="21"/>
      <c r="BB195" s="21">
        <v>5</v>
      </c>
      <c r="BC195" s="21"/>
      <c r="BD195" s="21"/>
      <c r="BE195" s="21"/>
      <c r="BF195" s="77"/>
      <c r="BG195" s="21"/>
      <c r="BH195" s="21"/>
      <c r="BI195" s="21"/>
      <c r="BJ195" s="21"/>
      <c r="BK195" s="21"/>
      <c r="BL195" s="21"/>
      <c r="BM195" s="77"/>
      <c r="BN195" s="21"/>
      <c r="BO195" s="21"/>
      <c r="BP195" s="21"/>
      <c r="BQ195" s="21"/>
      <c r="BR195" s="21"/>
      <c r="BS195" s="21"/>
      <c r="BT195" s="96">
        <f t="shared" si="48"/>
        <v>5</v>
      </c>
      <c r="BU195" s="94">
        <f t="shared" si="49"/>
        <v>5</v>
      </c>
      <c r="BV195" s="26"/>
      <c r="BW195" s="27"/>
      <c r="BX195" s="19" t="s">
        <v>1826</v>
      </c>
      <c r="BY195" s="19" t="b">
        <f t="shared" si="62"/>
        <v>1</v>
      </c>
      <c r="BZ195" s="53" t="s">
        <v>1826</v>
      </c>
      <c r="CA195" s="19" t="s">
        <v>1945</v>
      </c>
      <c r="CB195" s="19" t="s">
        <v>1172</v>
      </c>
      <c r="CC195" s="19" t="s">
        <v>1173</v>
      </c>
      <c r="CD195" s="19" t="s">
        <v>1228</v>
      </c>
      <c r="CE195" s="19" t="s">
        <v>1229</v>
      </c>
      <c r="CF195" s="19" t="s">
        <v>1209</v>
      </c>
      <c r="CG195" s="19" t="s">
        <v>1210</v>
      </c>
      <c r="CH195" s="19" t="s">
        <v>1244</v>
      </c>
      <c r="CI195" s="19" t="s">
        <v>1245</v>
      </c>
      <c r="CJ195" s="19" t="s">
        <v>1943</v>
      </c>
      <c r="CK195" s="19" t="s">
        <v>1944</v>
      </c>
      <c r="CL195" s="19" t="s">
        <v>1248</v>
      </c>
      <c r="CM195" s="19" t="s">
        <v>1249</v>
      </c>
      <c r="CN195" s="19" t="s">
        <v>1174</v>
      </c>
      <c r="CO195" s="19" t="s">
        <v>1175</v>
      </c>
      <c r="CP195" s="19" t="s">
        <v>1236</v>
      </c>
      <c r="CQ195" s="19" t="s">
        <v>1237</v>
      </c>
      <c r="CR195" s="19" t="s">
        <v>1238</v>
      </c>
      <c r="CS195" s="19" t="s">
        <v>1239</v>
      </c>
      <c r="CT195" s="19" t="s">
        <v>1250</v>
      </c>
      <c r="CU195" s="19" t="s">
        <v>1251</v>
      </c>
      <c r="CV195" s="19"/>
      <c r="CW195" s="19"/>
      <c r="CX195" s="19"/>
      <c r="CY195" s="19"/>
      <c r="CZ195" s="19"/>
      <c r="DA195" s="19"/>
      <c r="DB195" s="19"/>
      <c r="DC195" s="19"/>
    </row>
    <row r="196" spans="1:107" s="7" customFormat="1" x14ac:dyDescent="0.25">
      <c r="A196" s="19" t="s">
        <v>224</v>
      </c>
      <c r="B196" s="19" t="s">
        <v>224</v>
      </c>
      <c r="C196" s="19" t="str">
        <f t="shared" si="60"/>
        <v>91402109NPI Proj</v>
      </c>
      <c r="D196" s="19">
        <v>91402109</v>
      </c>
      <c r="E196" s="19" t="s">
        <v>498</v>
      </c>
      <c r="F196" s="19" t="s">
        <v>261</v>
      </c>
      <c r="G196" s="20" t="s">
        <v>498</v>
      </c>
      <c r="H196" s="19"/>
      <c r="I196" s="19" t="s">
        <v>230</v>
      </c>
      <c r="J196" s="19" t="s">
        <v>296</v>
      </c>
      <c r="K196" s="19" t="s">
        <v>315</v>
      </c>
      <c r="L196" s="19" t="s">
        <v>282</v>
      </c>
      <c r="M196" s="19" t="s">
        <v>499</v>
      </c>
      <c r="N196" s="19" t="s">
        <v>284</v>
      </c>
      <c r="O196" s="19" t="s">
        <v>335</v>
      </c>
      <c r="P196" s="51" t="s">
        <v>285</v>
      </c>
      <c r="Q196" s="19" t="s">
        <v>316</v>
      </c>
      <c r="R196" s="19">
        <v>8000</v>
      </c>
      <c r="S196" s="19" t="s">
        <v>239</v>
      </c>
      <c r="T196" s="19" t="s">
        <v>287</v>
      </c>
      <c r="U196" s="20" t="s">
        <v>287</v>
      </c>
      <c r="V196" s="19" t="s">
        <v>227</v>
      </c>
      <c r="W196" s="19"/>
      <c r="X196" s="35"/>
      <c r="Y196" s="35"/>
      <c r="Z196" s="32"/>
      <c r="AA196" s="22">
        <v>2</v>
      </c>
      <c r="AB196" s="22"/>
      <c r="AC196" s="22"/>
      <c r="AD196" s="22"/>
      <c r="AE196" s="61">
        <f t="shared" si="57"/>
        <v>2</v>
      </c>
      <c r="AF196" s="22"/>
      <c r="AG196" s="40">
        <f t="shared" si="58"/>
        <v>2</v>
      </c>
      <c r="AH196" s="24"/>
      <c r="AI196" s="24"/>
      <c r="AJ196" s="23">
        <f t="shared" si="59"/>
        <v>2</v>
      </c>
      <c r="AK196" s="25"/>
      <c r="AL196" s="25"/>
      <c r="AM196" s="25"/>
      <c r="AN196" s="25"/>
      <c r="AO196" s="25">
        <f t="shared" si="61"/>
        <v>0</v>
      </c>
      <c r="AP196" s="13"/>
      <c r="AQ196" s="21"/>
      <c r="AR196" s="21"/>
      <c r="AS196" s="21"/>
      <c r="AT196" s="21"/>
      <c r="AU196" s="21"/>
      <c r="AV196" s="21"/>
      <c r="AW196" s="21"/>
      <c r="AX196" s="21"/>
      <c r="AY196" s="77"/>
      <c r="AZ196" s="21"/>
      <c r="BA196" s="21"/>
      <c r="BB196" s="21"/>
      <c r="BC196" s="21"/>
      <c r="BD196" s="21"/>
      <c r="BE196" s="21"/>
      <c r="BF196" s="77"/>
      <c r="BG196" s="21"/>
      <c r="BH196" s="21"/>
      <c r="BI196" s="21"/>
      <c r="BJ196" s="21"/>
      <c r="BK196" s="21"/>
      <c r="BL196" s="21"/>
      <c r="BM196" s="77"/>
      <c r="BN196" s="21"/>
      <c r="BO196" s="21"/>
      <c r="BP196" s="21"/>
      <c r="BQ196" s="21"/>
      <c r="BR196" s="21"/>
      <c r="BS196" s="21"/>
      <c r="BT196" s="96">
        <f t="shared" si="48"/>
        <v>0</v>
      </c>
      <c r="BU196" s="94">
        <f t="shared" si="49"/>
        <v>0</v>
      </c>
      <c r="BV196" s="26" t="s">
        <v>2021</v>
      </c>
      <c r="BW196" s="27"/>
      <c r="BX196" s="19" t="s">
        <v>498</v>
      </c>
      <c r="BY196" s="19" t="b">
        <f t="shared" si="62"/>
        <v>1</v>
      </c>
      <c r="BZ196" s="53" t="s">
        <v>498</v>
      </c>
      <c r="CA196" s="19" t="s">
        <v>1252</v>
      </c>
      <c r="CB196" s="19" t="s">
        <v>1172</v>
      </c>
      <c r="CC196" s="19" t="s">
        <v>1173</v>
      </c>
      <c r="CD196" s="19" t="s">
        <v>1228</v>
      </c>
      <c r="CE196" s="19" t="s">
        <v>1229</v>
      </c>
      <c r="CF196" s="19" t="s">
        <v>1253</v>
      </c>
      <c r="CG196" s="19" t="s">
        <v>1254</v>
      </c>
      <c r="CH196" s="19" t="s">
        <v>1244</v>
      </c>
      <c r="CI196" s="19" t="s">
        <v>1245</v>
      </c>
      <c r="CJ196" s="19" t="s">
        <v>1255</v>
      </c>
      <c r="CK196" s="19" t="s">
        <v>1256</v>
      </c>
      <c r="CL196" s="19" t="s">
        <v>1257</v>
      </c>
      <c r="CM196" s="19" t="s">
        <v>1682</v>
      </c>
      <c r="CN196" s="19" t="s">
        <v>1174</v>
      </c>
      <c r="CO196" s="19" t="s">
        <v>1175</v>
      </c>
      <c r="CP196" s="19" t="s">
        <v>1236</v>
      </c>
      <c r="CQ196" s="19" t="s">
        <v>1237</v>
      </c>
      <c r="CR196" s="19" t="s">
        <v>1258</v>
      </c>
      <c r="CS196" s="19" t="s">
        <v>1259</v>
      </c>
      <c r="CT196" s="19" t="s">
        <v>1250</v>
      </c>
      <c r="CU196" s="19" t="s">
        <v>1251</v>
      </c>
      <c r="CV196" s="19"/>
      <c r="CW196" s="19"/>
      <c r="CX196" s="19"/>
      <c r="CY196" s="19"/>
      <c r="CZ196" s="19"/>
      <c r="DA196" s="19"/>
      <c r="DB196" s="19"/>
      <c r="DC196" s="19"/>
    </row>
    <row r="197" spans="1:107" s="7" customFormat="1" x14ac:dyDescent="0.25">
      <c r="A197" s="19" t="s">
        <v>228</v>
      </c>
      <c r="B197" s="19" t="s">
        <v>80</v>
      </c>
      <c r="C197" s="19" t="str">
        <f t="shared" si="60"/>
        <v>97107807India</v>
      </c>
      <c r="D197" s="19">
        <v>97107807</v>
      </c>
      <c r="E197" s="19" t="s">
        <v>302</v>
      </c>
      <c r="F197" s="19" t="s">
        <v>261</v>
      </c>
      <c r="G197" s="20" t="s">
        <v>302</v>
      </c>
      <c r="H197" s="19"/>
      <c r="I197" s="19" t="s">
        <v>230</v>
      </c>
      <c r="J197" s="19" t="s">
        <v>288</v>
      </c>
      <c r="K197" s="19" t="s">
        <v>303</v>
      </c>
      <c r="L197" s="19" t="s">
        <v>282</v>
      </c>
      <c r="M197" s="19" t="s">
        <v>234</v>
      </c>
      <c r="N197" s="19" t="s">
        <v>284</v>
      </c>
      <c r="O197" s="19" t="s">
        <v>304</v>
      </c>
      <c r="P197" s="51" t="s">
        <v>285</v>
      </c>
      <c r="Q197" s="19" t="s">
        <v>294</v>
      </c>
      <c r="R197" s="19">
        <v>8400</v>
      </c>
      <c r="S197" s="19" t="s">
        <v>239</v>
      </c>
      <c r="T197" s="19" t="s">
        <v>287</v>
      </c>
      <c r="U197" s="20" t="s">
        <v>287</v>
      </c>
      <c r="V197" s="19" t="s">
        <v>113</v>
      </c>
      <c r="W197" s="19" t="s">
        <v>222</v>
      </c>
      <c r="X197" s="35">
        <v>20</v>
      </c>
      <c r="Y197" s="35">
        <v>20</v>
      </c>
      <c r="Z197" s="32"/>
      <c r="AA197" s="22">
        <v>6</v>
      </c>
      <c r="AB197" s="22">
        <v>3</v>
      </c>
      <c r="AC197" s="22">
        <v>3</v>
      </c>
      <c r="AD197" s="22">
        <v>3</v>
      </c>
      <c r="AE197" s="61">
        <f t="shared" si="57"/>
        <v>15</v>
      </c>
      <c r="AF197" s="22"/>
      <c r="AG197" s="40">
        <f t="shared" si="58"/>
        <v>15</v>
      </c>
      <c r="AH197" s="24"/>
      <c r="AI197" s="24">
        <v>15</v>
      </c>
      <c r="AJ197" s="23">
        <f t="shared" si="59"/>
        <v>30</v>
      </c>
      <c r="AK197" s="25">
        <v>10</v>
      </c>
      <c r="AL197" s="25">
        <v>10</v>
      </c>
      <c r="AM197" s="25">
        <v>10</v>
      </c>
      <c r="AN197" s="25"/>
      <c r="AO197" s="25">
        <f t="shared" si="61"/>
        <v>30</v>
      </c>
      <c r="AP197" s="13"/>
      <c r="AQ197" s="21"/>
      <c r="AR197" s="21"/>
      <c r="AS197" s="21"/>
      <c r="AT197" s="21">
        <v>5</v>
      </c>
      <c r="AU197" s="21">
        <v>5</v>
      </c>
      <c r="AV197" s="21"/>
      <c r="AW197" s="21"/>
      <c r="AX197" s="21"/>
      <c r="AY197" s="77"/>
      <c r="AZ197" s="21">
        <v>5</v>
      </c>
      <c r="BA197" s="21"/>
      <c r="BB197" s="21"/>
      <c r="BC197" s="21"/>
      <c r="BD197" s="21"/>
      <c r="BE197" s="21"/>
      <c r="BF197" s="77"/>
      <c r="BG197" s="21"/>
      <c r="BH197" s="21"/>
      <c r="BI197" s="21"/>
      <c r="BJ197" s="21"/>
      <c r="BK197" s="21"/>
      <c r="BL197" s="21"/>
      <c r="BM197" s="77"/>
      <c r="BN197" s="21"/>
      <c r="BO197" s="21"/>
      <c r="BP197" s="21"/>
      <c r="BQ197" s="21"/>
      <c r="BR197" s="21"/>
      <c r="BS197" s="21"/>
      <c r="BT197" s="96">
        <f t="shared" si="48"/>
        <v>15</v>
      </c>
      <c r="BU197" s="94">
        <f t="shared" si="49"/>
        <v>15</v>
      </c>
      <c r="BV197" s="26"/>
      <c r="BW197" s="27"/>
      <c r="BX197" s="19" t="s">
        <v>302</v>
      </c>
      <c r="BY197" s="19" t="b">
        <f t="shared" si="62"/>
        <v>1</v>
      </c>
      <c r="BZ197" s="53" t="s">
        <v>302</v>
      </c>
      <c r="CA197" s="19" t="s">
        <v>1265</v>
      </c>
      <c r="CB197" s="19" t="s">
        <v>1189</v>
      </c>
      <c r="CC197" s="19" t="s">
        <v>1260</v>
      </c>
      <c r="CD197" s="19" t="s">
        <v>1266</v>
      </c>
      <c r="CE197" s="19" t="s">
        <v>1267</v>
      </c>
      <c r="CF197" s="19" t="s">
        <v>1176</v>
      </c>
      <c r="CG197" s="19" t="s">
        <v>1177</v>
      </c>
      <c r="CH197" s="19" t="s">
        <v>1268</v>
      </c>
      <c r="CI197" s="19" t="s">
        <v>1269</v>
      </c>
      <c r="CJ197" s="19" t="s">
        <v>1270</v>
      </c>
      <c r="CK197" s="19" t="s">
        <v>1271</v>
      </c>
      <c r="CL197" s="19" t="s">
        <v>1272</v>
      </c>
      <c r="CM197" s="19" t="s">
        <v>1273</v>
      </c>
      <c r="CN197" s="19" t="s">
        <v>1261</v>
      </c>
      <c r="CO197" s="19" t="s">
        <v>1200</v>
      </c>
      <c r="CP197" s="19" t="s">
        <v>1262</v>
      </c>
      <c r="CQ197" s="19" t="s">
        <v>1263</v>
      </c>
      <c r="CR197" s="19" t="s">
        <v>1274</v>
      </c>
      <c r="CS197" s="19" t="s">
        <v>1275</v>
      </c>
      <c r="CT197" s="19" t="s">
        <v>1276</v>
      </c>
      <c r="CU197" s="19" t="s">
        <v>1277</v>
      </c>
      <c r="CV197" s="19"/>
      <c r="CW197" s="19"/>
      <c r="CX197" s="19"/>
      <c r="CY197" s="19"/>
      <c r="CZ197" s="19"/>
      <c r="DA197" s="19"/>
      <c r="DB197" s="19"/>
      <c r="DC197" s="19"/>
    </row>
    <row r="198" spans="1:107" s="7" customFormat="1" x14ac:dyDescent="0.25">
      <c r="A198" s="19" t="s">
        <v>228</v>
      </c>
      <c r="B198" s="19" t="s">
        <v>80</v>
      </c>
      <c r="C198" s="19" t="str">
        <f t="shared" si="60"/>
        <v>97151983India</v>
      </c>
      <c r="D198" s="19">
        <v>97151983</v>
      </c>
      <c r="E198" s="19" t="s">
        <v>319</v>
      </c>
      <c r="F198" s="19" t="s">
        <v>261</v>
      </c>
      <c r="G198" s="20" t="s">
        <v>319</v>
      </c>
      <c r="H198" s="19"/>
      <c r="I198" s="19" t="s">
        <v>230</v>
      </c>
      <c r="J198" s="19" t="s">
        <v>296</v>
      </c>
      <c r="K198" s="19" t="s">
        <v>303</v>
      </c>
      <c r="L198" s="19" t="s">
        <v>262</v>
      </c>
      <c r="M198" s="19" t="s">
        <v>234</v>
      </c>
      <c r="N198" s="19" t="s">
        <v>284</v>
      </c>
      <c r="O198" s="19" t="s">
        <v>320</v>
      </c>
      <c r="P198" s="51" t="s">
        <v>285</v>
      </c>
      <c r="Q198" s="19" t="s">
        <v>294</v>
      </c>
      <c r="R198" s="19">
        <v>8400</v>
      </c>
      <c r="S198" s="19" t="s">
        <v>239</v>
      </c>
      <c r="T198" s="19" t="s">
        <v>287</v>
      </c>
      <c r="U198" s="20" t="s">
        <v>287</v>
      </c>
      <c r="V198" s="19" t="s">
        <v>119</v>
      </c>
      <c r="W198" s="19" t="s">
        <v>222</v>
      </c>
      <c r="X198" s="35">
        <v>30</v>
      </c>
      <c r="Y198" s="35">
        <v>30</v>
      </c>
      <c r="Z198" s="32"/>
      <c r="AA198" s="22">
        <v>10</v>
      </c>
      <c r="AB198" s="22">
        <v>5</v>
      </c>
      <c r="AC198" s="22">
        <v>5</v>
      </c>
      <c r="AD198" s="22">
        <v>5</v>
      </c>
      <c r="AE198" s="61">
        <f t="shared" si="57"/>
        <v>25</v>
      </c>
      <c r="AF198" s="22"/>
      <c r="AG198" s="40">
        <f t="shared" si="58"/>
        <v>25</v>
      </c>
      <c r="AH198" s="24"/>
      <c r="AI198" s="24">
        <v>20</v>
      </c>
      <c r="AJ198" s="23">
        <f t="shared" si="59"/>
        <v>45</v>
      </c>
      <c r="AK198" s="25">
        <v>10</v>
      </c>
      <c r="AL198" s="25">
        <v>10</v>
      </c>
      <c r="AM198" s="25">
        <v>10</v>
      </c>
      <c r="AN198" s="25">
        <v>15</v>
      </c>
      <c r="AO198" s="25">
        <f t="shared" si="61"/>
        <v>45</v>
      </c>
      <c r="AP198" s="13"/>
      <c r="AQ198" s="21"/>
      <c r="AR198" s="21"/>
      <c r="AS198" s="21"/>
      <c r="AT198" s="21"/>
      <c r="AU198" s="21"/>
      <c r="AV198" s="21">
        <v>5</v>
      </c>
      <c r="AW198" s="21">
        <v>5</v>
      </c>
      <c r="AX198" s="21"/>
      <c r="AY198" s="77"/>
      <c r="AZ198" s="21"/>
      <c r="BA198" s="21">
        <v>5</v>
      </c>
      <c r="BB198" s="21">
        <v>5</v>
      </c>
      <c r="BC198" s="21"/>
      <c r="BD198" s="21"/>
      <c r="BE198" s="21"/>
      <c r="BF198" s="77"/>
      <c r="BG198" s="21">
        <v>5</v>
      </c>
      <c r="BH198" s="21"/>
      <c r="BI198" s="21"/>
      <c r="BJ198" s="21"/>
      <c r="BK198" s="21"/>
      <c r="BL198" s="21"/>
      <c r="BM198" s="77"/>
      <c r="BN198" s="21"/>
      <c r="BO198" s="21"/>
      <c r="BP198" s="21"/>
      <c r="BQ198" s="21"/>
      <c r="BR198" s="21"/>
      <c r="BS198" s="21"/>
      <c r="BT198" s="96">
        <f t="shared" ref="BT198:BT211" si="63">SUM(AQ198:BS198)</f>
        <v>25</v>
      </c>
      <c r="BU198" s="94">
        <f t="shared" ref="BU198:BU211" si="64">AO198-BT198</f>
        <v>20</v>
      </c>
      <c r="BV198" s="26"/>
      <c r="BW198" s="27"/>
      <c r="BX198" s="19" t="s">
        <v>319</v>
      </c>
      <c r="BY198" s="19" t="b">
        <f t="shared" si="62"/>
        <v>1</v>
      </c>
      <c r="BZ198" s="53" t="s">
        <v>319</v>
      </c>
      <c r="CA198" s="19" t="s">
        <v>1278</v>
      </c>
      <c r="CB198" s="19" t="s">
        <v>1189</v>
      </c>
      <c r="CC198" s="19" t="s">
        <v>1260</v>
      </c>
      <c r="CD198" s="19" t="s">
        <v>1279</v>
      </c>
      <c r="CE198" s="19" t="s">
        <v>1280</v>
      </c>
      <c r="CF198" s="19" t="s">
        <v>1218</v>
      </c>
      <c r="CG198" s="19" t="s">
        <v>1219</v>
      </c>
      <c r="CH198" s="19" t="s">
        <v>1281</v>
      </c>
      <c r="CI198" s="19" t="s">
        <v>1282</v>
      </c>
      <c r="CJ198" s="19" t="s">
        <v>1283</v>
      </c>
      <c r="CK198" s="19" t="s">
        <v>1284</v>
      </c>
      <c r="CL198" s="19" t="s">
        <v>1285</v>
      </c>
      <c r="CM198" s="19" t="s">
        <v>1286</v>
      </c>
      <c r="CN198" s="19" t="s">
        <v>1261</v>
      </c>
      <c r="CO198" s="19" t="s">
        <v>1200</v>
      </c>
      <c r="CP198" s="19" t="s">
        <v>1236</v>
      </c>
      <c r="CQ198" s="19" t="s">
        <v>1237</v>
      </c>
      <c r="CR198" s="19" t="s">
        <v>1287</v>
      </c>
      <c r="CS198" s="19" t="s">
        <v>1288</v>
      </c>
      <c r="CT198" s="19" t="s">
        <v>1289</v>
      </c>
      <c r="CU198" s="19" t="s">
        <v>1290</v>
      </c>
      <c r="CV198" s="19"/>
      <c r="CW198" s="19"/>
      <c r="CX198" s="19"/>
      <c r="CY198" s="19"/>
      <c r="CZ198" s="19"/>
      <c r="DA198" s="19"/>
      <c r="DB198" s="19"/>
      <c r="DC198" s="19"/>
    </row>
    <row r="199" spans="1:107" s="7" customFormat="1" x14ac:dyDescent="0.25">
      <c r="A199" s="57" t="s">
        <v>224</v>
      </c>
      <c r="B199" s="57" t="s">
        <v>224</v>
      </c>
      <c r="C199" s="19" t="str">
        <f t="shared" si="60"/>
        <v>97151920NPI Proj</v>
      </c>
      <c r="D199" s="57">
        <v>97151920</v>
      </c>
      <c r="E199" s="19" t="s">
        <v>1858</v>
      </c>
      <c r="F199" s="19" t="s">
        <v>261</v>
      </c>
      <c r="G199" s="75" t="s">
        <v>1858</v>
      </c>
      <c r="H199" s="19"/>
      <c r="I199" s="57" t="s">
        <v>491</v>
      </c>
      <c r="J199" s="57" t="s">
        <v>1857</v>
      </c>
      <c r="K199" s="57" t="s">
        <v>303</v>
      </c>
      <c r="L199" s="57" t="s">
        <v>233</v>
      </c>
      <c r="M199" s="57" t="s">
        <v>234</v>
      </c>
      <c r="N199" s="57" t="s">
        <v>284</v>
      </c>
      <c r="O199" s="57" t="s">
        <v>1859</v>
      </c>
      <c r="P199" s="91" t="s">
        <v>285</v>
      </c>
      <c r="Q199" s="57" t="s">
        <v>294</v>
      </c>
      <c r="R199" s="57">
        <v>8400</v>
      </c>
      <c r="S199" s="57" t="s">
        <v>239</v>
      </c>
      <c r="T199" s="57" t="s">
        <v>287</v>
      </c>
      <c r="U199" s="75" t="s">
        <v>287</v>
      </c>
      <c r="V199" s="19" t="s">
        <v>1998</v>
      </c>
      <c r="W199" s="19"/>
      <c r="X199" s="35"/>
      <c r="Y199" s="35"/>
      <c r="Z199" s="32"/>
      <c r="AA199" s="22"/>
      <c r="AB199" s="22">
        <v>2</v>
      </c>
      <c r="AC199" s="22"/>
      <c r="AD199" s="22"/>
      <c r="AE199" s="61">
        <f t="shared" si="57"/>
        <v>2</v>
      </c>
      <c r="AF199" s="22"/>
      <c r="AG199" s="40">
        <f t="shared" si="58"/>
        <v>2</v>
      </c>
      <c r="AH199" s="24"/>
      <c r="AI199" s="24"/>
      <c r="AJ199" s="23">
        <f t="shared" si="59"/>
        <v>2</v>
      </c>
      <c r="AK199" s="25"/>
      <c r="AL199" s="25"/>
      <c r="AM199" s="25"/>
      <c r="AN199" s="25">
        <v>2</v>
      </c>
      <c r="AO199" s="25">
        <f t="shared" si="61"/>
        <v>2</v>
      </c>
      <c r="AP199" s="13"/>
      <c r="AQ199" s="21"/>
      <c r="AR199" s="21"/>
      <c r="AS199" s="21"/>
      <c r="AT199" s="21"/>
      <c r="AU199" s="21"/>
      <c r="AV199" s="21"/>
      <c r="AW199" s="21"/>
      <c r="AX199" s="21"/>
      <c r="AY199" s="77"/>
      <c r="AZ199" s="21"/>
      <c r="BA199" s="21"/>
      <c r="BB199" s="21"/>
      <c r="BC199" s="21"/>
      <c r="BD199" s="21"/>
      <c r="BE199" s="21"/>
      <c r="BF199" s="77"/>
      <c r="BG199" s="21"/>
      <c r="BH199" s="21"/>
      <c r="BI199" s="21"/>
      <c r="BJ199" s="21"/>
      <c r="BK199" s="21"/>
      <c r="BL199" s="21"/>
      <c r="BM199" s="77"/>
      <c r="BN199" s="21"/>
      <c r="BO199" s="21"/>
      <c r="BP199" s="21"/>
      <c r="BQ199" s="21"/>
      <c r="BR199" s="21"/>
      <c r="BS199" s="21"/>
      <c r="BT199" s="96">
        <f t="shared" si="63"/>
        <v>0</v>
      </c>
      <c r="BU199" s="94">
        <f t="shared" si="64"/>
        <v>2</v>
      </c>
      <c r="BV199" s="26"/>
      <c r="BW199" s="27"/>
      <c r="BX199" s="19" t="s">
        <v>1858</v>
      </c>
      <c r="BY199" s="19" t="b">
        <f t="shared" si="62"/>
        <v>1</v>
      </c>
      <c r="BZ199" s="53" t="s">
        <v>1858</v>
      </c>
      <c r="CA199" s="19" t="s">
        <v>1947</v>
      </c>
      <c r="CB199" s="19" t="s">
        <v>1189</v>
      </c>
      <c r="CC199" s="19" t="s">
        <v>1260</v>
      </c>
      <c r="CD199" s="19" t="s">
        <v>1948</v>
      </c>
      <c r="CE199" s="19" t="s">
        <v>1946</v>
      </c>
      <c r="CF199" s="19" t="s">
        <v>1938</v>
      </c>
      <c r="CG199" s="19" t="s">
        <v>1939</v>
      </c>
      <c r="CH199" s="19" t="s">
        <v>1949</v>
      </c>
      <c r="CI199" s="19" t="s">
        <v>1950</v>
      </c>
      <c r="CJ199" s="19" t="s">
        <v>1951</v>
      </c>
      <c r="CK199" s="19" t="s">
        <v>1952</v>
      </c>
      <c r="CL199" s="19" t="s">
        <v>1953</v>
      </c>
      <c r="CM199" s="19" t="s">
        <v>1954</v>
      </c>
      <c r="CN199" s="19" t="s">
        <v>1261</v>
      </c>
      <c r="CO199" s="19" t="s">
        <v>1200</v>
      </c>
      <c r="CP199" s="19" t="s">
        <v>1262</v>
      </c>
      <c r="CQ199" s="19" t="s">
        <v>1263</v>
      </c>
      <c r="CR199" s="19" t="s">
        <v>1955</v>
      </c>
      <c r="CS199" s="19" t="s">
        <v>1956</v>
      </c>
      <c r="CT199" s="19" t="s">
        <v>1957</v>
      </c>
      <c r="CU199" s="19" t="s">
        <v>1958</v>
      </c>
      <c r="CV199" s="19"/>
      <c r="CW199" s="19"/>
      <c r="CX199" s="19"/>
      <c r="CY199" s="19"/>
      <c r="CZ199" s="19"/>
      <c r="DA199" s="19"/>
      <c r="DB199" s="19"/>
      <c r="DC199" s="19"/>
    </row>
    <row r="200" spans="1:107" s="7" customFormat="1" x14ac:dyDescent="0.25">
      <c r="A200" s="19" t="s">
        <v>228</v>
      </c>
      <c r="B200" s="19" t="s">
        <v>80</v>
      </c>
      <c r="C200" s="19" t="str">
        <f t="shared" si="60"/>
        <v>91659279India</v>
      </c>
      <c r="D200" s="19">
        <v>91659279</v>
      </c>
      <c r="E200" s="19" t="s">
        <v>305</v>
      </c>
      <c r="F200" s="19" t="s">
        <v>261</v>
      </c>
      <c r="G200" s="20" t="s">
        <v>305</v>
      </c>
      <c r="H200" s="19"/>
      <c r="I200" s="19" t="s">
        <v>230</v>
      </c>
      <c r="J200" s="19" t="s">
        <v>296</v>
      </c>
      <c r="K200" s="19" t="s">
        <v>306</v>
      </c>
      <c r="L200" s="19" t="s">
        <v>279</v>
      </c>
      <c r="M200" s="19" t="s">
        <v>234</v>
      </c>
      <c r="N200" s="19" t="s">
        <v>284</v>
      </c>
      <c r="O200" s="19" t="s">
        <v>293</v>
      </c>
      <c r="P200" s="51" t="s">
        <v>285</v>
      </c>
      <c r="Q200" s="19" t="s">
        <v>307</v>
      </c>
      <c r="R200" s="19">
        <v>8900</v>
      </c>
      <c r="S200" s="19" t="s">
        <v>239</v>
      </c>
      <c r="T200" s="19" t="s">
        <v>287</v>
      </c>
      <c r="U200" s="20" t="s">
        <v>287</v>
      </c>
      <c r="V200" s="19" t="s">
        <v>114</v>
      </c>
      <c r="W200" s="19" t="s">
        <v>221</v>
      </c>
      <c r="X200" s="35">
        <v>35</v>
      </c>
      <c r="Y200" s="35">
        <v>36</v>
      </c>
      <c r="Z200" s="32"/>
      <c r="AA200" s="22">
        <v>12</v>
      </c>
      <c r="AB200" s="22">
        <v>8</v>
      </c>
      <c r="AC200" s="22">
        <v>5</v>
      </c>
      <c r="AD200" s="22">
        <v>5</v>
      </c>
      <c r="AE200" s="61">
        <f t="shared" si="57"/>
        <v>30</v>
      </c>
      <c r="AF200" s="22"/>
      <c r="AG200" s="40">
        <f t="shared" si="58"/>
        <v>30</v>
      </c>
      <c r="AH200" s="24"/>
      <c r="AI200" s="24">
        <v>20</v>
      </c>
      <c r="AJ200" s="23">
        <f t="shared" si="59"/>
        <v>50</v>
      </c>
      <c r="AK200" s="25">
        <v>15</v>
      </c>
      <c r="AL200" s="25">
        <v>15</v>
      </c>
      <c r="AM200" s="25">
        <v>15</v>
      </c>
      <c r="AN200" s="25">
        <v>5</v>
      </c>
      <c r="AO200" s="25">
        <f t="shared" si="61"/>
        <v>50</v>
      </c>
      <c r="AP200" s="13"/>
      <c r="AQ200" s="21"/>
      <c r="AR200" s="21"/>
      <c r="AS200" s="21">
        <v>5</v>
      </c>
      <c r="AT200" s="21">
        <v>5</v>
      </c>
      <c r="AU200" s="21">
        <v>5</v>
      </c>
      <c r="AV200" s="21"/>
      <c r="AW200" s="21"/>
      <c r="AX200" s="21"/>
      <c r="AY200" s="77"/>
      <c r="AZ200" s="21">
        <v>5</v>
      </c>
      <c r="BA200" s="21">
        <v>5</v>
      </c>
      <c r="BB200" s="21">
        <v>5</v>
      </c>
      <c r="BC200" s="21"/>
      <c r="BD200" s="21"/>
      <c r="BE200" s="21"/>
      <c r="BF200" s="77"/>
      <c r="BG200" s="21"/>
      <c r="BH200" s="21"/>
      <c r="BI200" s="21"/>
      <c r="BJ200" s="21"/>
      <c r="BK200" s="21"/>
      <c r="BL200" s="21"/>
      <c r="BM200" s="77"/>
      <c r="BN200" s="21"/>
      <c r="BO200" s="21"/>
      <c r="BP200" s="21"/>
      <c r="BQ200" s="21"/>
      <c r="BR200" s="21"/>
      <c r="BS200" s="21"/>
      <c r="BT200" s="96">
        <f t="shared" si="63"/>
        <v>30</v>
      </c>
      <c r="BU200" s="94">
        <f t="shared" si="64"/>
        <v>20</v>
      </c>
      <c r="BV200" s="26"/>
      <c r="BW200" s="27"/>
      <c r="BX200" s="19" t="s">
        <v>305</v>
      </c>
      <c r="BY200" s="19" t="b">
        <f t="shared" si="62"/>
        <v>1</v>
      </c>
      <c r="BZ200" s="53" t="s">
        <v>305</v>
      </c>
      <c r="CA200" s="19" t="s">
        <v>1306</v>
      </c>
      <c r="CB200" s="19" t="s">
        <v>1172</v>
      </c>
      <c r="CC200" s="19" t="s">
        <v>1173</v>
      </c>
      <c r="CD200" s="19" t="s">
        <v>1228</v>
      </c>
      <c r="CE200" s="19" t="s">
        <v>1229</v>
      </c>
      <c r="CF200" s="19" t="s">
        <v>1209</v>
      </c>
      <c r="CG200" s="19" t="s">
        <v>1210</v>
      </c>
      <c r="CH200" s="19" t="s">
        <v>1307</v>
      </c>
      <c r="CI200" s="19" t="s">
        <v>1308</v>
      </c>
      <c r="CJ200" s="19" t="s">
        <v>1309</v>
      </c>
      <c r="CK200" s="19" t="s">
        <v>1310</v>
      </c>
      <c r="CL200" s="19" t="s">
        <v>1311</v>
      </c>
      <c r="CM200" s="19" t="s">
        <v>1312</v>
      </c>
      <c r="CN200" s="19" t="s">
        <v>1174</v>
      </c>
      <c r="CO200" s="19" t="s">
        <v>1175</v>
      </c>
      <c r="CP200" s="19" t="s">
        <v>1300</v>
      </c>
      <c r="CQ200" s="19" t="s">
        <v>1301</v>
      </c>
      <c r="CR200" s="19" t="s">
        <v>1238</v>
      </c>
      <c r="CS200" s="19" t="s">
        <v>1239</v>
      </c>
      <c r="CT200" s="19" t="s">
        <v>1313</v>
      </c>
      <c r="CU200" s="19" t="s">
        <v>1314</v>
      </c>
      <c r="CV200" s="19"/>
      <c r="CW200" s="19"/>
      <c r="CX200" s="19" t="s">
        <v>1304</v>
      </c>
      <c r="CY200" s="19" t="s">
        <v>1305</v>
      </c>
      <c r="CZ200" s="19"/>
      <c r="DA200" s="19"/>
      <c r="DB200" s="19"/>
      <c r="DC200" s="19"/>
    </row>
    <row r="201" spans="1:107" s="7" customFormat="1" x14ac:dyDescent="0.25">
      <c r="A201" s="19" t="s">
        <v>228</v>
      </c>
      <c r="B201" s="19" t="s">
        <v>80</v>
      </c>
      <c r="C201" s="19" t="str">
        <f t="shared" si="60"/>
        <v>91658507India</v>
      </c>
      <c r="D201" s="19">
        <v>91658507</v>
      </c>
      <c r="E201" s="19" t="s">
        <v>318</v>
      </c>
      <c r="F201" s="19" t="s">
        <v>261</v>
      </c>
      <c r="G201" s="20" t="s">
        <v>318</v>
      </c>
      <c r="H201" s="19"/>
      <c r="I201" s="19" t="s">
        <v>230</v>
      </c>
      <c r="J201" s="19" t="s">
        <v>296</v>
      </c>
      <c r="K201" s="19" t="s">
        <v>317</v>
      </c>
      <c r="L201" s="19" t="s">
        <v>279</v>
      </c>
      <c r="M201" s="19" t="s">
        <v>298</v>
      </c>
      <c r="N201" s="19" t="s">
        <v>284</v>
      </c>
      <c r="O201" s="19" t="s">
        <v>293</v>
      </c>
      <c r="P201" s="51" t="s">
        <v>285</v>
      </c>
      <c r="Q201" s="19" t="s">
        <v>307</v>
      </c>
      <c r="R201" s="19">
        <v>8900</v>
      </c>
      <c r="S201" s="19" t="s">
        <v>239</v>
      </c>
      <c r="T201" s="19" t="s">
        <v>287</v>
      </c>
      <c r="U201" s="20" t="s">
        <v>287</v>
      </c>
      <c r="V201" s="19" t="s">
        <v>118</v>
      </c>
      <c r="W201" s="19" t="s">
        <v>221</v>
      </c>
      <c r="X201" s="35">
        <v>10</v>
      </c>
      <c r="Y201" s="35">
        <v>10</v>
      </c>
      <c r="Z201" s="32"/>
      <c r="AA201" s="22">
        <v>2</v>
      </c>
      <c r="AB201" s="22">
        <v>2</v>
      </c>
      <c r="AC201" s="22">
        <v>1</v>
      </c>
      <c r="AD201" s="22"/>
      <c r="AE201" s="61">
        <f t="shared" si="57"/>
        <v>5</v>
      </c>
      <c r="AF201" s="22"/>
      <c r="AG201" s="40">
        <f t="shared" si="58"/>
        <v>5</v>
      </c>
      <c r="AH201" s="24"/>
      <c r="AI201" s="24">
        <v>5</v>
      </c>
      <c r="AJ201" s="23">
        <f t="shared" si="59"/>
        <v>10</v>
      </c>
      <c r="AK201" s="25"/>
      <c r="AL201" s="25">
        <v>5</v>
      </c>
      <c r="AM201" s="25">
        <v>5</v>
      </c>
      <c r="AN201" s="25"/>
      <c r="AO201" s="25">
        <f t="shared" si="61"/>
        <v>10</v>
      </c>
      <c r="AP201" s="13"/>
      <c r="AQ201" s="21"/>
      <c r="AR201" s="21"/>
      <c r="AS201" s="21"/>
      <c r="AT201" s="21"/>
      <c r="AU201" s="21"/>
      <c r="AV201" s="21"/>
      <c r="AW201" s="21"/>
      <c r="AX201" s="21"/>
      <c r="AY201" s="77"/>
      <c r="AZ201" s="21">
        <v>5</v>
      </c>
      <c r="BA201" s="21"/>
      <c r="BB201" s="21"/>
      <c r="BC201" s="21"/>
      <c r="BD201" s="21"/>
      <c r="BE201" s="21"/>
      <c r="BF201" s="77"/>
      <c r="BG201" s="21"/>
      <c r="BH201" s="21"/>
      <c r="BI201" s="21"/>
      <c r="BJ201" s="21"/>
      <c r="BK201" s="21"/>
      <c r="BL201" s="21"/>
      <c r="BM201" s="77"/>
      <c r="BN201" s="21"/>
      <c r="BO201" s="21"/>
      <c r="BP201" s="21"/>
      <c r="BQ201" s="21"/>
      <c r="BR201" s="21"/>
      <c r="BS201" s="21"/>
      <c r="BT201" s="96">
        <f t="shared" si="63"/>
        <v>5</v>
      </c>
      <c r="BU201" s="94">
        <f t="shared" si="64"/>
        <v>5</v>
      </c>
      <c r="BV201" s="26"/>
      <c r="BW201" s="27"/>
      <c r="BX201" s="19" t="s">
        <v>318</v>
      </c>
      <c r="BY201" s="19" t="b">
        <f t="shared" si="62"/>
        <v>1</v>
      </c>
      <c r="BZ201" s="53" t="s">
        <v>318</v>
      </c>
      <c r="CA201" s="19" t="s">
        <v>1315</v>
      </c>
      <c r="CB201" s="19" t="s">
        <v>1189</v>
      </c>
      <c r="CC201" s="19" t="s">
        <v>1190</v>
      </c>
      <c r="CD201" s="19" t="s">
        <v>1228</v>
      </c>
      <c r="CE201" s="19" t="s">
        <v>1229</v>
      </c>
      <c r="CF201" s="19" t="s">
        <v>1209</v>
      </c>
      <c r="CG201" s="19" t="s">
        <v>1210</v>
      </c>
      <c r="CH201" s="19" t="s">
        <v>1294</v>
      </c>
      <c r="CI201" s="19" t="s">
        <v>1295</v>
      </c>
      <c r="CJ201" s="19" t="s">
        <v>1296</v>
      </c>
      <c r="CK201" s="19" t="s">
        <v>1297</v>
      </c>
      <c r="CL201" s="19" t="s">
        <v>1298</v>
      </c>
      <c r="CM201" s="19" t="s">
        <v>1299</v>
      </c>
      <c r="CN201" s="19" t="s">
        <v>1199</v>
      </c>
      <c r="CO201" s="19" t="s">
        <v>1200</v>
      </c>
      <c r="CP201" s="19" t="s">
        <v>1300</v>
      </c>
      <c r="CQ201" s="19" t="s">
        <v>1301</v>
      </c>
      <c r="CR201" s="19" t="s">
        <v>1238</v>
      </c>
      <c r="CS201" s="19" t="s">
        <v>1239</v>
      </c>
      <c r="CT201" s="19" t="s">
        <v>1302</v>
      </c>
      <c r="CU201" s="19" t="s">
        <v>1303</v>
      </c>
      <c r="CV201" s="19"/>
      <c r="CW201" s="19"/>
      <c r="CX201" s="19" t="s">
        <v>1304</v>
      </c>
      <c r="CY201" s="19" t="s">
        <v>1305</v>
      </c>
      <c r="CZ201" s="19"/>
      <c r="DA201" s="19"/>
      <c r="DB201" s="19"/>
      <c r="DC201" s="19"/>
    </row>
    <row r="202" spans="1:107" s="7" customFormat="1" x14ac:dyDescent="0.25">
      <c r="A202" s="19" t="s">
        <v>228</v>
      </c>
      <c r="B202" s="19" t="s">
        <v>80</v>
      </c>
      <c r="C202" s="19" t="str">
        <f t="shared" si="60"/>
        <v>91658768India</v>
      </c>
      <c r="D202" s="19">
        <v>91658768</v>
      </c>
      <c r="E202" s="19" t="s">
        <v>1584</v>
      </c>
      <c r="F202" s="19" t="s">
        <v>261</v>
      </c>
      <c r="G202" s="20" t="s">
        <v>1584</v>
      </c>
      <c r="H202" s="19"/>
      <c r="I202" s="19" t="s">
        <v>230</v>
      </c>
      <c r="J202" s="19" t="s">
        <v>296</v>
      </c>
      <c r="K202" s="19" t="s">
        <v>306</v>
      </c>
      <c r="L202" s="19" t="s">
        <v>279</v>
      </c>
      <c r="M202" s="19" t="s">
        <v>234</v>
      </c>
      <c r="N202" s="19" t="s">
        <v>284</v>
      </c>
      <c r="O202" s="19" t="s">
        <v>368</v>
      </c>
      <c r="P202" s="51" t="s">
        <v>285</v>
      </c>
      <c r="Q202" s="19" t="s">
        <v>307</v>
      </c>
      <c r="R202" s="19">
        <v>8900</v>
      </c>
      <c r="S202" s="19" t="s">
        <v>239</v>
      </c>
      <c r="T202" s="19" t="s">
        <v>287</v>
      </c>
      <c r="U202" s="20" t="s">
        <v>287</v>
      </c>
      <c r="V202" s="19" t="s">
        <v>1541</v>
      </c>
      <c r="W202" s="19" t="s">
        <v>222</v>
      </c>
      <c r="X202" s="35">
        <v>30</v>
      </c>
      <c r="Y202" s="35">
        <v>30</v>
      </c>
      <c r="Z202" s="32"/>
      <c r="AA202" s="22">
        <v>10</v>
      </c>
      <c r="AB202" s="22">
        <v>5</v>
      </c>
      <c r="AC202" s="22">
        <v>5</v>
      </c>
      <c r="AD202" s="22">
        <v>5</v>
      </c>
      <c r="AE202" s="61">
        <f t="shared" ref="AE202:AE211" si="65">SUM(AA202:AD202)</f>
        <v>25</v>
      </c>
      <c r="AF202" s="22"/>
      <c r="AG202" s="40">
        <f t="shared" ref="AG202:AG211" si="66">AE202+AF202</f>
        <v>25</v>
      </c>
      <c r="AH202" s="24"/>
      <c r="AI202" s="24">
        <v>10</v>
      </c>
      <c r="AJ202" s="23">
        <f t="shared" ref="AJ202:AJ211" si="67">AG202-AH202+AI202</f>
        <v>35</v>
      </c>
      <c r="AK202" s="25">
        <v>10</v>
      </c>
      <c r="AL202" s="25">
        <v>10</v>
      </c>
      <c r="AM202" s="25">
        <v>10</v>
      </c>
      <c r="AN202" s="25">
        <v>5</v>
      </c>
      <c r="AO202" s="25">
        <f t="shared" si="61"/>
        <v>35</v>
      </c>
      <c r="AP202" s="13"/>
      <c r="AQ202" s="21"/>
      <c r="AR202" s="21"/>
      <c r="AS202" s="21"/>
      <c r="AT202" s="21"/>
      <c r="AU202" s="21"/>
      <c r="AV202" s="21">
        <v>5</v>
      </c>
      <c r="AW202" s="21">
        <v>5</v>
      </c>
      <c r="AX202" s="21"/>
      <c r="AY202" s="77"/>
      <c r="AZ202" s="21"/>
      <c r="BA202" s="21"/>
      <c r="BB202" s="21"/>
      <c r="BC202" s="21">
        <v>5</v>
      </c>
      <c r="BD202" s="21">
        <v>5</v>
      </c>
      <c r="BE202" s="21"/>
      <c r="BF202" s="77"/>
      <c r="BG202" s="21">
        <v>5</v>
      </c>
      <c r="BH202" s="21"/>
      <c r="BI202" s="21"/>
      <c r="BJ202" s="21"/>
      <c r="BK202" s="21"/>
      <c r="BL202" s="21"/>
      <c r="BM202" s="77"/>
      <c r="BN202" s="21"/>
      <c r="BO202" s="21"/>
      <c r="BP202" s="21"/>
      <c r="BQ202" s="21"/>
      <c r="BR202" s="21"/>
      <c r="BS202" s="21"/>
      <c r="BT202" s="96">
        <f t="shared" si="63"/>
        <v>25</v>
      </c>
      <c r="BU202" s="94">
        <f t="shared" si="64"/>
        <v>10</v>
      </c>
      <c r="BV202" s="26"/>
      <c r="BW202" s="27"/>
      <c r="BX202" s="19" t="s">
        <v>1584</v>
      </c>
      <c r="BY202" s="19" t="b">
        <f t="shared" si="62"/>
        <v>1</v>
      </c>
      <c r="BZ202" s="53" t="s">
        <v>1584</v>
      </c>
      <c r="CA202" s="19" t="s">
        <v>1684</v>
      </c>
      <c r="CB202" s="19" t="s">
        <v>1172</v>
      </c>
      <c r="CC202" s="19" t="s">
        <v>1173</v>
      </c>
      <c r="CD202" s="19" t="s">
        <v>1228</v>
      </c>
      <c r="CE202" s="19" t="s">
        <v>1229</v>
      </c>
      <c r="CF202" s="19" t="s">
        <v>1209</v>
      </c>
      <c r="CG202" s="19" t="s">
        <v>1210</v>
      </c>
      <c r="CH202" s="19" t="s">
        <v>1307</v>
      </c>
      <c r="CI202" s="19" t="s">
        <v>1308</v>
      </c>
      <c r="CJ202" s="19" t="s">
        <v>1309</v>
      </c>
      <c r="CK202" s="19" t="s">
        <v>1310</v>
      </c>
      <c r="CL202" s="19" t="s">
        <v>1311</v>
      </c>
      <c r="CM202" s="19" t="s">
        <v>1312</v>
      </c>
      <c r="CN202" s="19" t="s">
        <v>1174</v>
      </c>
      <c r="CO202" s="19" t="s">
        <v>1175</v>
      </c>
      <c r="CP202" s="19" t="s">
        <v>1300</v>
      </c>
      <c r="CQ202" s="19" t="s">
        <v>1301</v>
      </c>
      <c r="CR202" s="19" t="s">
        <v>1238</v>
      </c>
      <c r="CS202" s="19" t="s">
        <v>1239</v>
      </c>
      <c r="CT202" s="19" t="s">
        <v>1313</v>
      </c>
      <c r="CU202" s="19" t="s">
        <v>1314</v>
      </c>
      <c r="CV202" s="19"/>
      <c r="CW202" s="19"/>
      <c r="CX202" s="19" t="s">
        <v>1304</v>
      </c>
      <c r="CY202" s="19" t="s">
        <v>1305</v>
      </c>
      <c r="CZ202" s="19"/>
      <c r="DA202" s="19"/>
      <c r="DB202" s="19"/>
      <c r="DC202" s="19"/>
    </row>
    <row r="203" spans="1:107" s="7" customFormat="1" x14ac:dyDescent="0.25">
      <c r="A203" s="19" t="s">
        <v>228</v>
      </c>
      <c r="B203" s="19" t="s">
        <v>80</v>
      </c>
      <c r="C203" s="19" t="str">
        <f t="shared" ref="C203:C211" si="68">D203&amp;B203</f>
        <v>91658767India</v>
      </c>
      <c r="D203" s="19">
        <v>91658767</v>
      </c>
      <c r="E203" s="19" t="s">
        <v>1822</v>
      </c>
      <c r="F203" s="19" t="s">
        <v>261</v>
      </c>
      <c r="G203" s="20" t="s">
        <v>1822</v>
      </c>
      <c r="H203" s="19"/>
      <c r="I203" s="19" t="s">
        <v>230</v>
      </c>
      <c r="J203" s="19" t="s">
        <v>296</v>
      </c>
      <c r="K203" s="19" t="s">
        <v>306</v>
      </c>
      <c r="L203" s="19" t="s">
        <v>279</v>
      </c>
      <c r="M203" s="19" t="s">
        <v>234</v>
      </c>
      <c r="N203" s="19" t="s">
        <v>284</v>
      </c>
      <c r="O203" s="19" t="s">
        <v>293</v>
      </c>
      <c r="P203" s="51" t="s">
        <v>285</v>
      </c>
      <c r="Q203" s="19" t="s">
        <v>307</v>
      </c>
      <c r="R203" s="19">
        <v>8900</v>
      </c>
      <c r="S203" s="19" t="s">
        <v>239</v>
      </c>
      <c r="T203" s="19" t="s">
        <v>287</v>
      </c>
      <c r="U203" s="20" t="s">
        <v>287</v>
      </c>
      <c r="V203" s="19" t="s">
        <v>1759</v>
      </c>
      <c r="W203" s="19" t="s">
        <v>222</v>
      </c>
      <c r="X203" s="35">
        <v>10</v>
      </c>
      <c r="Y203" s="35">
        <v>10</v>
      </c>
      <c r="Z203" s="32"/>
      <c r="AA203" s="22">
        <v>2</v>
      </c>
      <c r="AB203" s="22">
        <v>2</v>
      </c>
      <c r="AC203" s="22">
        <v>1</v>
      </c>
      <c r="AD203" s="22"/>
      <c r="AE203" s="61">
        <f t="shared" si="65"/>
        <v>5</v>
      </c>
      <c r="AF203" s="22"/>
      <c r="AG203" s="40">
        <f t="shared" si="66"/>
        <v>5</v>
      </c>
      <c r="AH203" s="24"/>
      <c r="AI203" s="24"/>
      <c r="AJ203" s="23">
        <f t="shared" si="67"/>
        <v>5</v>
      </c>
      <c r="AK203" s="25">
        <v>5</v>
      </c>
      <c r="AL203" s="25"/>
      <c r="AM203" s="25"/>
      <c r="AN203" s="25"/>
      <c r="AO203" s="25">
        <f t="shared" si="61"/>
        <v>5</v>
      </c>
      <c r="AP203" s="13"/>
      <c r="AQ203" s="21"/>
      <c r="AR203" s="21"/>
      <c r="AS203" s="21"/>
      <c r="AT203" s="21">
        <v>5</v>
      </c>
      <c r="AU203" s="21"/>
      <c r="AV203" s="21"/>
      <c r="AW203" s="21"/>
      <c r="AX203" s="21"/>
      <c r="AY203" s="77"/>
      <c r="AZ203" s="21"/>
      <c r="BA203" s="21"/>
      <c r="BB203" s="21"/>
      <c r="BC203" s="21"/>
      <c r="BD203" s="21"/>
      <c r="BE203" s="21"/>
      <c r="BF203" s="77"/>
      <c r="BG203" s="21"/>
      <c r="BH203" s="21"/>
      <c r="BI203" s="21"/>
      <c r="BJ203" s="21"/>
      <c r="BK203" s="21"/>
      <c r="BL203" s="21"/>
      <c r="BM203" s="77"/>
      <c r="BN203" s="21"/>
      <c r="BO203" s="21"/>
      <c r="BP203" s="21"/>
      <c r="BQ203" s="21"/>
      <c r="BR203" s="21"/>
      <c r="BS203" s="21"/>
      <c r="BT203" s="96">
        <f t="shared" si="63"/>
        <v>5</v>
      </c>
      <c r="BU203" s="94">
        <f t="shared" si="64"/>
        <v>0</v>
      </c>
      <c r="BV203" s="26"/>
      <c r="BW203" s="27"/>
      <c r="BX203" s="19" t="s">
        <v>1822</v>
      </c>
      <c r="BY203" s="19" t="b">
        <f t="shared" ref="BY203:BY211" si="69">BZ203=BX203</f>
        <v>1</v>
      </c>
      <c r="BZ203" s="53" t="s">
        <v>1822</v>
      </c>
      <c r="CA203" s="19" t="s">
        <v>1959</v>
      </c>
      <c r="CB203" s="19" t="s">
        <v>1172</v>
      </c>
      <c r="CC203" s="19" t="s">
        <v>1173</v>
      </c>
      <c r="CD203" s="19" t="s">
        <v>1228</v>
      </c>
      <c r="CE203" s="19" t="s">
        <v>1229</v>
      </c>
      <c r="CF203" s="19" t="s">
        <v>1209</v>
      </c>
      <c r="CG203" s="19" t="s">
        <v>1210</v>
      </c>
      <c r="CH203" s="19" t="s">
        <v>1307</v>
      </c>
      <c r="CI203" s="19" t="s">
        <v>1308</v>
      </c>
      <c r="CJ203" s="19" t="s">
        <v>1309</v>
      </c>
      <c r="CK203" s="19" t="s">
        <v>1310</v>
      </c>
      <c r="CL203" s="19" t="s">
        <v>1311</v>
      </c>
      <c r="CM203" s="19" t="s">
        <v>1312</v>
      </c>
      <c r="CN203" s="19" t="s">
        <v>1174</v>
      </c>
      <c r="CO203" s="19" t="s">
        <v>1175</v>
      </c>
      <c r="CP203" s="19" t="s">
        <v>1300</v>
      </c>
      <c r="CQ203" s="19" t="s">
        <v>1301</v>
      </c>
      <c r="CR203" s="19" t="s">
        <v>1238</v>
      </c>
      <c r="CS203" s="19" t="s">
        <v>1239</v>
      </c>
      <c r="CT203" s="19" t="s">
        <v>1313</v>
      </c>
      <c r="CU203" s="19" t="s">
        <v>1314</v>
      </c>
      <c r="CV203" s="19"/>
      <c r="CW203" s="19"/>
      <c r="CX203" s="19" t="s">
        <v>1304</v>
      </c>
      <c r="CY203" s="19" t="s">
        <v>1305</v>
      </c>
      <c r="CZ203" s="19"/>
      <c r="DA203" s="19"/>
      <c r="DB203" s="19"/>
      <c r="DC203" s="19"/>
    </row>
    <row r="204" spans="1:107" s="7" customFormat="1" x14ac:dyDescent="0.25">
      <c r="A204" s="19" t="s">
        <v>228</v>
      </c>
      <c r="B204" s="19" t="s">
        <v>80</v>
      </c>
      <c r="C204" s="19" t="str">
        <f t="shared" si="68"/>
        <v>91658506India</v>
      </c>
      <c r="D204" s="19">
        <v>91658506</v>
      </c>
      <c r="E204" s="19" t="s">
        <v>1823</v>
      </c>
      <c r="F204" s="19" t="s">
        <v>261</v>
      </c>
      <c r="G204" s="20" t="s">
        <v>1823</v>
      </c>
      <c r="H204" s="19"/>
      <c r="I204" s="19" t="s">
        <v>230</v>
      </c>
      <c r="J204" s="19" t="s">
        <v>296</v>
      </c>
      <c r="K204" s="19" t="s">
        <v>317</v>
      </c>
      <c r="L204" s="19" t="s">
        <v>279</v>
      </c>
      <c r="M204" s="19" t="s">
        <v>298</v>
      </c>
      <c r="N204" s="19" t="s">
        <v>284</v>
      </c>
      <c r="O204" s="19" t="s">
        <v>293</v>
      </c>
      <c r="P204" s="51" t="s">
        <v>285</v>
      </c>
      <c r="Q204" s="19" t="s">
        <v>307</v>
      </c>
      <c r="R204" s="19">
        <v>8900</v>
      </c>
      <c r="S204" s="19" t="s">
        <v>239</v>
      </c>
      <c r="T204" s="19" t="s">
        <v>287</v>
      </c>
      <c r="U204" s="20" t="s">
        <v>287</v>
      </c>
      <c r="V204" s="19" t="s">
        <v>1760</v>
      </c>
      <c r="W204" s="19" t="s">
        <v>222</v>
      </c>
      <c r="X204" s="35">
        <v>10</v>
      </c>
      <c r="Y204" s="35">
        <v>10</v>
      </c>
      <c r="Z204" s="32"/>
      <c r="AA204" s="22">
        <v>2</v>
      </c>
      <c r="AB204" s="22">
        <v>2</v>
      </c>
      <c r="AC204" s="22">
        <v>1</v>
      </c>
      <c r="AD204" s="22"/>
      <c r="AE204" s="61">
        <f t="shared" si="65"/>
        <v>5</v>
      </c>
      <c r="AF204" s="22"/>
      <c r="AG204" s="40">
        <f t="shared" si="66"/>
        <v>5</v>
      </c>
      <c r="AH204" s="24"/>
      <c r="AI204" s="24"/>
      <c r="AJ204" s="23">
        <f t="shared" si="67"/>
        <v>5</v>
      </c>
      <c r="AK204" s="25">
        <v>5</v>
      </c>
      <c r="AL204" s="25"/>
      <c r="AM204" s="25"/>
      <c r="AN204" s="25"/>
      <c r="AO204" s="25">
        <f t="shared" ref="AO204:AO211" si="70">SUM(AK204:AN204)</f>
        <v>5</v>
      </c>
      <c r="AP204" s="13"/>
      <c r="AQ204" s="21"/>
      <c r="AR204" s="21"/>
      <c r="AS204" s="21"/>
      <c r="AT204" s="21"/>
      <c r="AU204" s="21">
        <v>5</v>
      </c>
      <c r="AV204" s="21"/>
      <c r="AW204" s="21"/>
      <c r="AX204" s="21"/>
      <c r="AY204" s="77"/>
      <c r="AZ204" s="21"/>
      <c r="BA204" s="21"/>
      <c r="BB204" s="21"/>
      <c r="BC204" s="21"/>
      <c r="BD204" s="21"/>
      <c r="BE204" s="21"/>
      <c r="BF204" s="77"/>
      <c r="BG204" s="21"/>
      <c r="BH204" s="21"/>
      <c r="BI204" s="21"/>
      <c r="BJ204" s="21"/>
      <c r="BK204" s="21"/>
      <c r="BL204" s="21"/>
      <c r="BM204" s="77"/>
      <c r="BN204" s="21"/>
      <c r="BO204" s="21"/>
      <c r="BP204" s="21"/>
      <c r="BQ204" s="21"/>
      <c r="BR204" s="21"/>
      <c r="BS204" s="21"/>
      <c r="BT204" s="96">
        <f t="shared" si="63"/>
        <v>5</v>
      </c>
      <c r="BU204" s="94">
        <f t="shared" si="64"/>
        <v>0</v>
      </c>
      <c r="BV204" s="26"/>
      <c r="BW204" s="27"/>
      <c r="BX204" s="19" t="s">
        <v>1823</v>
      </c>
      <c r="BY204" s="19" t="b">
        <f t="shared" si="69"/>
        <v>1</v>
      </c>
      <c r="BZ204" s="53" t="s">
        <v>1823</v>
      </c>
      <c r="CA204" s="19" t="s">
        <v>1960</v>
      </c>
      <c r="CB204" s="19" t="s">
        <v>1189</v>
      </c>
      <c r="CC204" s="19" t="s">
        <v>1190</v>
      </c>
      <c r="CD204" s="19" t="s">
        <v>1228</v>
      </c>
      <c r="CE204" s="19" t="s">
        <v>1229</v>
      </c>
      <c r="CF204" s="19" t="s">
        <v>1209</v>
      </c>
      <c r="CG204" s="19" t="s">
        <v>1210</v>
      </c>
      <c r="CH204" s="19" t="s">
        <v>1294</v>
      </c>
      <c r="CI204" s="19" t="s">
        <v>1295</v>
      </c>
      <c r="CJ204" s="19" t="s">
        <v>1296</v>
      </c>
      <c r="CK204" s="19" t="s">
        <v>1297</v>
      </c>
      <c r="CL204" s="19" t="s">
        <v>1298</v>
      </c>
      <c r="CM204" s="19" t="s">
        <v>1299</v>
      </c>
      <c r="CN204" s="19" t="s">
        <v>1199</v>
      </c>
      <c r="CO204" s="19" t="s">
        <v>1200</v>
      </c>
      <c r="CP204" s="19" t="s">
        <v>1300</v>
      </c>
      <c r="CQ204" s="19" t="s">
        <v>1301</v>
      </c>
      <c r="CR204" s="19" t="s">
        <v>1238</v>
      </c>
      <c r="CS204" s="19" t="s">
        <v>1239</v>
      </c>
      <c r="CT204" s="19" t="s">
        <v>1302</v>
      </c>
      <c r="CU204" s="19" t="s">
        <v>1303</v>
      </c>
      <c r="CV204" s="19"/>
      <c r="CW204" s="19"/>
      <c r="CX204" s="19" t="s">
        <v>1304</v>
      </c>
      <c r="CY204" s="19" t="s">
        <v>1305</v>
      </c>
      <c r="CZ204" s="19"/>
      <c r="DA204" s="19"/>
      <c r="DB204" s="19"/>
      <c r="DC204" s="19"/>
    </row>
    <row r="205" spans="1:107" s="7" customFormat="1" x14ac:dyDescent="0.25">
      <c r="A205" s="19" t="s">
        <v>228</v>
      </c>
      <c r="B205" s="19" t="s">
        <v>80</v>
      </c>
      <c r="C205" s="19" t="str">
        <f t="shared" si="68"/>
        <v>95406049India</v>
      </c>
      <c r="D205" s="19">
        <v>95406049</v>
      </c>
      <c r="E205" s="19" t="s">
        <v>309</v>
      </c>
      <c r="F205" s="19" t="s">
        <v>261</v>
      </c>
      <c r="G205" s="20" t="s">
        <v>309</v>
      </c>
      <c r="H205" s="19"/>
      <c r="I205" s="19" t="s">
        <v>230</v>
      </c>
      <c r="J205" s="19" t="s">
        <v>296</v>
      </c>
      <c r="K205" s="19" t="s">
        <v>310</v>
      </c>
      <c r="L205" s="19" t="s">
        <v>262</v>
      </c>
      <c r="M205" s="19" t="s">
        <v>308</v>
      </c>
      <c r="N205" s="19" t="s">
        <v>284</v>
      </c>
      <c r="O205" s="19" t="s">
        <v>311</v>
      </c>
      <c r="P205" s="51" t="s">
        <v>285</v>
      </c>
      <c r="Q205" s="19" t="s">
        <v>312</v>
      </c>
      <c r="R205" s="19">
        <v>10000</v>
      </c>
      <c r="S205" s="19" t="s">
        <v>239</v>
      </c>
      <c r="T205" s="19" t="s">
        <v>287</v>
      </c>
      <c r="U205" s="20" t="s">
        <v>287</v>
      </c>
      <c r="V205" s="19" t="s">
        <v>115</v>
      </c>
      <c r="W205" s="19" t="s">
        <v>221</v>
      </c>
      <c r="X205" s="35">
        <v>20</v>
      </c>
      <c r="Y205" s="35">
        <v>20</v>
      </c>
      <c r="Z205" s="32"/>
      <c r="AA205" s="22">
        <v>6</v>
      </c>
      <c r="AB205" s="22">
        <v>3</v>
      </c>
      <c r="AC205" s="22">
        <v>3</v>
      </c>
      <c r="AD205" s="22">
        <v>3</v>
      </c>
      <c r="AE205" s="61">
        <f t="shared" si="65"/>
        <v>15</v>
      </c>
      <c r="AF205" s="22"/>
      <c r="AG205" s="40">
        <f t="shared" si="66"/>
        <v>15</v>
      </c>
      <c r="AH205" s="24">
        <v>10</v>
      </c>
      <c r="AI205" s="24">
        <v>10</v>
      </c>
      <c r="AJ205" s="23">
        <f t="shared" si="67"/>
        <v>15</v>
      </c>
      <c r="AK205" s="25">
        <v>5</v>
      </c>
      <c r="AL205" s="25">
        <v>5</v>
      </c>
      <c r="AM205" s="25">
        <v>5</v>
      </c>
      <c r="AN205" s="25"/>
      <c r="AO205" s="25">
        <f t="shared" si="70"/>
        <v>15</v>
      </c>
      <c r="AP205" s="13">
        <v>10</v>
      </c>
      <c r="AQ205" s="21"/>
      <c r="AR205" s="21"/>
      <c r="AS205" s="21">
        <v>10</v>
      </c>
      <c r="AT205" s="21">
        <v>5</v>
      </c>
      <c r="AU205" s="21"/>
      <c r="AV205" s="21"/>
      <c r="AW205" s="21"/>
      <c r="AX205" s="21"/>
      <c r="AY205" s="77"/>
      <c r="AZ205" s="21"/>
      <c r="BA205" s="21"/>
      <c r="BB205" s="21"/>
      <c r="BC205" s="21"/>
      <c r="BD205" s="21"/>
      <c r="BE205" s="21"/>
      <c r="BF205" s="77"/>
      <c r="BG205" s="21"/>
      <c r="BH205" s="21"/>
      <c r="BI205" s="21"/>
      <c r="BJ205" s="21"/>
      <c r="BK205" s="21"/>
      <c r="BL205" s="21"/>
      <c r="BM205" s="77"/>
      <c r="BN205" s="21"/>
      <c r="BO205" s="21"/>
      <c r="BP205" s="21"/>
      <c r="BQ205" s="21"/>
      <c r="BR205" s="21"/>
      <c r="BS205" s="21"/>
      <c r="BT205" s="96">
        <f t="shared" si="63"/>
        <v>15</v>
      </c>
      <c r="BU205" s="94">
        <f t="shared" si="64"/>
        <v>0</v>
      </c>
      <c r="BV205" s="26"/>
      <c r="BW205" s="27"/>
      <c r="BX205" s="19" t="s">
        <v>309</v>
      </c>
      <c r="BY205" s="19" t="b">
        <f t="shared" si="69"/>
        <v>1</v>
      </c>
      <c r="BZ205" s="53" t="s">
        <v>309</v>
      </c>
      <c r="CA205" s="19" t="s">
        <v>1316</v>
      </c>
      <c r="CB205" s="19" t="s">
        <v>1317</v>
      </c>
      <c r="CC205" s="19" t="s">
        <v>1318</v>
      </c>
      <c r="CD205" s="19" t="s">
        <v>1228</v>
      </c>
      <c r="CE205" s="19" t="s">
        <v>1229</v>
      </c>
      <c r="CF205" s="19" t="s">
        <v>1319</v>
      </c>
      <c r="CG205" s="19" t="s">
        <v>1320</v>
      </c>
      <c r="CH205" s="19" t="s">
        <v>1337</v>
      </c>
      <c r="CI205" s="19" t="s">
        <v>1338</v>
      </c>
      <c r="CJ205" s="19" t="s">
        <v>1323</v>
      </c>
      <c r="CK205" s="19" t="s">
        <v>1324</v>
      </c>
      <c r="CL205" s="19" t="s">
        <v>1325</v>
      </c>
      <c r="CM205" s="19" t="s">
        <v>1326</v>
      </c>
      <c r="CN205" s="19" t="s">
        <v>1327</v>
      </c>
      <c r="CO205" s="19" t="s">
        <v>1328</v>
      </c>
      <c r="CP205" s="19" t="s">
        <v>1345</v>
      </c>
      <c r="CQ205" s="19" t="s">
        <v>1346</v>
      </c>
      <c r="CR205" s="19" t="s">
        <v>1331</v>
      </c>
      <c r="CS205" s="19" t="s">
        <v>1332</v>
      </c>
      <c r="CT205" s="19" t="s">
        <v>1349</v>
      </c>
      <c r="CU205" s="19" t="s">
        <v>1350</v>
      </c>
      <c r="CV205" s="19"/>
      <c r="CW205" s="19"/>
      <c r="CX205" s="19"/>
      <c r="CY205" s="19"/>
      <c r="CZ205" s="19"/>
      <c r="DA205" s="19"/>
      <c r="DB205" s="19"/>
      <c r="DC205" s="19"/>
    </row>
    <row r="206" spans="1:107" s="7" customFormat="1" x14ac:dyDescent="0.25">
      <c r="A206" s="19" t="s">
        <v>228</v>
      </c>
      <c r="B206" s="19" t="s">
        <v>80</v>
      </c>
      <c r="C206" s="19" t="str">
        <f t="shared" si="68"/>
        <v>95305833India</v>
      </c>
      <c r="D206" s="19">
        <v>95305833</v>
      </c>
      <c r="E206" s="19" t="s">
        <v>102</v>
      </c>
      <c r="F206" s="19" t="s">
        <v>261</v>
      </c>
      <c r="G206" s="20" t="s">
        <v>102</v>
      </c>
      <c r="H206" s="19"/>
      <c r="I206" s="19" t="s">
        <v>230</v>
      </c>
      <c r="J206" s="19" t="s">
        <v>296</v>
      </c>
      <c r="K206" s="19" t="s">
        <v>313</v>
      </c>
      <c r="L206" s="19" t="s">
        <v>279</v>
      </c>
      <c r="M206" s="19" t="s">
        <v>308</v>
      </c>
      <c r="N206" s="19" t="s">
        <v>284</v>
      </c>
      <c r="O206" s="19" t="s">
        <v>311</v>
      </c>
      <c r="P206" s="51" t="s">
        <v>285</v>
      </c>
      <c r="Q206" s="19" t="s">
        <v>314</v>
      </c>
      <c r="R206" s="19">
        <v>12000</v>
      </c>
      <c r="S206" s="19" t="s">
        <v>239</v>
      </c>
      <c r="T206" s="19" t="s">
        <v>287</v>
      </c>
      <c r="U206" s="20" t="s">
        <v>287</v>
      </c>
      <c r="V206" s="19" t="s">
        <v>117</v>
      </c>
      <c r="W206" s="19" t="s">
        <v>221</v>
      </c>
      <c r="X206" s="35">
        <v>10</v>
      </c>
      <c r="Y206" s="35">
        <v>10</v>
      </c>
      <c r="Z206" s="32"/>
      <c r="AA206" s="22">
        <v>2</v>
      </c>
      <c r="AB206" s="22">
        <v>2</v>
      </c>
      <c r="AC206" s="22">
        <v>1</v>
      </c>
      <c r="AD206" s="22"/>
      <c r="AE206" s="61">
        <f t="shared" si="65"/>
        <v>5</v>
      </c>
      <c r="AF206" s="22"/>
      <c r="AG206" s="40">
        <f t="shared" si="66"/>
        <v>5</v>
      </c>
      <c r="AH206" s="24"/>
      <c r="AI206" s="24"/>
      <c r="AJ206" s="23">
        <f t="shared" si="67"/>
        <v>5</v>
      </c>
      <c r="AK206" s="25"/>
      <c r="AL206" s="25"/>
      <c r="AM206" s="25">
        <v>5</v>
      </c>
      <c r="AN206" s="25"/>
      <c r="AO206" s="25">
        <f t="shared" si="70"/>
        <v>5</v>
      </c>
      <c r="AP206" s="13"/>
      <c r="AQ206" s="21"/>
      <c r="AR206" s="21"/>
      <c r="AS206" s="21"/>
      <c r="AT206" s="21"/>
      <c r="AU206" s="21"/>
      <c r="AV206" s="21"/>
      <c r="AW206" s="21"/>
      <c r="AX206" s="21"/>
      <c r="AY206" s="77"/>
      <c r="AZ206" s="21"/>
      <c r="BA206" s="21"/>
      <c r="BB206" s="21"/>
      <c r="BC206" s="21"/>
      <c r="BD206" s="21"/>
      <c r="BE206" s="21"/>
      <c r="BF206" s="77"/>
      <c r="BG206" s="21">
        <v>5</v>
      </c>
      <c r="BH206" s="21"/>
      <c r="BI206" s="21"/>
      <c r="BJ206" s="21"/>
      <c r="BK206" s="21"/>
      <c r="BL206" s="21"/>
      <c r="BM206" s="77"/>
      <c r="BN206" s="21"/>
      <c r="BO206" s="21"/>
      <c r="BP206" s="21"/>
      <c r="BQ206" s="21"/>
      <c r="BR206" s="21"/>
      <c r="BS206" s="21"/>
      <c r="BT206" s="96">
        <f t="shared" si="63"/>
        <v>5</v>
      </c>
      <c r="BU206" s="94">
        <f t="shared" si="64"/>
        <v>0</v>
      </c>
      <c r="BV206" s="26"/>
      <c r="BW206" s="27"/>
      <c r="BX206" s="19" t="s">
        <v>102</v>
      </c>
      <c r="BY206" s="19" t="b">
        <f t="shared" si="69"/>
        <v>1</v>
      </c>
      <c r="BZ206" s="53" t="s">
        <v>102</v>
      </c>
      <c r="CA206" s="19" t="s">
        <v>123</v>
      </c>
      <c r="CB206" s="19" t="s">
        <v>1335</v>
      </c>
      <c r="CC206" s="19" t="s">
        <v>1336</v>
      </c>
      <c r="CD206" s="19" t="s">
        <v>1228</v>
      </c>
      <c r="CE206" s="19" t="s">
        <v>1229</v>
      </c>
      <c r="CF206" s="19" t="s">
        <v>1319</v>
      </c>
      <c r="CG206" s="19" t="s">
        <v>1320</v>
      </c>
      <c r="CH206" s="19" t="s">
        <v>1337</v>
      </c>
      <c r="CI206" s="19" t="s">
        <v>1338</v>
      </c>
      <c r="CJ206" s="19" t="s">
        <v>1353</v>
      </c>
      <c r="CK206" s="19" t="s">
        <v>1354</v>
      </c>
      <c r="CL206" s="19" t="s">
        <v>1355</v>
      </c>
      <c r="CM206" s="19" t="s">
        <v>1356</v>
      </c>
      <c r="CN206" s="19" t="s">
        <v>1343</v>
      </c>
      <c r="CO206" s="19" t="s">
        <v>1344</v>
      </c>
      <c r="CP206" s="19" t="s">
        <v>1345</v>
      </c>
      <c r="CQ206" s="19" t="s">
        <v>1346</v>
      </c>
      <c r="CR206" s="19" t="s">
        <v>1357</v>
      </c>
      <c r="CS206" s="19" t="s">
        <v>1332</v>
      </c>
      <c r="CT206" s="19" t="s">
        <v>1349</v>
      </c>
      <c r="CU206" s="19" t="s">
        <v>1350</v>
      </c>
      <c r="CV206" s="19"/>
      <c r="CW206" s="19"/>
      <c r="CX206" s="19" t="s">
        <v>1351</v>
      </c>
      <c r="CY206" s="19" t="s">
        <v>1352</v>
      </c>
      <c r="CZ206" s="19"/>
      <c r="DA206" s="19"/>
      <c r="DB206" s="19"/>
      <c r="DC206" s="19"/>
    </row>
    <row r="207" spans="1:107" s="7" customFormat="1" x14ac:dyDescent="0.25">
      <c r="A207" s="19" t="s">
        <v>228</v>
      </c>
      <c r="B207" s="19" t="s">
        <v>80</v>
      </c>
      <c r="C207" s="19" t="str">
        <f t="shared" si="68"/>
        <v>95359117India</v>
      </c>
      <c r="D207" s="19">
        <v>95359117</v>
      </c>
      <c r="E207" s="19" t="s">
        <v>101</v>
      </c>
      <c r="F207" s="19" t="s">
        <v>261</v>
      </c>
      <c r="G207" s="20" t="s">
        <v>101</v>
      </c>
      <c r="H207" s="19"/>
      <c r="I207" s="19" t="s">
        <v>230</v>
      </c>
      <c r="J207" s="19" t="s">
        <v>296</v>
      </c>
      <c r="K207" s="19" t="s">
        <v>313</v>
      </c>
      <c r="L207" s="19" t="s">
        <v>279</v>
      </c>
      <c r="M207" s="19" t="s">
        <v>308</v>
      </c>
      <c r="N207" s="19" t="s">
        <v>284</v>
      </c>
      <c r="O207" s="19" t="s">
        <v>293</v>
      </c>
      <c r="P207" s="51" t="s">
        <v>285</v>
      </c>
      <c r="Q207" s="19" t="s">
        <v>314</v>
      </c>
      <c r="R207" s="19">
        <v>12000</v>
      </c>
      <c r="S207" s="19" t="s">
        <v>239</v>
      </c>
      <c r="T207" s="19" t="s">
        <v>287</v>
      </c>
      <c r="U207" s="20" t="s">
        <v>287</v>
      </c>
      <c r="V207" s="19" t="s">
        <v>1542</v>
      </c>
      <c r="W207" s="19" t="s">
        <v>221</v>
      </c>
      <c r="X207" s="35">
        <v>25</v>
      </c>
      <c r="Y207" s="35">
        <v>25</v>
      </c>
      <c r="Z207" s="32"/>
      <c r="AA207" s="22">
        <v>10</v>
      </c>
      <c r="AB207" s="22">
        <v>5</v>
      </c>
      <c r="AC207" s="22">
        <v>5</v>
      </c>
      <c r="AD207" s="22"/>
      <c r="AE207" s="61">
        <f t="shared" si="65"/>
        <v>20</v>
      </c>
      <c r="AF207" s="22"/>
      <c r="AG207" s="40">
        <f t="shared" si="66"/>
        <v>20</v>
      </c>
      <c r="AH207" s="24"/>
      <c r="AI207" s="24">
        <v>10</v>
      </c>
      <c r="AJ207" s="23">
        <f t="shared" si="67"/>
        <v>30</v>
      </c>
      <c r="AK207" s="25">
        <v>10</v>
      </c>
      <c r="AL207" s="25">
        <v>10</v>
      </c>
      <c r="AM207" s="25">
        <v>10</v>
      </c>
      <c r="AN207" s="25"/>
      <c r="AO207" s="25">
        <f t="shared" si="70"/>
        <v>30</v>
      </c>
      <c r="AP207" s="13"/>
      <c r="AQ207" s="21"/>
      <c r="AR207" s="21"/>
      <c r="AS207" s="21"/>
      <c r="AT207" s="21"/>
      <c r="AU207" s="21">
        <v>5</v>
      </c>
      <c r="AV207" s="21">
        <v>5</v>
      </c>
      <c r="AW207" s="21"/>
      <c r="AX207" s="21"/>
      <c r="AY207" s="77"/>
      <c r="AZ207" s="21">
        <v>5</v>
      </c>
      <c r="BA207" s="21">
        <v>5</v>
      </c>
      <c r="BB207" s="21"/>
      <c r="BC207" s="21"/>
      <c r="BD207" s="21"/>
      <c r="BE207" s="21"/>
      <c r="BF207" s="77"/>
      <c r="BG207" s="21"/>
      <c r="BH207" s="21"/>
      <c r="BI207" s="21"/>
      <c r="BJ207" s="21"/>
      <c r="BK207" s="21"/>
      <c r="BL207" s="21"/>
      <c r="BM207" s="77"/>
      <c r="BN207" s="21"/>
      <c r="BO207" s="21"/>
      <c r="BP207" s="21"/>
      <c r="BQ207" s="21"/>
      <c r="BR207" s="21"/>
      <c r="BS207" s="21"/>
      <c r="BT207" s="96">
        <f t="shared" si="63"/>
        <v>20</v>
      </c>
      <c r="BU207" s="94">
        <f t="shared" si="64"/>
        <v>10</v>
      </c>
      <c r="BV207" s="26"/>
      <c r="BW207" s="27"/>
      <c r="BX207" s="19" t="s">
        <v>101</v>
      </c>
      <c r="BY207" s="19" t="b">
        <f t="shared" si="69"/>
        <v>1</v>
      </c>
      <c r="BZ207" s="53" t="s">
        <v>101</v>
      </c>
      <c r="CA207" s="19" t="s">
        <v>122</v>
      </c>
      <c r="CB207" s="19" t="s">
        <v>1335</v>
      </c>
      <c r="CC207" s="19" t="s">
        <v>1336</v>
      </c>
      <c r="CD207" s="19" t="s">
        <v>1228</v>
      </c>
      <c r="CE207" s="19" t="s">
        <v>1229</v>
      </c>
      <c r="CF207" s="19" t="s">
        <v>1253</v>
      </c>
      <c r="CG207" s="19" t="s">
        <v>1254</v>
      </c>
      <c r="CH207" s="19" t="s">
        <v>1337</v>
      </c>
      <c r="CI207" s="19" t="s">
        <v>1338</v>
      </c>
      <c r="CJ207" s="19" t="s">
        <v>1339</v>
      </c>
      <c r="CK207" s="19" t="s">
        <v>1340</v>
      </c>
      <c r="CL207" s="19" t="s">
        <v>1341</v>
      </c>
      <c r="CM207" s="19" t="s">
        <v>1342</v>
      </c>
      <c r="CN207" s="19" t="s">
        <v>1343</v>
      </c>
      <c r="CO207" s="19" t="s">
        <v>1344</v>
      </c>
      <c r="CP207" s="19" t="s">
        <v>1345</v>
      </c>
      <c r="CQ207" s="19" t="s">
        <v>1346</v>
      </c>
      <c r="CR207" s="19" t="s">
        <v>1347</v>
      </c>
      <c r="CS207" s="19" t="s">
        <v>1348</v>
      </c>
      <c r="CT207" s="19" t="s">
        <v>1349</v>
      </c>
      <c r="CU207" s="19" t="s">
        <v>1350</v>
      </c>
      <c r="CV207" s="19"/>
      <c r="CW207" s="19"/>
      <c r="CX207" s="19" t="s">
        <v>1351</v>
      </c>
      <c r="CY207" s="19" t="s">
        <v>1352</v>
      </c>
      <c r="CZ207" s="19"/>
      <c r="DA207" s="19"/>
      <c r="DB207" s="19"/>
      <c r="DC207" s="19"/>
    </row>
    <row r="208" spans="1:107" s="7" customFormat="1" x14ac:dyDescent="0.25">
      <c r="A208" s="19" t="s">
        <v>228</v>
      </c>
      <c r="B208" s="19" t="s">
        <v>80</v>
      </c>
      <c r="C208" s="19" t="str">
        <f t="shared" si="68"/>
        <v>CL6428India</v>
      </c>
      <c r="D208" s="19" t="s">
        <v>101</v>
      </c>
      <c r="E208" s="19" t="s">
        <v>101</v>
      </c>
      <c r="F208" s="19" t="s">
        <v>261</v>
      </c>
      <c r="G208" s="20" t="s">
        <v>101</v>
      </c>
      <c r="H208" s="19"/>
      <c r="I208" s="19" t="s">
        <v>230</v>
      </c>
      <c r="J208" s="19" t="s">
        <v>296</v>
      </c>
      <c r="K208" s="19" t="s">
        <v>313</v>
      </c>
      <c r="L208" s="19" t="s">
        <v>279</v>
      </c>
      <c r="M208" s="19" t="s">
        <v>308</v>
      </c>
      <c r="N208" s="19" t="s">
        <v>284</v>
      </c>
      <c r="O208" s="19" t="s">
        <v>293</v>
      </c>
      <c r="P208" s="51" t="s">
        <v>285</v>
      </c>
      <c r="Q208" s="19" t="s">
        <v>314</v>
      </c>
      <c r="R208" s="19">
        <v>12000</v>
      </c>
      <c r="S208" s="19" t="s">
        <v>239</v>
      </c>
      <c r="T208" s="19" t="s">
        <v>287</v>
      </c>
      <c r="U208" s="20" t="s">
        <v>287</v>
      </c>
      <c r="V208" s="19" t="s">
        <v>1762</v>
      </c>
      <c r="W208" s="19" t="s">
        <v>219</v>
      </c>
      <c r="X208" s="35"/>
      <c r="Y208" s="35"/>
      <c r="Z208" s="32"/>
      <c r="AA208" s="22"/>
      <c r="AB208" s="22"/>
      <c r="AC208" s="22"/>
      <c r="AD208" s="22"/>
      <c r="AE208" s="61">
        <f t="shared" si="65"/>
        <v>0</v>
      </c>
      <c r="AF208" s="22">
        <v>10</v>
      </c>
      <c r="AG208" s="40">
        <f t="shared" si="66"/>
        <v>10</v>
      </c>
      <c r="AH208" s="24"/>
      <c r="AI208" s="24"/>
      <c r="AJ208" s="23">
        <f t="shared" si="67"/>
        <v>10</v>
      </c>
      <c r="AK208" s="25"/>
      <c r="AL208" s="25">
        <v>5</v>
      </c>
      <c r="AM208" s="25">
        <v>5</v>
      </c>
      <c r="AN208" s="25"/>
      <c r="AO208" s="25">
        <f t="shared" si="70"/>
        <v>10</v>
      </c>
      <c r="AP208" s="13"/>
      <c r="AQ208" s="21"/>
      <c r="AR208" s="21"/>
      <c r="AS208" s="21"/>
      <c r="AT208" s="21"/>
      <c r="AU208" s="21"/>
      <c r="AV208" s="21"/>
      <c r="AW208" s="21"/>
      <c r="AX208" s="21"/>
      <c r="AY208" s="77"/>
      <c r="AZ208" s="21"/>
      <c r="BA208" s="21"/>
      <c r="BB208" s="21"/>
      <c r="BC208" s="21"/>
      <c r="BD208" s="21"/>
      <c r="BE208" s="21"/>
      <c r="BF208" s="77"/>
      <c r="BG208" s="21"/>
      <c r="BH208" s="21"/>
      <c r="BI208" s="21"/>
      <c r="BJ208" s="21"/>
      <c r="BK208" s="21"/>
      <c r="BL208" s="21"/>
      <c r="BM208" s="77"/>
      <c r="BN208" s="21"/>
      <c r="BO208" s="21"/>
      <c r="BP208" s="21"/>
      <c r="BQ208" s="21"/>
      <c r="BR208" s="21"/>
      <c r="BS208" s="21"/>
      <c r="BT208" s="96">
        <f t="shared" si="63"/>
        <v>0</v>
      </c>
      <c r="BU208" s="94">
        <f t="shared" si="64"/>
        <v>10</v>
      </c>
      <c r="BV208" s="26"/>
      <c r="BW208" s="27"/>
      <c r="BX208" s="19" t="s">
        <v>101</v>
      </c>
      <c r="BY208" s="19" t="b">
        <f t="shared" si="69"/>
        <v>1</v>
      </c>
      <c r="BZ208" s="53" t="s">
        <v>101</v>
      </c>
      <c r="CA208" s="19" t="s">
        <v>122</v>
      </c>
      <c r="CB208" s="19" t="s">
        <v>1335</v>
      </c>
      <c r="CC208" s="19" t="s">
        <v>1336</v>
      </c>
      <c r="CD208" s="19" t="s">
        <v>1228</v>
      </c>
      <c r="CE208" s="19" t="s">
        <v>1229</v>
      </c>
      <c r="CF208" s="19" t="s">
        <v>1253</v>
      </c>
      <c r="CG208" s="19" t="s">
        <v>1254</v>
      </c>
      <c r="CH208" s="19" t="s">
        <v>1337</v>
      </c>
      <c r="CI208" s="19" t="s">
        <v>1338</v>
      </c>
      <c r="CJ208" s="19" t="s">
        <v>1339</v>
      </c>
      <c r="CK208" s="19" t="s">
        <v>1340</v>
      </c>
      <c r="CL208" s="19" t="s">
        <v>1341</v>
      </c>
      <c r="CM208" s="19" t="s">
        <v>1342</v>
      </c>
      <c r="CN208" s="19" t="s">
        <v>1343</v>
      </c>
      <c r="CO208" s="19" t="s">
        <v>1344</v>
      </c>
      <c r="CP208" s="19" t="s">
        <v>1345</v>
      </c>
      <c r="CQ208" s="19" t="s">
        <v>1346</v>
      </c>
      <c r="CR208" s="19" t="s">
        <v>1347</v>
      </c>
      <c r="CS208" s="19" t="s">
        <v>1348</v>
      </c>
      <c r="CT208" s="19" t="s">
        <v>1349</v>
      </c>
      <c r="CU208" s="19" t="s">
        <v>1350</v>
      </c>
      <c r="CV208" s="19"/>
      <c r="CW208" s="19"/>
      <c r="CX208" s="19" t="s">
        <v>1351</v>
      </c>
      <c r="CY208" s="19" t="s">
        <v>1352</v>
      </c>
      <c r="CZ208" s="19"/>
      <c r="DA208" s="19"/>
      <c r="DB208" s="19"/>
      <c r="DC208" s="19"/>
    </row>
    <row r="209" spans="1:107" s="7" customFormat="1" x14ac:dyDescent="0.25">
      <c r="A209" s="19" t="s">
        <v>228</v>
      </c>
      <c r="B209" s="19" t="s">
        <v>80</v>
      </c>
      <c r="C209" s="19" t="str">
        <f t="shared" si="68"/>
        <v>CL6344India</v>
      </c>
      <c r="D209" s="19" t="s">
        <v>102</v>
      </c>
      <c r="E209" s="19" t="s">
        <v>102</v>
      </c>
      <c r="F209" s="19" t="s">
        <v>261</v>
      </c>
      <c r="G209" s="20" t="s">
        <v>102</v>
      </c>
      <c r="H209" s="19"/>
      <c r="I209" s="19" t="s">
        <v>230</v>
      </c>
      <c r="J209" s="19" t="s">
        <v>296</v>
      </c>
      <c r="K209" s="19" t="s">
        <v>313</v>
      </c>
      <c r="L209" s="19" t="s">
        <v>279</v>
      </c>
      <c r="M209" s="19" t="s">
        <v>308</v>
      </c>
      <c r="N209" s="19" t="s">
        <v>284</v>
      </c>
      <c r="O209" s="19" t="s">
        <v>293</v>
      </c>
      <c r="P209" s="51" t="s">
        <v>285</v>
      </c>
      <c r="Q209" s="19" t="s">
        <v>314</v>
      </c>
      <c r="R209" s="19">
        <v>12000</v>
      </c>
      <c r="S209" s="19" t="s">
        <v>239</v>
      </c>
      <c r="T209" s="19" t="s">
        <v>287</v>
      </c>
      <c r="U209" s="20" t="s">
        <v>287</v>
      </c>
      <c r="V209" s="19" t="s">
        <v>1763</v>
      </c>
      <c r="W209" s="19" t="s">
        <v>219</v>
      </c>
      <c r="X209" s="35"/>
      <c r="Y209" s="35"/>
      <c r="Z209" s="32"/>
      <c r="AA209" s="22"/>
      <c r="AB209" s="22"/>
      <c r="AC209" s="22"/>
      <c r="AD209" s="22"/>
      <c r="AE209" s="61">
        <f t="shared" si="65"/>
        <v>0</v>
      </c>
      <c r="AF209" s="22">
        <v>5</v>
      </c>
      <c r="AG209" s="40">
        <f t="shared" si="66"/>
        <v>5</v>
      </c>
      <c r="AH209" s="24"/>
      <c r="AI209" s="24"/>
      <c r="AJ209" s="23">
        <f t="shared" si="67"/>
        <v>5</v>
      </c>
      <c r="AK209" s="25"/>
      <c r="AL209" s="25"/>
      <c r="AM209" s="25">
        <v>5</v>
      </c>
      <c r="AN209" s="25"/>
      <c r="AO209" s="25">
        <f t="shared" si="70"/>
        <v>5</v>
      </c>
      <c r="AP209" s="13"/>
      <c r="AQ209" s="21"/>
      <c r="AR209" s="21"/>
      <c r="AS209" s="21"/>
      <c r="AT209" s="21"/>
      <c r="AU209" s="21"/>
      <c r="AV209" s="21"/>
      <c r="AW209" s="21"/>
      <c r="AX209" s="21"/>
      <c r="AY209" s="77"/>
      <c r="AZ209" s="21"/>
      <c r="BA209" s="21"/>
      <c r="BB209" s="21"/>
      <c r="BC209" s="21"/>
      <c r="BD209" s="21"/>
      <c r="BE209" s="21"/>
      <c r="BF209" s="77"/>
      <c r="BG209" s="21"/>
      <c r="BH209" s="21"/>
      <c r="BI209" s="21"/>
      <c r="BJ209" s="21"/>
      <c r="BK209" s="21"/>
      <c r="BL209" s="21"/>
      <c r="BM209" s="77"/>
      <c r="BN209" s="21"/>
      <c r="BO209" s="21"/>
      <c r="BP209" s="21"/>
      <c r="BQ209" s="21"/>
      <c r="BR209" s="21"/>
      <c r="BS209" s="21"/>
      <c r="BT209" s="96">
        <f t="shared" si="63"/>
        <v>0</v>
      </c>
      <c r="BU209" s="94">
        <f t="shared" si="64"/>
        <v>5</v>
      </c>
      <c r="BV209" s="26"/>
      <c r="BW209" s="27"/>
      <c r="BX209" s="19" t="s">
        <v>102</v>
      </c>
      <c r="BY209" s="19" t="b">
        <f t="shared" si="69"/>
        <v>1</v>
      </c>
      <c r="BZ209" s="53" t="s">
        <v>102</v>
      </c>
      <c r="CA209" s="19" t="s">
        <v>123</v>
      </c>
      <c r="CB209" s="19" t="s">
        <v>1335</v>
      </c>
      <c r="CC209" s="19" t="s">
        <v>1336</v>
      </c>
      <c r="CD209" s="19" t="s">
        <v>1228</v>
      </c>
      <c r="CE209" s="19" t="s">
        <v>1229</v>
      </c>
      <c r="CF209" s="19" t="s">
        <v>1319</v>
      </c>
      <c r="CG209" s="19" t="s">
        <v>1320</v>
      </c>
      <c r="CH209" s="19" t="s">
        <v>1337</v>
      </c>
      <c r="CI209" s="19" t="s">
        <v>1338</v>
      </c>
      <c r="CJ209" s="19" t="s">
        <v>1353</v>
      </c>
      <c r="CK209" s="19" t="s">
        <v>1354</v>
      </c>
      <c r="CL209" s="19" t="s">
        <v>1355</v>
      </c>
      <c r="CM209" s="19" t="s">
        <v>1356</v>
      </c>
      <c r="CN209" s="19" t="s">
        <v>1343</v>
      </c>
      <c r="CO209" s="19" t="s">
        <v>1344</v>
      </c>
      <c r="CP209" s="19" t="s">
        <v>1345</v>
      </c>
      <c r="CQ209" s="19" t="s">
        <v>1346</v>
      </c>
      <c r="CR209" s="19" t="s">
        <v>1357</v>
      </c>
      <c r="CS209" s="19" t="s">
        <v>1332</v>
      </c>
      <c r="CT209" s="19" t="s">
        <v>1349</v>
      </c>
      <c r="CU209" s="19" t="s">
        <v>1350</v>
      </c>
      <c r="CV209" s="19"/>
      <c r="CW209" s="19"/>
      <c r="CX209" s="19" t="s">
        <v>1351</v>
      </c>
      <c r="CY209" s="19" t="s">
        <v>1352</v>
      </c>
      <c r="CZ209" s="19"/>
      <c r="DA209" s="19"/>
      <c r="DB209" s="19"/>
      <c r="DC209" s="19"/>
    </row>
    <row r="210" spans="1:107" s="7" customFormat="1" x14ac:dyDescent="0.25">
      <c r="A210" s="19" t="s">
        <v>224</v>
      </c>
      <c r="B210" s="19" t="s">
        <v>224</v>
      </c>
      <c r="C210" s="19" t="str">
        <f t="shared" si="68"/>
        <v>95450739NPI Proj</v>
      </c>
      <c r="D210" s="19">
        <v>95450739</v>
      </c>
      <c r="E210" s="19" t="s">
        <v>496</v>
      </c>
      <c r="F210" s="19" t="s">
        <v>261</v>
      </c>
      <c r="G210" s="20" t="s">
        <v>496</v>
      </c>
      <c r="H210" s="19"/>
      <c r="I210" s="19" t="s">
        <v>230</v>
      </c>
      <c r="J210" s="19" t="s">
        <v>296</v>
      </c>
      <c r="K210" s="19" t="s">
        <v>313</v>
      </c>
      <c r="L210" s="19" t="s">
        <v>279</v>
      </c>
      <c r="M210" s="19" t="s">
        <v>308</v>
      </c>
      <c r="N210" s="19" t="s">
        <v>284</v>
      </c>
      <c r="O210" s="19" t="s">
        <v>311</v>
      </c>
      <c r="P210" s="51" t="s">
        <v>285</v>
      </c>
      <c r="Q210" s="19" t="s">
        <v>314</v>
      </c>
      <c r="R210" s="19">
        <v>12000</v>
      </c>
      <c r="S210" s="19" t="s">
        <v>239</v>
      </c>
      <c r="T210" s="19" t="s">
        <v>287</v>
      </c>
      <c r="U210" s="20" t="s">
        <v>287</v>
      </c>
      <c r="V210" s="19" t="s">
        <v>1618</v>
      </c>
      <c r="W210" s="19"/>
      <c r="X210" s="35"/>
      <c r="Y210" s="35"/>
      <c r="Z210" s="32"/>
      <c r="AA210" s="22">
        <v>3</v>
      </c>
      <c r="AB210" s="22"/>
      <c r="AC210" s="22"/>
      <c r="AD210" s="22"/>
      <c r="AE210" s="61">
        <f t="shared" si="65"/>
        <v>3</v>
      </c>
      <c r="AF210" s="22"/>
      <c r="AG210" s="40">
        <f t="shared" si="66"/>
        <v>3</v>
      </c>
      <c r="AH210" s="24"/>
      <c r="AI210" s="24"/>
      <c r="AJ210" s="23">
        <f t="shared" si="67"/>
        <v>3</v>
      </c>
      <c r="AK210" s="25"/>
      <c r="AL210" s="25"/>
      <c r="AM210" s="25"/>
      <c r="AN210" s="25">
        <v>3</v>
      </c>
      <c r="AO210" s="25">
        <f t="shared" si="70"/>
        <v>3</v>
      </c>
      <c r="AP210" s="13"/>
      <c r="AQ210" s="21"/>
      <c r="AR210" s="21"/>
      <c r="AS210" s="21"/>
      <c r="AT210" s="21"/>
      <c r="AU210" s="21"/>
      <c r="AV210" s="21"/>
      <c r="AW210" s="21"/>
      <c r="AX210" s="21"/>
      <c r="AY210" s="77"/>
      <c r="AZ210" s="21"/>
      <c r="BA210" s="21"/>
      <c r="BB210" s="21"/>
      <c r="BC210" s="21"/>
      <c r="BD210" s="21"/>
      <c r="BE210" s="21"/>
      <c r="BF210" s="77"/>
      <c r="BG210" s="21"/>
      <c r="BH210" s="21"/>
      <c r="BI210" s="21"/>
      <c r="BJ210" s="21"/>
      <c r="BK210" s="21"/>
      <c r="BL210" s="21"/>
      <c r="BM210" s="77"/>
      <c r="BN210" s="21"/>
      <c r="BO210" s="21"/>
      <c r="BP210" s="21"/>
      <c r="BQ210" s="21"/>
      <c r="BR210" s="21"/>
      <c r="BS210" s="21"/>
      <c r="BT210" s="96">
        <f t="shared" si="63"/>
        <v>0</v>
      </c>
      <c r="BU210" s="94">
        <f t="shared" si="64"/>
        <v>3</v>
      </c>
      <c r="BV210" s="26"/>
      <c r="BW210" s="27"/>
      <c r="BX210" s="19" t="s">
        <v>496</v>
      </c>
      <c r="BY210" s="19" t="b">
        <f t="shared" si="69"/>
        <v>1</v>
      </c>
      <c r="BZ210" s="53" t="s">
        <v>496</v>
      </c>
      <c r="CA210" s="19" t="s">
        <v>1359</v>
      </c>
      <c r="CB210" s="19" t="s">
        <v>1360</v>
      </c>
      <c r="CC210" s="19" t="s">
        <v>1361</v>
      </c>
      <c r="CD210" s="19" t="s">
        <v>1362</v>
      </c>
      <c r="CE210" s="19" t="s">
        <v>1229</v>
      </c>
      <c r="CF210" s="19" t="s">
        <v>1363</v>
      </c>
      <c r="CG210" s="19" t="s">
        <v>1364</v>
      </c>
      <c r="CH210" s="19" t="s">
        <v>1365</v>
      </c>
      <c r="CI210" s="19" t="s">
        <v>1358</v>
      </c>
      <c r="CJ210" s="19" t="s">
        <v>1366</v>
      </c>
      <c r="CK210" s="19" t="s">
        <v>1367</v>
      </c>
      <c r="CL210" s="19" t="s">
        <v>1368</v>
      </c>
      <c r="CM210" s="19" t="s">
        <v>1369</v>
      </c>
      <c r="CN210" s="19" t="s">
        <v>1370</v>
      </c>
      <c r="CO210" s="19" t="s">
        <v>1371</v>
      </c>
      <c r="CP210" s="19" t="s">
        <v>1372</v>
      </c>
      <c r="CQ210" s="19" t="s">
        <v>1373</v>
      </c>
      <c r="CR210" s="19" t="s">
        <v>1374</v>
      </c>
      <c r="CS210" s="19" t="s">
        <v>1375</v>
      </c>
      <c r="CT210" s="19" t="s">
        <v>1376</v>
      </c>
      <c r="CU210" s="19" t="s">
        <v>1264</v>
      </c>
      <c r="CV210" s="19"/>
      <c r="CW210" s="19"/>
      <c r="CX210" s="19" t="s">
        <v>1377</v>
      </c>
      <c r="CY210" s="19" t="s">
        <v>1378</v>
      </c>
      <c r="CZ210" s="19"/>
      <c r="DA210" s="19"/>
      <c r="DB210" s="19"/>
      <c r="DC210" s="19"/>
    </row>
    <row r="211" spans="1:107" s="7" customFormat="1" x14ac:dyDescent="0.25">
      <c r="A211" s="19" t="s">
        <v>224</v>
      </c>
      <c r="B211" s="19" t="s">
        <v>224</v>
      </c>
      <c r="C211" s="19" t="str">
        <f t="shared" si="68"/>
        <v>95450741NPI Proj</v>
      </c>
      <c r="D211" s="19">
        <v>95450741</v>
      </c>
      <c r="E211" s="19" t="s">
        <v>497</v>
      </c>
      <c r="F211" s="19" t="s">
        <v>261</v>
      </c>
      <c r="G211" s="20" t="s">
        <v>497</v>
      </c>
      <c r="H211" s="19"/>
      <c r="I211" s="19" t="s">
        <v>230</v>
      </c>
      <c r="J211" s="19" t="s">
        <v>296</v>
      </c>
      <c r="K211" s="19" t="s">
        <v>313</v>
      </c>
      <c r="L211" s="19" t="s">
        <v>279</v>
      </c>
      <c r="M211" s="19" t="s">
        <v>308</v>
      </c>
      <c r="N211" s="19" t="s">
        <v>284</v>
      </c>
      <c r="O211" s="19" t="s">
        <v>293</v>
      </c>
      <c r="P211" s="51" t="s">
        <v>285</v>
      </c>
      <c r="Q211" s="19" t="s">
        <v>314</v>
      </c>
      <c r="R211" s="19">
        <v>12000</v>
      </c>
      <c r="S211" s="19" t="s">
        <v>239</v>
      </c>
      <c r="T211" s="19" t="s">
        <v>287</v>
      </c>
      <c r="U211" s="20" t="s">
        <v>287</v>
      </c>
      <c r="V211" s="19" t="s">
        <v>1619</v>
      </c>
      <c r="W211" s="19"/>
      <c r="X211" s="35"/>
      <c r="Y211" s="35"/>
      <c r="Z211" s="32"/>
      <c r="AA211" s="22">
        <v>2</v>
      </c>
      <c r="AB211" s="22"/>
      <c r="AC211" s="22"/>
      <c r="AD211" s="22"/>
      <c r="AE211" s="61">
        <f t="shared" si="65"/>
        <v>2</v>
      </c>
      <c r="AF211" s="22"/>
      <c r="AG211" s="40">
        <f t="shared" si="66"/>
        <v>2</v>
      </c>
      <c r="AH211" s="24"/>
      <c r="AI211" s="24"/>
      <c r="AJ211" s="23">
        <f t="shared" si="67"/>
        <v>2</v>
      </c>
      <c r="AK211" s="25"/>
      <c r="AL211" s="25"/>
      <c r="AM211" s="25">
        <v>1</v>
      </c>
      <c r="AN211" s="25">
        <v>1</v>
      </c>
      <c r="AO211" s="25">
        <f t="shared" si="70"/>
        <v>2</v>
      </c>
      <c r="AP211" s="13"/>
      <c r="AQ211" s="21"/>
      <c r="AR211" s="21"/>
      <c r="AS211" s="21"/>
      <c r="AT211" s="21"/>
      <c r="AU211" s="21"/>
      <c r="AV211" s="21"/>
      <c r="AW211" s="21"/>
      <c r="AX211" s="21"/>
      <c r="AY211" s="77"/>
      <c r="AZ211" s="21"/>
      <c r="BA211" s="21"/>
      <c r="BB211" s="21"/>
      <c r="BC211" s="21"/>
      <c r="BD211" s="21"/>
      <c r="BE211" s="21"/>
      <c r="BF211" s="77"/>
      <c r="BG211" s="21"/>
      <c r="BH211" s="21"/>
      <c r="BI211" s="21"/>
      <c r="BJ211" s="21"/>
      <c r="BK211" s="21"/>
      <c r="BL211" s="21">
        <v>1</v>
      </c>
      <c r="BM211" s="77"/>
      <c r="BN211" s="21"/>
      <c r="BO211" s="21"/>
      <c r="BP211" s="21"/>
      <c r="BQ211" s="21"/>
      <c r="BR211" s="21"/>
      <c r="BS211" s="21"/>
      <c r="BT211" s="96">
        <f t="shared" si="63"/>
        <v>1</v>
      </c>
      <c r="BU211" s="94">
        <f t="shared" si="64"/>
        <v>1</v>
      </c>
      <c r="BV211" s="26"/>
      <c r="BW211" s="27"/>
      <c r="BX211" s="19" t="s">
        <v>497</v>
      </c>
      <c r="BY211" s="19" t="b">
        <f t="shared" si="69"/>
        <v>1</v>
      </c>
      <c r="BZ211" s="53" t="s">
        <v>497</v>
      </c>
      <c r="CA211" s="19" t="s">
        <v>1379</v>
      </c>
      <c r="CB211" s="19" t="s">
        <v>1360</v>
      </c>
      <c r="CC211" s="19" t="s">
        <v>1361</v>
      </c>
      <c r="CD211" s="19" t="s">
        <v>1362</v>
      </c>
      <c r="CE211" s="19" t="s">
        <v>1229</v>
      </c>
      <c r="CF211" s="19" t="s">
        <v>1363</v>
      </c>
      <c r="CG211" s="19" t="s">
        <v>1364</v>
      </c>
      <c r="CH211" s="19" t="s">
        <v>1365</v>
      </c>
      <c r="CI211" s="19" t="s">
        <v>1358</v>
      </c>
      <c r="CJ211" s="19" t="s">
        <v>1380</v>
      </c>
      <c r="CK211" s="19" t="s">
        <v>1381</v>
      </c>
      <c r="CL211" s="19" t="s">
        <v>1368</v>
      </c>
      <c r="CM211" s="19" t="s">
        <v>1369</v>
      </c>
      <c r="CN211" s="19" t="s">
        <v>1370</v>
      </c>
      <c r="CO211" s="19" t="s">
        <v>1371</v>
      </c>
      <c r="CP211" s="19" t="s">
        <v>1372</v>
      </c>
      <c r="CQ211" s="19" t="s">
        <v>1373</v>
      </c>
      <c r="CR211" s="19" t="s">
        <v>1374</v>
      </c>
      <c r="CS211" s="19" t="s">
        <v>1375</v>
      </c>
      <c r="CT211" s="19" t="s">
        <v>1376</v>
      </c>
      <c r="CU211" s="19" t="s">
        <v>1264</v>
      </c>
      <c r="CV211" s="19"/>
      <c r="CW211" s="19"/>
      <c r="CX211" s="19" t="s">
        <v>1377</v>
      </c>
      <c r="CY211" s="19" t="s">
        <v>1378</v>
      </c>
      <c r="CZ211" s="19"/>
      <c r="DA211" s="19"/>
      <c r="DB211" s="19"/>
      <c r="DC211" s="19"/>
    </row>
  </sheetData>
  <autoFilter ref="A4:DT211" xr:uid="{16AE9018-9555-40F6-A213-ADBCEC0213B8}"/>
  <mergeCells count="1">
    <mergeCell ref="X2:Y2"/>
  </mergeCells>
  <pageMargins left="0.7" right="0.7" top="0.75" bottom="0.75" header="0.3" footer="0.3"/>
  <pageSetup scale="23" orientation="portrait" horizontalDpi="300" verticalDpi="0" r:id="rId1"/>
  <colBreaks count="2" manualBreakCount="2">
    <brk id="21" min="1" max="592" man="1"/>
    <brk id="81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5D1156AF89E94CB4E0E819A4FFFAAD" ma:contentTypeVersion="10" ma:contentTypeDescription="Create a new document." ma:contentTypeScope="" ma:versionID="61872c4fbe53fcdd153f909cd790dd28">
  <xsd:schema xmlns:xsd="http://www.w3.org/2001/XMLSchema" xmlns:xs="http://www.w3.org/2001/XMLSchema" xmlns:p="http://schemas.microsoft.com/office/2006/metadata/properties" xmlns:ns2="57566b0b-71de-458e-9f2e-9e8b3d616881" targetNamespace="http://schemas.microsoft.com/office/2006/metadata/properties" ma:root="true" ma:fieldsID="11e0f8d1eec925045bf0dcf8a49d40ae" ns2:_="">
    <xsd:import namespace="57566b0b-71de-458e-9f2e-9e8b3d6168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566b0b-71de-458e-9f2e-9e8b3d6168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e324c80-68f0-4eca-84bf-9f08e60561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566b0b-71de-458e-9f2e-9e8b3d616881">
      <Terms xmlns="http://schemas.microsoft.com/office/infopath/2007/PartnerControls"/>
    </lcf76f155ced4ddcb4097134ff3c332f>
    <MediaLengthInSeconds xmlns="57566b0b-71de-458e-9f2e-9e8b3d616881" xsi:nil="true"/>
  </documentManagement>
</p:properties>
</file>

<file path=customXml/itemProps1.xml><?xml version="1.0" encoding="utf-8"?>
<ds:datastoreItem xmlns:ds="http://schemas.openxmlformats.org/officeDocument/2006/customXml" ds:itemID="{21F18D4F-53E2-4971-A1F7-301C0B4E8612}"/>
</file>

<file path=customXml/itemProps2.xml><?xml version="1.0" encoding="utf-8"?>
<ds:datastoreItem xmlns:ds="http://schemas.openxmlformats.org/officeDocument/2006/customXml" ds:itemID="{0192FED9-6F09-470B-B4C9-D69DDE6ACDC1}"/>
</file>

<file path=customXml/itemProps3.xml><?xml version="1.0" encoding="utf-8"?>
<ds:datastoreItem xmlns:ds="http://schemas.openxmlformats.org/officeDocument/2006/customXml" ds:itemID="{AD0D9EFC-FABF-4EEE-8D5B-8264EEA6AD33}"/>
</file>

<file path=docMetadata/LabelInfo.xml><?xml version="1.0" encoding="utf-8"?>
<clbl:labelList xmlns:clbl="http://schemas.microsoft.com/office/2020/mipLabelMetadata">
  <clbl:label id="{672c92bb-bb1e-4496-9f98-544dd509aafc}" enabled="1" method="Standard" siteId="{76a9a4c0-e34b-4ea8-b0b7-96fc4396f9e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combined</vt:lpstr>
      <vt:lpstr>cargo</vt:lpstr>
      <vt:lpstr>ok tag</vt:lpstr>
      <vt:lpstr>rollout</vt:lpstr>
      <vt:lpstr>bus and appln</vt:lpstr>
      <vt:lpstr>summary-aug26</vt:lpstr>
      <vt:lpstr>bus and spl</vt:lpstr>
      <vt:lpstr>bus and spl appln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Vijay Kumar Jain</dc:creator>
  <cp:lastModifiedBy>Ashish Manoharrao Wankhade</cp:lastModifiedBy>
  <cp:lastPrinted>2026-03-30T05:32:53Z</cp:lastPrinted>
  <dcterms:created xsi:type="dcterms:W3CDTF">2026-02-18T11:49:13Z</dcterms:created>
  <dcterms:modified xsi:type="dcterms:W3CDTF">2026-08-28T06:19:07Z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0x010100915D1156AF89E94CB4E0E819A4FFFAAD</vt:lpwstr>
  </property>
  <property fmtid="{D5CDD505-2E9C-101B-9397-08002B2CF9AE}" pid="3" name="Order">
    <vt:r8>39900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