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11_7EC61287A3B8FCAA0AC49A771A8A878CD6ADCAD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w to Use" sheetId="1" r:id="rId1"/>
    <sheet name="Summary" sheetId="2" r:id="rId2"/>
    <sheet name="Matrix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5" i="2" l="1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C8" i="2"/>
  <c r="B8" i="2"/>
  <c r="C7" i="2"/>
  <c r="B7" i="2"/>
  <c r="C6" i="2"/>
  <c r="B6" i="2"/>
  <c r="C5" i="2"/>
  <c r="B5" i="2"/>
</calcChain>
</file>

<file path=xl/sharedStrings.xml><?xml version="1.0" encoding="utf-8"?>
<sst xmlns="http://schemas.openxmlformats.org/spreadsheetml/2006/main" count="536" uniqueCount="252">
  <si>
    <t>VECV T5 — User Story Baseline &amp; Delta Register</t>
  </si>
  <si>
    <t>A/B/C classification  ·  Existing catalogues → T5 MDM/FERT Governance  ·  v1.0  ·  Jul 2026</t>
  </si>
  <si>
    <t>PURPOSE</t>
  </si>
  <si>
    <t>This register applies Hemant’s baseline method to the T5 user-story catalogue. A rows retain an existing story as-is. B rows extend or improve an existing story for T5 and identify the linked baseline ID. C rows are genuinely new T5 governance capabilities. Each row requires an explicit business response before the catalogue is treated as validated.</t>
  </si>
  <si>
    <t>TAG LEGEND</t>
  </si>
  <si>
    <t>A — As-is</t>
  </si>
  <si>
    <t>Existing story retained without a functional change. Confirm that it remains applicable to T5.</t>
  </si>
  <si>
    <t>Confirm agreement ✓</t>
  </si>
  <si>
    <t>B — Modified / Improved</t>
  </si>
  <si>
    <t>Existing capability remains but is extended with T5 lineage, lifecycle, validation, workflow, approval or governance requirements.</t>
  </si>
  <si>
    <t>Accept the change ✓</t>
  </si>
  <si>
    <t>C — New</t>
  </si>
  <si>
    <t>No direct baseline story was found. Business must review and confirm the new T5 design.</t>
  </si>
  <si>
    <t>Confirm new design ✓</t>
  </si>
  <si>
    <t>HOW TO USE IN THE T5 REVIEW</t>
  </si>
  <si>
    <t>Step 1 — Review A rows</t>
  </si>
  <si>
    <t>Confirm the existing story is still applicable to T5 without functional change.</t>
  </si>
  <si>
    <t>Step 2 — Review B rows</t>
  </si>
  <si>
    <t>Compare the baseline story with the T5 treatment and accept or correct the stated delta.</t>
  </si>
  <si>
    <t>Step 3 — Review C rows</t>
  </si>
  <si>
    <t>Validate the persona, requirement, workflow, alerts and acceptance outcome for each new design.</t>
  </si>
  <si>
    <t>Step 4 — Validate against UX</t>
  </si>
  <si>
    <t>Demonstrate how the persona completes the story in the UX; a related screen alone is not validation.</t>
  </si>
  <si>
    <t>Step 5 — Record decision</t>
  </si>
  <si>
    <t>Update Business Sign-off as Confirmed, Change needed, Open question or Not applicable.</t>
  </si>
  <si>
    <t>Step 6 — Attach to FSD</t>
  </si>
  <si>
    <t>Use the completed register as the user-story traceability and business-validation record.</t>
  </si>
  <si>
    <t>T5 User Story Baseline &amp; Delta Register — Summary</t>
  </si>
  <si>
    <t>Classification and business-action overview</t>
  </si>
  <si>
    <t>Tag</t>
  </si>
  <si>
    <t>Count</t>
  </si>
  <si>
    <t>% of total</t>
  </si>
  <si>
    <t>Business action required</t>
  </si>
  <si>
    <t>Confirm agreement on each row ✓</t>
  </si>
  <si>
    <t>B — Modified</t>
  </si>
  <si>
    <t>Accept each stated T5 change ✓</t>
  </si>
  <si>
    <t>Review and confirm new design ✓</t>
  </si>
  <si>
    <t>TOTAL</t>
  </si>
  <si>
    <t>BREAKDOWN BY T5 CAPABILITY</t>
  </si>
  <si>
    <t>Capability</t>
  </si>
  <si>
    <t>A</t>
  </si>
  <si>
    <t>B</t>
  </si>
  <si>
    <t>C</t>
  </si>
  <si>
    <t>Total</t>
  </si>
  <si>
    <t>Approval Workflow</t>
  </si>
  <si>
    <t>Audit Trail</t>
  </si>
  <si>
    <t>BOM Readiness</t>
  </si>
  <si>
    <t>Change Reason</t>
  </si>
  <si>
    <t>Characteristic Completeness</t>
  </si>
  <si>
    <t>Combination Validation</t>
  </si>
  <si>
    <t>Controlled Values</t>
  </si>
  <si>
    <t>Coverage Report</t>
  </si>
  <si>
    <t>Data Quality</t>
  </si>
  <si>
    <t>Dealer Segmentation</t>
  </si>
  <si>
    <t>Dealer Visibility</t>
  </si>
  <si>
    <t>Demand Restriction</t>
  </si>
  <si>
    <t>Exception Queue</t>
  </si>
  <si>
    <t>FERT Creation</t>
  </si>
  <si>
    <t>FERT Lineage</t>
  </si>
  <si>
    <t>FERT Migration</t>
  </si>
  <si>
    <t>FERT Segmentation</t>
  </si>
  <si>
    <t>Forecast Disaggregation</t>
  </si>
  <si>
    <t>Forecast Item</t>
  </si>
  <si>
    <t>Forecast Transfer</t>
  </si>
  <si>
    <t>Governance Review</t>
  </si>
  <si>
    <t>Interface Monitoring</t>
  </si>
  <si>
    <t>Inventory Alert</t>
  </si>
  <si>
    <t>Inventory Depletion</t>
  </si>
  <si>
    <t>Inventory Migration</t>
  </si>
  <si>
    <t>Lifecycle Status</t>
  </si>
  <si>
    <t>Lineage Alert</t>
  </si>
  <si>
    <t>MDM Health Dashboard</t>
  </si>
  <si>
    <t>Migration Segmentation</t>
  </si>
  <si>
    <t>Model Year Planning</t>
  </si>
  <si>
    <t>NPI Planning</t>
  </si>
  <si>
    <t>Planning Hierarchy</t>
  </si>
  <si>
    <t>Planning Relevance</t>
  </si>
  <si>
    <t>PPC Visibility</t>
  </si>
  <si>
    <t>Product Hierarchy</t>
  </si>
  <si>
    <t>Production Plan</t>
  </si>
  <si>
    <t>Ramp Dates</t>
  </si>
  <si>
    <t>Relationship Type</t>
  </si>
  <si>
    <t>Safety Stock</t>
  </si>
  <si>
    <t>Segmentation Override</t>
  </si>
  <si>
    <t>Sparse FERT Grouping</t>
  </si>
  <si>
    <t>Strategic FERT</t>
  </si>
  <si>
    <t>Supply Plan Review</t>
  </si>
  <si>
    <t>Existing catalogue → T5 MDM/FERT Governance  ·  A = As-is  ·  B = Modified/Improved  ·  C = New</t>
  </si>
  <si>
    <t>Baseline Story ID</t>
  </si>
  <si>
    <t>Persona</t>
  </si>
  <si>
    <t>Priority</t>
  </si>
  <si>
    <t>Baseline User Story / Process</t>
  </si>
  <si>
    <t>T5 Treatment / User Story</t>
  </si>
  <si>
    <t>What Changed / Why</t>
  </si>
  <si>
    <t>Business Sign-off</t>
  </si>
  <si>
    <t>Sign-off Date</t>
  </si>
  <si>
    <t>—</t>
  </si>
  <si>
    <t>MDM Governance Lead</t>
  </si>
  <si>
    <t>Must Have</t>
  </si>
  <si>
    <t>No direct existing user story identified in the supplied catalogues.</t>
  </si>
  <si>
    <t>[T5-MDM-013] As a MDM Governance Lead, I want to route FERT creation, modification, blocking, and retirement through role-based approval, so that material master changes are authorized before publication.</t>
  </si>
  <si>
    <t>New role-based approval workflow for FERT creation, modification, blocking and retirement.</t>
  </si>
  <si>
    <t>Pending</t>
  </si>
  <si>
    <t>Should Have</t>
  </si>
  <si>
    <t>[T5-MDM-014] As a MDM Governance Lead, I want to view who changed a FERT field, what changed, when it changed, and who approved it, so that master-data decisions are traceable for governance and audit.</t>
  </si>
  <si>
    <t>New field-level governance audit trail with requester, approver and timestamps.</t>
  </si>
  <si>
    <t>IScP14; PPC4</t>
  </si>
  <si>
    <t>PPC Planner</t>
  </si>
  <si>
    <t>As a Supply Planner, I want to review part-to-FERT and FERT-to-part requirements, so that component and finished-goods requirements can be reconciled.
As a PPC Planner, I want to review the monthly sales demand plan for NPI products, so that production readiness for new products can be planned.</t>
  </si>
  <si>
    <t>[T5-MDM-020] As a PPC Planner, I want to view EBOM-to-MBOM readiness against each FERT, so that production planning starts only when the product structure is ready.</t>
  </si>
  <si>
    <t>Extends part-to-FERT and NPI visibility with EBOM-to-MBOM readiness by FERT.</t>
  </si>
  <si>
    <t>Product Data Owner</t>
  </si>
  <si>
    <t>[T5-MDM-019] As a Product Data Owner, I want to record whether a FERT was created or changed for a regulatory, engineering, commercial, state-specific, or customer-specific reason, so that planners understand why a new code exists and how it should be treated.</t>
  </si>
  <si>
    <t>New governed change-reason classification for regulatory, engineering, commercial, state and customer changes.</t>
  </si>
  <si>
    <t>MDM Analyst</t>
  </si>
  <si>
    <t>[T5-MDM-002] As a MDM Analyst, I want to capture mandatory planning characteristics including vertical, model, fuel, engine, wheelbase, tonnage, platform, MPG, and body type, so that each FERT can be consistently grouped, forecast, and reported.</t>
  </si>
  <si>
    <t>New governed characteristic template and completeness control for T5.</t>
  </si>
  <si>
    <t>MDM Data Steward</t>
  </si>
  <si>
    <t>[T5-MDM-005] As a MDM Data Steward, I want to validate characteristic combinations before a FERT is approved, so that invalid combinations such as wrong division, vehicle class, fuel, or platform are prevented.</t>
  </si>
  <si>
    <t>New cross-characteristic combination validation before FERT approval.</t>
  </si>
  <si>
    <t>[T5-MDM-004] As a MDM Data Steward, I want to maintain controlled value lists for key FERT attributes, so that users select standardized values instead of creating inconsistent descriptions.</t>
  </si>
  <si>
    <t>New controlled-value governance for FERT characteristics.</t>
  </si>
  <si>
    <t>IScP16</t>
  </si>
  <si>
    <t>Supply Planner</t>
  </si>
  <si>
    <t>Existing</t>
  </si>
  <si>
    <t>As a Supply Planner, I want to review supply availability by FERT, so that coverage risks can be identified at finished-goods level.</t>
  </si>
  <si>
    <t>[IScP16] Carried as-is: As a Supply Planner, I want to review supply availability by FERT, so that coverage risks can be identified at finished-goods level.</t>
  </si>
  <si>
    <t>No functional change. Existing story is relevant to T5 and requires explicit business confirmation.</t>
  </si>
  <si>
    <t>[T5-MDM-003] As a MDM Data Steward, I want to identify missing, incorrect, or inconsistent FERT characteristics, so that master-data issues are corrected before they affect planning.</t>
  </si>
  <si>
    <t>New MDM data-quality validation and source-correction requirement.</t>
  </si>
  <si>
    <t>0.1DP05</t>
  </si>
  <si>
    <t>Demand Planner</t>
  </si>
  <si>
    <t>As a Demand Planner, I want to compare dealer FERT segmentation with VECV segmentation, so that material differences can be identified and resolved.</t>
  </si>
  <si>
    <t>[0.1DP05] Carried as-is: As a Demand Planner, I want to compare dealer FERT segmentation with VECV segmentation, so that material differences can be identified and resolved.</t>
  </si>
  <si>
    <t>0.2DP04</t>
  </si>
  <si>
    <t>As a Demand Planner, I want to review FERT segmentation at dealer level, so that dealer-specific demand behavior can be understood and planned.</t>
  </si>
  <si>
    <t>[0.2DP04] Carried as-is: As a Demand Planner, I want to review FERT segmentation at dealer level, so that dealer-specific demand behavior can be understood and planned.</t>
  </si>
  <si>
    <t>7DP12</t>
  </si>
  <si>
    <t>Dealer</t>
  </si>
  <si>
    <t>As a Dealer, I want to view the classification for my FERT codes, so that I can understand how my products are treated in planning.</t>
  </si>
  <si>
    <t>[7DP12] Carried as-is: As a Dealer, I want to view the classification for my FERT codes, so that I can understand how my products are treated in planning.</t>
  </si>
  <si>
    <t>[T5-MDM-023] As a Demand Planner, I want to prevent or warn against demand entry for blocked or obsolete FERTs, so that forecast is not created on products that cannot be supplied.</t>
  </si>
  <si>
    <t>New preventive control against demand entry on blocked or obsolete FERTs.</t>
  </si>
  <si>
    <t>[T5-MDM-015] As a MDM Data Steward, I want to work from a prioritized queue of incomplete, unmapped, blocked, or interface-failed FERT records, so that data-quality exceptions are resolved within an agreed service level.</t>
  </si>
  <si>
    <t>New persona-based exception queue with priority and SLA.</t>
  </si>
  <si>
    <t>[T5-MDM-001] As a MDM Analyst, I want to create and maintain a FERT only after all mandatory master-data fields are completed, so that incomplete FERT records do not enter downstream planning systems.</t>
  </si>
  <si>
    <t>New governance gate: mandatory master-data completion before a FERT can enter downstream planning.</t>
  </si>
  <si>
    <t>0.7DP21</t>
  </si>
  <si>
    <t>As a Demand Planner, I want to create FERT migrations such as OBD1 to OBD2 in RapidResponse, so that demand, supply, and inventory can be planned across product transitions.</t>
  </si>
  <si>
    <t>[T5-MDM-006] As a Product Data Owner, I want to link every successor FERT to its predecessor FERT or approved source reference, so that product lineage is visible across engineering and commercial changes.</t>
  </si>
  <si>
    <t>Extends existing migration capability into a governed predecessor-successor lineage object.</t>
  </si>
  <si>
    <t>0.1DP03</t>
  </si>
  <si>
    <t>As a Demand Planner, I want to treat old and new FERT versions as interchangeable for segmentation, so that demand history and classification remain meaningful during product migration.</t>
  </si>
  <si>
    <t>[0.1DP03] As a Demand Planner, I want to treat old and new FERT versions as interchangeable for segmentation, so that demand history and classification remain meaningful during product migration. T5 treatment: retain the baseline intent and add applicable MDM/FERT governance controls.</t>
  </si>
  <si>
    <t>Existing FERT Migration logic remains, with additional lineage, lifecycle, validation, approval or governance context for T5.</t>
  </si>
  <si>
    <t>[0.7DP21] As a Demand Planner, I want to create FERT migrations such as OBD1 to OBD2 in RapidResponse, so that demand, supply, and inventory can be planned across product transitions. T5 treatment: retain the baseline intent and add applicable MDM/FERT governance controls.</t>
  </si>
  <si>
    <t>0.1DP01</t>
  </si>
  <si>
    <t>As a Demand Planner, I want to review FERT segmentation at organization level, so that I can validate the system-generated classification before using it in demand planning.</t>
  </si>
  <si>
    <t>[0.1DP01] Carried as-is: As a Demand Planner, I want to review FERT segmentation at organization level, so that I can validate the system-generated classification before using it in demand planning.</t>
  </si>
  <si>
    <t>0.1DP02</t>
  </si>
  <si>
    <t>As a Demand Planner, I want to override FERT segmentation, so that business knowledge and approved exceptions can be reflected in planning.</t>
  </si>
  <si>
    <t>[0.1DP02] Carried as-is: As a Demand Planner, I want to override FERT segmentation, so that business knowledge and approved exceptions can be reflected in planning.</t>
  </si>
  <si>
    <t>2DP04</t>
  </si>
  <si>
    <t>As a Demand Planner, I want to adjust forecast-item disaggregation weights, so that the aggregate forecast is distributed to FERTs using current business knowledge.</t>
  </si>
  <si>
    <t>[2DP04] As a Demand Planner, I want to adjust forecast-item disaggregation weights, so that the aggregate forecast is distributed to FERTs using current business knowledge. T5 treatment: retain the baseline intent and add applicable MDM/FERT governance controls.</t>
  </si>
  <si>
    <t>Existing Forecast Disaggregation logic remains, with additional lineage, lifecycle, validation, approval or governance context for T5.</t>
  </si>
  <si>
    <t>2DP02</t>
  </si>
  <si>
    <t>As a Demand Planner, I want to create forecast items, so that demand can be planned at the appropriate aggregation level.</t>
  </si>
  <si>
    <t>[2DP02] Carried as-is: As a Demand Planner, I want to create forecast items, so that demand can be planned at the appropriate aggregation level.</t>
  </si>
  <si>
    <t>0.7DP21; 2DP04</t>
  </si>
  <si>
    <t>As a Demand Planner, I want to create FERT migrations such as OBD1 to OBD2 in RapidResponse, so that demand, supply, and inventory can be planned across product transitions.
As a Demand Planner, I want to adjust forecast-item disaggregation weights, so that the aggregate forecast is distributed to FERTs using current business knowledge.</t>
  </si>
  <si>
    <t>[T5-MDM-008] As a Demand Planner, I want to maintain the approved forecast-transfer percentage between predecessor and successor FERTs, so that demand transitions progressively without losing or duplicating forecast.</t>
  </si>
  <si>
    <t>Extends migration and disaggregation logic with approved predecessor-successor forecast-transfer percentages.</t>
  </si>
  <si>
    <t>[T5-MDM-024] As a MDM Governance Lead, I want to conduct a quarterly or half-yearly review of active, duplicate, obsolete, unmapped, and incomplete FERTs, so that the FERT catalogue remains current and fit for planning.</t>
  </si>
  <si>
    <t>New periodic governance review cadence for duplicate, obsolete, unmapped and incomplete FERTs.</t>
  </si>
  <si>
    <t>[T5-MDM-021] As a MDM Analyst, I want to view interface status from IDM or PLM to SAP and the planning platform, so that failed or delayed FERT publication can be detected and corrected.</t>
  </si>
  <si>
    <t>New end-to-end interface monitoring from IDM/PLM to SAP and planning.</t>
  </si>
  <si>
    <t>0.7DP23-B</t>
  </si>
  <si>
    <t>As a Demand Planner, I want to receive an alert when FERT stock is not utilized, so that inventory exceptions can be acted upon before stock becomes obsolete.</t>
  </si>
  <si>
    <t>[0.7DP23-B] Carried as-is: As a Demand Planner, I want to receive an alert when FERT stock is not utilized, so that inventory exceptions can be acted upon before stock becomes obsolete.</t>
  </si>
  <si>
    <t>0.7DP22; 0.7DP24</t>
  </si>
  <si>
    <t>As a Demand Planner, I want to review stock for different product versions and consume the old version first, so that obsolete inventory is minimized during migration.
As a Demand Planner, I want to maintain safety stock norms according to the migration map, so that inventory policy follows the approved product transition.</t>
  </si>
  <si>
    <t>[T5-MDM-010] As a Supply Planner, I want to define old-stock depletion rules for each FERT migration, so that predecessor inventory is consumed before successor supply creates obsolescence.</t>
  </si>
  <si>
    <t>Extends old-stock-first logic with a governed inventory-depletion rule for every migration.</t>
  </si>
  <si>
    <t>0.7DP22</t>
  </si>
  <si>
    <t>As a Demand Planner, I want to review stock for different product versions and consume the old version first, so that obsolete inventory is minimized during migration.</t>
  </si>
  <si>
    <t>[0.7DP22] Carried as-is: As a Demand Planner, I want to review stock for different product versions and consume the old version first, so that obsolete inventory is minimized during migration.</t>
  </si>
  <si>
    <t>[T5-MDM-011] As a Product Data Owner, I want to assign lifecycle statuses such as pre-SOP, active, ramp-up, ramp-down, blocked, obsolete, and retired, so that all functions use the same product lifecycle state.</t>
  </si>
  <si>
    <t>New common lifecycle-status model covering Pre-SOP through retirement.</t>
  </si>
  <si>
    <t>[T5-MDM-016] As a MDM Data Steward, I want to receive an alert when a new FERT lacks a predecessor, successor, product family, or migration rule, so that unmapped products are resolved before planning begins.</t>
  </si>
  <si>
    <t>New lineage-specific alert for missing predecessor, successor, family or migration rule.</t>
  </si>
  <si>
    <t>[T5-MDM-025] As a MDM Governance Lead, I want to monitor characteristic completeness, unmapped lineage, pending approvals, invalid combinations, and lifecycle exceptions, so that governance actions can be prioritized using a common view of MDM health.</t>
  </si>
  <si>
    <t>New consolidated MDM health dashboard across the five priority MDM issues.</t>
  </si>
  <si>
    <t>0.7DP23-A</t>
  </si>
  <si>
    <t>As a Demand Planner, I want to review FERT segmentation according to the migration map, so that segmentation remains consistent across predecessor and successor FERTs.</t>
  </si>
  <si>
    <t>[0.7DP23-A] Carried as-is: As a Demand Planner, I want to review FERT segmentation according to the migration map, so that segmentation remains consistent across predecessor and successor FERTs.</t>
  </si>
  <si>
    <t>PPC31</t>
  </si>
  <si>
    <t>As a PPC Planner, I want to plan production using current and future model-year FERT codes, so that model-year transition demand and production are synchronized.</t>
  </si>
  <si>
    <t>[PPC31] As a PPC Planner, I want to plan production using current and future model-year FERT codes, so that model-year transition demand and production are synchronized. T5 treatment: retain the baseline intent and add applicable MDM/FERT governance controls.</t>
  </si>
  <si>
    <t>Existing Model Year Planning logic remains, with additional lineage, lifecycle, validation, approval or governance context for T5.</t>
  </si>
  <si>
    <t>PPC4</t>
  </si>
  <si>
    <t>As a PPC Planner, I want to review the monthly sales demand plan for NPI products, so that production readiness for new products can be planned.</t>
  </si>
  <si>
    <t>[PPC4] As a PPC Planner, I want to review the monthly sales demand plan for NPI products, so that production readiness for new products can be planned. T5 treatment: retain the baseline intent and add applicable MDM/FERT governance controls.</t>
  </si>
  <si>
    <t>Existing NPI Planning logic remains, with additional lineage, lifecycle, validation, approval or governance context for T5.</t>
  </si>
  <si>
    <t>IScP22</t>
  </si>
  <si>
    <t>As a Planner, I want to drill down from Platform to Model to Variant to FERT, so that planning results can be analyzed at the required product level.</t>
  </si>
  <si>
    <t>[T5-MDM-017] As a Product Data Owner, I want to maintain a governed hierarchy of vertical, platform, model, variant, fuel, engine, tonnage, length, MPG, and FERT, so that all planning teams aggregate and drill down using one product structure.</t>
  </si>
  <si>
    <t>Extends existing product drill-down into one governed planning hierarchy with maintained ownership.</t>
  </si>
  <si>
    <t>SNOP Planner</t>
  </si>
  <si>
    <t>[T5-MDM-012] As a SNOP Planner, I want to classify each FERT as SNOP-relevant or non-SNOP with an effective date, so that only appropriate FERTs participate in the planning process.</t>
  </si>
  <si>
    <t>New effective-dated S&amp;OP relevance control for FERT participation in planning.</t>
  </si>
  <si>
    <t>IScP18; PPC31</t>
  </si>
  <si>
    <t>As a Production Planner, I want to review the production requirement plan at FERT level, so that production can be aligned with the approved demand and supply plan.
As a PPC Planner, I want to plan production using current and future model-year FERT codes, so that model-year transition demand and production are synchronized.</t>
  </si>
  <si>
    <t>[T5-MDM-022] As a PPC Planner, I want to see blocked, obsolete, and successor FERT information while reviewing the production plan, so that production is not planned against invalid or superseded codes.</t>
  </si>
  <si>
    <t>Extends production-plan visibility with blocked, obsolete and successor-FERT context.</t>
  </si>
  <si>
    <t>Planner</t>
  </si>
  <si>
    <t>[IScP22] As a Planner, I want to drill down from Platform to Model to Variant to FERT, so that planning results can be analyzed at the required product level. T5 treatment: retain the baseline intent and add applicable MDM/FERT governance controls.</t>
  </si>
  <si>
    <t>Existing Product Hierarchy logic remains, with additional lineage, lifecycle, validation, approval or governance context for T5.</t>
  </si>
  <si>
    <t>IScP18</t>
  </si>
  <si>
    <t>Production Planner</t>
  </si>
  <si>
    <t>As a Production Planner, I want to review the production requirement plan at FERT level, so that production can be aligned with the approved demand and supply plan.</t>
  </si>
  <si>
    <t>[IScP18] Carried as-is: As a Production Planner, I want to review the production requirement plan at FERT level, so that production can be aligned with the approved demand and supply plan.</t>
  </si>
  <si>
    <t>PPC31; 0.7DP21</t>
  </si>
  <si>
    <t>As a PPC Planner, I want to plan production using current and future model-year FERT codes, so that model-year transition demand and production are synchronized.
As a Demand Planner, I want to create FERT migrations such as OBD1 to OBD2 in RapidResponse, so that demand, supply, and inventory can be planned across product transitions.</t>
  </si>
  <si>
    <t>[T5-MDM-009] As a SNOP Planner, I want to maintain effective ramp-up and ramp-down dates for related FERTs, so that forecast and supply transition in line with the approved launch plan.</t>
  </si>
  <si>
    <t>Extends model-year/migration planning with governed effective ramp-up and ramp-down dates.</t>
  </si>
  <si>
    <t>[T5-MDM-007] As a Product Data Owner, I want to classify FERT relationships as one-to-one, one-to-many, many-to-one, engineering revision, commercial replacement, or reference-copy, so that planning treats each migration according to its true business relationship.</t>
  </si>
  <si>
    <t>Extends migration mapping with explicit 1:1, 1:M, M:1, engineering, commercial and reference-copy relationship types.</t>
  </si>
  <si>
    <t>0.7DP24</t>
  </si>
  <si>
    <t>As a Demand Planner, I want to maintain safety stock norms according to the migration map, so that inventory policy follows the approved product transition.</t>
  </si>
  <si>
    <t>[0.7DP24] Carried as-is: As a Demand Planner, I want to maintain safety stock norms according to the migration map, so that inventory policy follows the approved product transition.</t>
  </si>
  <si>
    <t>0.6DP20</t>
  </si>
  <si>
    <t>As a Demand Planner, I want to override FERT segmentation or mapping recommended by the system, so that approved planning judgment can correct unsuitable recommendations.</t>
  </si>
  <si>
    <t>[0.6DP20] As a Demand Planner, I want to override FERT segmentation or mapping recommended by the system, so that approved planning judgment can correct unsuitable recommendations. T5 treatment: retain the baseline intent and add applicable MDM/FERT governance controls.</t>
  </si>
  <si>
    <t>Existing Segmentation Override logic remains, with additional lineage, lifecycle, validation, approval or governance context for T5.</t>
  </si>
  <si>
    <t>2DP02; 2DP04</t>
  </si>
  <si>
    <t>As a Demand Planner, I want to create forecast items, so that demand can be planned at the appropriate aggregation level.
As a Demand Planner, I want to adjust forecast-item disaggregation weights, so that the aggregate forecast is distributed to FERTs using current business knowledge.</t>
  </si>
  <si>
    <t>[T5-MDM-018] As a Demand Planner, I want to group sparse or low-volume FERTs into an approved planning family, so that a statistically meaningful forecast can be produced and disaggregated.</t>
  </si>
  <si>
    <t>Extends forecast-item grouping to governed sparse/low-volume FERT planning families.</t>
  </si>
  <si>
    <t>0.3DP06</t>
  </si>
  <si>
    <t>HD Demand Planner</t>
  </si>
  <si>
    <t>As a HD Demand Planner, I want to define HD strategic FERTs, so that strategically important products receive appropriate planning attention.</t>
  </si>
  <si>
    <t>[0.3DP06] Carried as-is: As a HD Demand Planner, I want to define HD strategic FERTs, so that strategically important products receive appropriate planning attention.</t>
  </si>
  <si>
    <t>0.3DP07</t>
  </si>
  <si>
    <t>As a HD Demand Planner, I want to lock strategic FERT status for three months, so that the approved classification remains stable during the planning horizon.</t>
  </si>
  <si>
    <t>[0.3DP07] Carried as-is: As a HD Demand Planner, I want to lock strategic FERT status for three months, so that the approved classification remains stable during the planning horizon.</t>
  </si>
  <si>
    <t>0.3DP08</t>
  </si>
  <si>
    <t>As a HD Demand Planner, I want to override strategic FERT status through an exception process, so that approved business exceptions can be incorporated with control.</t>
  </si>
  <si>
    <t>[0.3DP08] Carried as-is: As a HD Demand Planner, I want to override strategic FERT status through an exception process, so that approved business exceptions can be incorporated with control.</t>
  </si>
  <si>
    <t>IScP14</t>
  </si>
  <si>
    <t>As a Supply Planner, I want to review part-to-FERT and FERT-to-part requirements, so that component and finished-goods requirements can be reconciled.</t>
  </si>
  <si>
    <t>[IScP14] Carried as-is: As a Supply Planner, I want to review part-to-FERT and FERT-to-part requirements, so that component and finished-goods requirements can be reconciled.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</si>
</sst>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4">
    <font>
      <sz val="11"/>
      <name val="Carlito"/>
    </font>
    <font>
      <b/>
      <sz val="22"/>
      <color rgb="FFFFFFFF"/>
      <name val="Carlito"/>
    </font>
    <font>
      <i/>
      <sz val="11"/>
      <color rgb="FFAFC8E8"/>
      <name val="Carlito"/>
    </font>
    <font>
      <b/>
      <sz val="11"/>
      <color rgb="FFFFFFFF"/>
      <name val="Carlito"/>
    </font>
    <font>
      <sz val="10"/>
      <color rgb="FF273548"/>
      <name val="Carlito"/>
    </font>
    <font>
      <b/>
      <sz val="11"/>
      <color rgb="FF17612A"/>
      <name val="Carlito"/>
    </font>
    <font>
      <b/>
      <sz val="11"/>
      <color rgb="FF8A4B00"/>
      <name val="Carlito"/>
    </font>
    <font>
      <b/>
      <sz val="11"/>
      <color rgb="FFB91C1C"/>
      <name val="Carlito"/>
    </font>
    <font>
      <b/>
      <sz val="11"/>
      <color rgb="FF0D2B4D"/>
      <name val="Carlito"/>
    </font>
    <font>
      <b/>
      <sz val="9"/>
      <color rgb="FFFFFFFF"/>
      <name val="Carlito"/>
    </font>
    <font>
      <sz val="8"/>
      <name val="Carlito"/>
    </font>
    <font>
      <b/>
      <sz val="10"/>
      <color rgb="FFB91C1C"/>
      <name val="Carlito"/>
    </font>
    <font>
      <b/>
      <sz val="10"/>
      <color rgb="FF8A4B00"/>
      <name val="Carlito"/>
    </font>
    <font>
      <b/>
      <sz val="10"/>
      <color rgb="FF17612A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D2B4D"/>
      </patternFill>
    </fill>
    <fill>
      <patternFill patternType="solid">
        <fgColor rgb="FF2369BE"/>
      </patternFill>
    </fill>
    <fill>
      <patternFill patternType="solid">
        <fgColor rgb="FFEAF2FF"/>
      </patternFill>
    </fill>
    <fill>
      <patternFill patternType="solid">
        <fgColor rgb="FFE2F2E8"/>
      </patternFill>
    </fill>
    <fill>
      <patternFill patternType="solid">
        <fgColor rgb="FFFFF2D6"/>
      </patternFill>
    </fill>
    <fill>
      <patternFill patternType="solid">
        <fgColor rgb="FFFDE7E7"/>
      </patternFill>
    </fill>
    <fill>
      <patternFill patternType="solid">
        <fgColor rgb="FFEFF5FC"/>
      </patternFill>
    </fill>
    <fill>
      <patternFill patternType="solid">
        <fgColor rgb="FFF7F9FC"/>
      </patternFill>
    </fill>
  </fills>
  <borders count="5">
    <border>
      <left/>
      <right/>
      <top/>
      <bottom/>
      <diagonal/>
    </border>
    <border>
      <left style="thin">
        <color rgb="FFC8D5E5"/>
      </left>
      <right style="thin">
        <color rgb="FFC8D5E5"/>
      </right>
      <top style="thin">
        <color rgb="FFC8D5E5"/>
      </top>
      <bottom style="thin">
        <color rgb="FFC8D5E5"/>
      </bottom>
      <diagonal/>
    </border>
    <border>
      <left style="thin">
        <color rgb="FFDCE4EE"/>
      </left>
      <right style="thin">
        <color rgb="FFDCE4EE"/>
      </right>
      <top style="thin">
        <color rgb="FFDCE4EE"/>
      </top>
      <bottom style="thin">
        <color rgb="FFDCE4EE"/>
      </bottom>
      <diagonal/>
    </border>
    <border>
      <left style="thin">
        <color rgb="FF6F88A5"/>
      </left>
      <right style="thin">
        <color rgb="FF6F88A5"/>
      </right>
      <top style="thin">
        <color rgb="FF6F88A5"/>
      </top>
      <bottom style="thin">
        <color rgb="FF6F88A5"/>
      </bottom>
      <diagonal/>
    </border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5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0" fillId="5" borderId="1" xfId="0" applyFill="1" applyBorder="1"/>
    <xf numFmtId="0" fontId="5" fillId="5" borderId="1" xfId="0" applyFont="1" applyFill="1" applyBorder="1"/>
    <xf numFmtId="0" fontId="0" fillId="6" borderId="1" xfId="0" applyFill="1" applyBorder="1"/>
    <xf numFmtId="0" fontId="6" fillId="6" borderId="1" xfId="0" applyFont="1" applyFill="1" applyBorder="1"/>
    <xf numFmtId="0" fontId="0" fillId="7" borderId="1" xfId="0" applyFill="1" applyBorder="1"/>
    <xf numFmtId="0" fontId="7" fillId="7" borderId="1" xfId="0" applyFont="1" applyFill="1" applyBorder="1"/>
    <xf numFmtId="0" fontId="3" fillId="2" borderId="1" xfId="0" applyFont="1" applyFill="1" applyBorder="1"/>
    <xf numFmtId="9" fontId="0" fillId="5" borderId="1" xfId="0" applyNumberFormat="1" applyFill="1" applyBorder="1"/>
    <xf numFmtId="9" fontId="0" fillId="6" borderId="1" xfId="0" applyNumberFormat="1" applyFill="1" applyBorder="1"/>
    <xf numFmtId="9" fontId="0" fillId="7" borderId="1" xfId="0" applyNumberFormat="1" applyFill="1" applyBorder="1"/>
    <xf numFmtId="9" fontId="3" fillId="2" borderId="1" xfId="0" applyNumberFormat="1" applyFont="1" applyFill="1" applyBorder="1"/>
    <xf numFmtId="0" fontId="0" fillId="0" borderId="2" xfId="0" applyBorder="1"/>
    <xf numFmtId="0" fontId="9" fillId="2" borderId="3" xfId="0" applyFont="1" applyFill="1" applyBorder="1" applyAlignment="1">
      <alignment vertical="center" wrapText="1"/>
    </xf>
    <xf numFmtId="0" fontId="10" fillId="0" borderId="4" xfId="0" applyFont="1" applyBorder="1" applyAlignment="1">
      <alignment vertical="top" wrapText="1"/>
    </xf>
    <xf numFmtId="0" fontId="11" fillId="7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vertical="top" wrapText="1"/>
    </xf>
    <xf numFmtId="0" fontId="12" fillId="6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164" fontId="10" fillId="0" borderId="4" xfId="0" applyNumberFormat="1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tabSelected="1" workbookViewId="0"/>
  </sheetViews>
  <sheetFormatPr defaultRowHeight="15"/>
  <cols>
    <col min="1" max="1" width="31" customWidth="1"/>
    <col min="2" max="2" width="96" customWidth="1"/>
    <col min="3" max="3" width="26" customWidth="1"/>
  </cols>
  <sheetData>
    <row r="1" spans="1:3" ht="38.1" customHeight="1">
      <c r="A1" s="29" t="s">
        <v>0</v>
      </c>
      <c r="B1" s="29"/>
      <c r="C1" s="29"/>
    </row>
    <row r="2" spans="1:3" ht="24" customHeight="1">
      <c r="A2" s="30" t="s">
        <v>1</v>
      </c>
      <c r="B2" s="30"/>
      <c r="C2" s="30"/>
    </row>
    <row r="4" spans="1:3">
      <c r="A4" s="31" t="s">
        <v>2</v>
      </c>
      <c r="B4" s="31"/>
      <c r="C4" s="31"/>
    </row>
    <row r="5" spans="1:3" ht="54" customHeight="1">
      <c r="A5" s="32" t="s">
        <v>3</v>
      </c>
      <c r="B5" s="32"/>
      <c r="C5" s="32"/>
    </row>
    <row r="7" spans="1:3">
      <c r="A7" s="31" t="s">
        <v>4</v>
      </c>
      <c r="B7" s="31"/>
      <c r="C7" s="31"/>
    </row>
    <row r="8" spans="1:3" ht="45.95" customHeight="1">
      <c r="A8" s="2" t="s">
        <v>5</v>
      </c>
      <c r="B8" s="1" t="s">
        <v>6</v>
      </c>
      <c r="C8" s="2" t="s">
        <v>7</v>
      </c>
    </row>
    <row r="9" spans="1:3" ht="45.95" customHeight="1">
      <c r="A9" s="4" t="s">
        <v>8</v>
      </c>
      <c r="B9" s="3" t="s">
        <v>9</v>
      </c>
      <c r="C9" s="4" t="s">
        <v>10</v>
      </c>
    </row>
    <row r="10" spans="1:3" ht="45.95" customHeight="1">
      <c r="A10" s="6" t="s">
        <v>11</v>
      </c>
      <c r="B10" s="5" t="s">
        <v>12</v>
      </c>
      <c r="C10" s="6" t="s">
        <v>13</v>
      </c>
    </row>
    <row r="12" spans="1:3">
      <c r="A12" s="31" t="s">
        <v>14</v>
      </c>
      <c r="B12" s="31"/>
      <c r="C12" s="31"/>
    </row>
    <row r="13" spans="1:3" ht="38.1" customHeight="1">
      <c r="A13" s="8" t="s">
        <v>15</v>
      </c>
      <c r="B13" s="7" t="s">
        <v>16</v>
      </c>
      <c r="C13" s="7"/>
    </row>
    <row r="14" spans="1:3" ht="38.1" customHeight="1">
      <c r="A14" s="8" t="s">
        <v>17</v>
      </c>
      <c r="B14" s="7" t="s">
        <v>18</v>
      </c>
      <c r="C14" s="7"/>
    </row>
    <row r="15" spans="1:3" ht="38.1" customHeight="1">
      <c r="A15" s="8" t="s">
        <v>19</v>
      </c>
      <c r="B15" s="7" t="s">
        <v>20</v>
      </c>
      <c r="C15" s="7"/>
    </row>
    <row r="16" spans="1:3" ht="38.1" customHeight="1">
      <c r="A16" s="8" t="s">
        <v>21</v>
      </c>
      <c r="B16" s="7" t="s">
        <v>22</v>
      </c>
      <c r="C16" s="7"/>
    </row>
    <row r="17" spans="1:3" ht="38.1" customHeight="1">
      <c r="A17" s="8" t="s">
        <v>23</v>
      </c>
      <c r="B17" s="7" t="s">
        <v>24</v>
      </c>
      <c r="C17" s="7"/>
    </row>
    <row r="18" spans="1:3" ht="38.1" customHeight="1">
      <c r="A18" s="8" t="s">
        <v>25</v>
      </c>
      <c r="B18" s="7" t="s">
        <v>26</v>
      </c>
      <c r="C18" s="7"/>
    </row>
  </sheetData>
  <mergeCells count="6">
    <mergeCell ref="A12:C12"/>
    <mergeCell ref="A1:C1"/>
    <mergeCell ref="A2:C2"/>
    <mergeCell ref="A4:C4"/>
    <mergeCell ref="A5:C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showGridLines="0" workbookViewId="0"/>
  </sheetViews>
  <sheetFormatPr defaultRowHeight="15"/>
  <cols>
    <col min="1" max="1" width="35" customWidth="1"/>
    <col min="2" max="3" width="13" customWidth="1"/>
    <col min="4" max="4" width="40" customWidth="1"/>
    <col min="5" max="5" width="12" customWidth="1"/>
  </cols>
  <sheetData>
    <row r="1" spans="1:6" ht="38.1" customHeight="1">
      <c r="A1" s="29" t="s">
        <v>27</v>
      </c>
      <c r="B1" s="29"/>
      <c r="C1" s="29"/>
      <c r="D1" s="29"/>
      <c r="E1" s="29"/>
      <c r="F1" s="29"/>
    </row>
    <row r="2" spans="1:6" ht="24" customHeight="1">
      <c r="A2" s="30" t="s">
        <v>28</v>
      </c>
      <c r="B2" s="30"/>
      <c r="C2" s="30"/>
      <c r="D2" s="30"/>
      <c r="E2" s="30"/>
      <c r="F2" s="30"/>
    </row>
    <row r="4" spans="1:6">
      <c r="A4" s="9" t="s">
        <v>29</v>
      </c>
      <c r="B4" s="9" t="s">
        <v>30</v>
      </c>
      <c r="C4" s="9" t="s">
        <v>31</v>
      </c>
      <c r="D4" s="9" t="s">
        <v>32</v>
      </c>
    </row>
    <row r="5" spans="1:6">
      <c r="A5" s="11" t="s">
        <v>5</v>
      </c>
      <c r="B5" s="10">
        <f>COUNTIF(Matrix!$G$5:$G$200,"A")</f>
        <v>16</v>
      </c>
      <c r="C5" s="17">
        <f>B5/$B$8</f>
        <v>0.33333333333333331</v>
      </c>
      <c r="D5" s="10" t="s">
        <v>33</v>
      </c>
    </row>
    <row r="6" spans="1:6">
      <c r="A6" s="13" t="s">
        <v>34</v>
      </c>
      <c r="B6" s="12">
        <f>COUNTIF(Matrix!$G$5:$G$200,"B")</f>
        <v>16</v>
      </c>
      <c r="C6" s="18">
        <f>B6/$B$8</f>
        <v>0.33333333333333331</v>
      </c>
      <c r="D6" s="12" t="s">
        <v>35</v>
      </c>
    </row>
    <row r="7" spans="1:6">
      <c r="A7" s="15" t="s">
        <v>11</v>
      </c>
      <c r="B7" s="14">
        <f>COUNTIF(Matrix!$G$5:$G$200,"C")</f>
        <v>16</v>
      </c>
      <c r="C7" s="19">
        <f>B7/$B$8</f>
        <v>0.33333333333333331</v>
      </c>
      <c r="D7" s="14" t="s">
        <v>36</v>
      </c>
    </row>
    <row r="8" spans="1:6">
      <c r="A8" s="16" t="s">
        <v>37</v>
      </c>
      <c r="B8" s="16">
        <f>SUM(B5:B7)</f>
        <v>48</v>
      </c>
      <c r="C8" s="20">
        <f>SUM(C5:C7)</f>
        <v>1</v>
      </c>
      <c r="D8" s="16"/>
    </row>
    <row r="11" spans="1:6">
      <c r="A11" s="36" t="s">
        <v>38</v>
      </c>
      <c r="B11" s="36"/>
      <c r="C11" s="36"/>
      <c r="D11" s="36"/>
      <c r="E11" s="36"/>
    </row>
    <row r="12" spans="1:6">
      <c r="A12" s="9" t="s">
        <v>39</v>
      </c>
      <c r="B12" s="9" t="s">
        <v>40</v>
      </c>
      <c r="C12" s="9" t="s">
        <v>41</v>
      </c>
      <c r="D12" s="9" t="s">
        <v>42</v>
      </c>
      <c r="E12" s="9" t="s">
        <v>43</v>
      </c>
    </row>
    <row r="13" spans="1:6">
      <c r="A13" s="21" t="s">
        <v>44</v>
      </c>
      <c r="B13" s="21">
        <f>COUNTIFS(Matrix!$A$5:$A$200,$A13,Matrix!$G$5:$G$200,B$12)</f>
        <v>0</v>
      </c>
      <c r="C13" s="21">
        <f>COUNTIFS(Matrix!$A$5:$A$200,$A13,Matrix!$G$5:$G$200,C$12)</f>
        <v>0</v>
      </c>
      <c r="D13" s="21">
        <f>COUNTIFS(Matrix!$A$5:$A$200,$A13,Matrix!$G$5:$G$200,D$12)</f>
        <v>1</v>
      </c>
      <c r="E13" s="21">
        <f>SUM(B13:D13)</f>
        <v>1</v>
      </c>
    </row>
    <row r="14" spans="1:6">
      <c r="A14" s="21" t="s">
        <v>45</v>
      </c>
      <c r="B14" s="21">
        <f>COUNTIFS(Matrix!$A$5:$A$200,$A14,Matrix!$G$5:$G$200,B$12)</f>
        <v>0</v>
      </c>
      <c r="C14" s="21">
        <f>COUNTIFS(Matrix!$A$5:$A$200,$A14,Matrix!$G$5:$G$200,C$12)</f>
        <v>0</v>
      </c>
      <c r="D14" s="21">
        <f>COUNTIFS(Matrix!$A$5:$A$200,$A14,Matrix!$G$5:$G$200,D$12)</f>
        <v>1</v>
      </c>
      <c r="E14" s="21">
        <f>SUM(B14:D14)</f>
        <v>1</v>
      </c>
    </row>
    <row r="15" spans="1:6">
      <c r="A15" s="21" t="s">
        <v>46</v>
      </c>
      <c r="B15" s="21">
        <f>COUNTIFS(Matrix!$A$5:$A$200,$A15,Matrix!$G$5:$G$200,B$12)</f>
        <v>0</v>
      </c>
      <c r="C15" s="21">
        <f>COUNTIFS(Matrix!$A$5:$A$200,$A15,Matrix!$G$5:$G$200,C$12)</f>
        <v>1</v>
      </c>
      <c r="D15" s="21">
        <f>COUNTIFS(Matrix!$A$5:$A$200,$A15,Matrix!$G$5:$G$200,D$12)</f>
        <v>0</v>
      </c>
      <c r="E15" s="21">
        <f>SUM(B15:D15)</f>
        <v>1</v>
      </c>
    </row>
    <row r="16" spans="1:6">
      <c r="A16" s="21" t="s">
        <v>47</v>
      </c>
      <c r="B16" s="21">
        <f>COUNTIFS(Matrix!$A$5:$A$200,$A16,Matrix!$G$5:$G$200,B$12)</f>
        <v>0</v>
      </c>
      <c r="C16" s="21">
        <f>COUNTIFS(Matrix!$A$5:$A$200,$A16,Matrix!$G$5:$G$200,C$12)</f>
        <v>0</v>
      </c>
      <c r="D16" s="21">
        <f>COUNTIFS(Matrix!$A$5:$A$200,$A16,Matrix!$G$5:$G$200,D$12)</f>
        <v>1</v>
      </c>
      <c r="E16" s="21">
        <f>SUM(B16:D16)</f>
        <v>1</v>
      </c>
    </row>
    <row r="17" spans="1:5">
      <c r="A17" s="21" t="s">
        <v>48</v>
      </c>
      <c r="B17" s="21">
        <f>COUNTIFS(Matrix!$A$5:$A$200,$A17,Matrix!$G$5:$G$200,B$12)</f>
        <v>0</v>
      </c>
      <c r="C17" s="21">
        <f>COUNTIFS(Matrix!$A$5:$A$200,$A17,Matrix!$G$5:$G$200,C$12)</f>
        <v>0</v>
      </c>
      <c r="D17" s="21">
        <f>COUNTIFS(Matrix!$A$5:$A$200,$A17,Matrix!$G$5:$G$200,D$12)</f>
        <v>1</v>
      </c>
      <c r="E17" s="21">
        <f>SUM(B17:D17)</f>
        <v>1</v>
      </c>
    </row>
    <row r="18" spans="1:5">
      <c r="A18" s="21" t="s">
        <v>49</v>
      </c>
      <c r="B18" s="21">
        <f>COUNTIFS(Matrix!$A$5:$A$200,$A18,Matrix!$G$5:$G$200,B$12)</f>
        <v>0</v>
      </c>
      <c r="C18" s="21">
        <f>COUNTIFS(Matrix!$A$5:$A$200,$A18,Matrix!$G$5:$G$200,C$12)</f>
        <v>0</v>
      </c>
      <c r="D18" s="21">
        <f>COUNTIFS(Matrix!$A$5:$A$200,$A18,Matrix!$G$5:$G$200,D$12)</f>
        <v>1</v>
      </c>
      <c r="E18" s="21">
        <f>SUM(B18:D18)</f>
        <v>1</v>
      </c>
    </row>
    <row r="19" spans="1:5">
      <c r="A19" s="21" t="s">
        <v>50</v>
      </c>
      <c r="B19" s="21">
        <f>COUNTIFS(Matrix!$A$5:$A$200,$A19,Matrix!$G$5:$G$200,B$12)</f>
        <v>0</v>
      </c>
      <c r="C19" s="21">
        <f>COUNTIFS(Matrix!$A$5:$A$200,$A19,Matrix!$G$5:$G$200,C$12)</f>
        <v>0</v>
      </c>
      <c r="D19" s="21">
        <f>COUNTIFS(Matrix!$A$5:$A$200,$A19,Matrix!$G$5:$G$200,D$12)</f>
        <v>1</v>
      </c>
      <c r="E19" s="21">
        <f>SUM(B19:D19)</f>
        <v>1</v>
      </c>
    </row>
    <row r="20" spans="1:5">
      <c r="A20" s="21" t="s">
        <v>51</v>
      </c>
      <c r="B20" s="21">
        <f>COUNTIFS(Matrix!$A$5:$A$200,$A20,Matrix!$G$5:$G$200,B$12)</f>
        <v>1</v>
      </c>
      <c r="C20" s="21">
        <f>COUNTIFS(Matrix!$A$5:$A$200,$A20,Matrix!$G$5:$G$200,C$12)</f>
        <v>0</v>
      </c>
      <c r="D20" s="21">
        <f>COUNTIFS(Matrix!$A$5:$A$200,$A20,Matrix!$G$5:$G$200,D$12)</f>
        <v>0</v>
      </c>
      <c r="E20" s="21">
        <f>SUM(B20:D20)</f>
        <v>1</v>
      </c>
    </row>
    <row r="21" spans="1:5">
      <c r="A21" s="21" t="s">
        <v>52</v>
      </c>
      <c r="B21" s="21">
        <f>COUNTIFS(Matrix!$A$5:$A$200,$A21,Matrix!$G$5:$G$200,B$12)</f>
        <v>0</v>
      </c>
      <c r="C21" s="21">
        <f>COUNTIFS(Matrix!$A$5:$A$200,$A21,Matrix!$G$5:$G$200,C$12)</f>
        <v>0</v>
      </c>
      <c r="D21" s="21">
        <f>COUNTIFS(Matrix!$A$5:$A$200,$A21,Matrix!$G$5:$G$200,D$12)</f>
        <v>1</v>
      </c>
      <c r="E21" s="21">
        <f>SUM(B21:D21)</f>
        <v>1</v>
      </c>
    </row>
    <row r="22" spans="1:5">
      <c r="A22" s="21" t="s">
        <v>53</v>
      </c>
      <c r="B22" s="21">
        <f>COUNTIFS(Matrix!$A$5:$A$200,$A22,Matrix!$G$5:$G$200,B$12)</f>
        <v>2</v>
      </c>
      <c r="C22" s="21">
        <f>COUNTIFS(Matrix!$A$5:$A$200,$A22,Matrix!$G$5:$G$200,C$12)</f>
        <v>0</v>
      </c>
      <c r="D22" s="21">
        <f>COUNTIFS(Matrix!$A$5:$A$200,$A22,Matrix!$G$5:$G$200,D$12)</f>
        <v>0</v>
      </c>
      <c r="E22" s="21">
        <f>SUM(B22:D22)</f>
        <v>2</v>
      </c>
    </row>
    <row r="23" spans="1:5">
      <c r="A23" s="21" t="s">
        <v>54</v>
      </c>
      <c r="B23" s="21">
        <f>COUNTIFS(Matrix!$A$5:$A$200,$A23,Matrix!$G$5:$G$200,B$12)</f>
        <v>1</v>
      </c>
      <c r="C23" s="21">
        <f>COUNTIFS(Matrix!$A$5:$A$200,$A23,Matrix!$G$5:$G$200,C$12)</f>
        <v>0</v>
      </c>
      <c r="D23" s="21">
        <f>COUNTIFS(Matrix!$A$5:$A$200,$A23,Matrix!$G$5:$G$200,D$12)</f>
        <v>0</v>
      </c>
      <c r="E23" s="21">
        <f>SUM(B23:D23)</f>
        <v>1</v>
      </c>
    </row>
    <row r="24" spans="1:5">
      <c r="A24" s="21" t="s">
        <v>55</v>
      </c>
      <c r="B24" s="21">
        <f>COUNTIFS(Matrix!$A$5:$A$200,$A24,Matrix!$G$5:$G$200,B$12)</f>
        <v>0</v>
      </c>
      <c r="C24" s="21">
        <f>COUNTIFS(Matrix!$A$5:$A$200,$A24,Matrix!$G$5:$G$200,C$12)</f>
        <v>0</v>
      </c>
      <c r="D24" s="21">
        <f>COUNTIFS(Matrix!$A$5:$A$200,$A24,Matrix!$G$5:$G$200,D$12)</f>
        <v>1</v>
      </c>
      <c r="E24" s="21">
        <f>SUM(B24:D24)</f>
        <v>1</v>
      </c>
    </row>
    <row r="25" spans="1:5">
      <c r="A25" s="21" t="s">
        <v>56</v>
      </c>
      <c r="B25" s="21">
        <f>COUNTIFS(Matrix!$A$5:$A$200,$A25,Matrix!$G$5:$G$200,B$12)</f>
        <v>0</v>
      </c>
      <c r="C25" s="21">
        <f>COUNTIFS(Matrix!$A$5:$A$200,$A25,Matrix!$G$5:$G$200,C$12)</f>
        <v>0</v>
      </c>
      <c r="D25" s="21">
        <f>COUNTIFS(Matrix!$A$5:$A$200,$A25,Matrix!$G$5:$G$200,D$12)</f>
        <v>1</v>
      </c>
      <c r="E25" s="21">
        <f>SUM(B25:D25)</f>
        <v>1</v>
      </c>
    </row>
    <row r="26" spans="1:5">
      <c r="A26" s="21" t="s">
        <v>57</v>
      </c>
      <c r="B26" s="21">
        <f>COUNTIFS(Matrix!$A$5:$A$200,$A26,Matrix!$G$5:$G$200,B$12)</f>
        <v>0</v>
      </c>
      <c r="C26" s="21">
        <f>COUNTIFS(Matrix!$A$5:$A$200,$A26,Matrix!$G$5:$G$200,C$12)</f>
        <v>0</v>
      </c>
      <c r="D26" s="21">
        <f>COUNTIFS(Matrix!$A$5:$A$200,$A26,Matrix!$G$5:$G$200,D$12)</f>
        <v>1</v>
      </c>
      <c r="E26" s="21">
        <f>SUM(B26:D26)</f>
        <v>1</v>
      </c>
    </row>
    <row r="27" spans="1:5">
      <c r="A27" s="21" t="s">
        <v>58</v>
      </c>
      <c r="B27" s="21">
        <f>COUNTIFS(Matrix!$A$5:$A$200,$A27,Matrix!$G$5:$G$200,B$12)</f>
        <v>0</v>
      </c>
      <c r="C27" s="21">
        <f>COUNTIFS(Matrix!$A$5:$A$200,$A27,Matrix!$G$5:$G$200,C$12)</f>
        <v>1</v>
      </c>
      <c r="D27" s="21">
        <f>COUNTIFS(Matrix!$A$5:$A$200,$A27,Matrix!$G$5:$G$200,D$12)</f>
        <v>0</v>
      </c>
      <c r="E27" s="21">
        <f>SUM(B27:D27)</f>
        <v>1</v>
      </c>
    </row>
    <row r="28" spans="1:5">
      <c r="A28" s="21" t="s">
        <v>59</v>
      </c>
      <c r="B28" s="21">
        <f>COUNTIFS(Matrix!$A$5:$A$200,$A28,Matrix!$G$5:$G$200,B$12)</f>
        <v>0</v>
      </c>
      <c r="C28" s="21">
        <f>COUNTIFS(Matrix!$A$5:$A$200,$A28,Matrix!$G$5:$G$200,C$12)</f>
        <v>2</v>
      </c>
      <c r="D28" s="21">
        <f>COUNTIFS(Matrix!$A$5:$A$200,$A28,Matrix!$G$5:$G$200,D$12)</f>
        <v>0</v>
      </c>
      <c r="E28" s="21">
        <f>SUM(B28:D28)</f>
        <v>2</v>
      </c>
    </row>
    <row r="29" spans="1:5">
      <c r="A29" s="21" t="s">
        <v>60</v>
      </c>
      <c r="B29" s="21">
        <f>COUNTIFS(Matrix!$A$5:$A$200,$A29,Matrix!$G$5:$G$200,B$12)</f>
        <v>2</v>
      </c>
      <c r="C29" s="21">
        <f>COUNTIFS(Matrix!$A$5:$A$200,$A29,Matrix!$G$5:$G$200,C$12)</f>
        <v>0</v>
      </c>
      <c r="D29" s="21">
        <f>COUNTIFS(Matrix!$A$5:$A$200,$A29,Matrix!$G$5:$G$200,D$12)</f>
        <v>0</v>
      </c>
      <c r="E29" s="21">
        <f>SUM(B29:D29)</f>
        <v>2</v>
      </c>
    </row>
    <row r="30" spans="1:5">
      <c r="A30" s="21" t="s">
        <v>61</v>
      </c>
      <c r="B30" s="21">
        <f>COUNTIFS(Matrix!$A$5:$A$200,$A30,Matrix!$G$5:$G$200,B$12)</f>
        <v>0</v>
      </c>
      <c r="C30" s="21">
        <f>COUNTIFS(Matrix!$A$5:$A$200,$A30,Matrix!$G$5:$G$200,C$12)</f>
        <v>1</v>
      </c>
      <c r="D30" s="21">
        <f>COUNTIFS(Matrix!$A$5:$A$200,$A30,Matrix!$G$5:$G$200,D$12)</f>
        <v>0</v>
      </c>
      <c r="E30" s="21">
        <f>SUM(B30:D30)</f>
        <v>1</v>
      </c>
    </row>
    <row r="31" spans="1:5">
      <c r="A31" s="21" t="s">
        <v>62</v>
      </c>
      <c r="B31" s="21">
        <f>COUNTIFS(Matrix!$A$5:$A$200,$A31,Matrix!$G$5:$G$200,B$12)</f>
        <v>1</v>
      </c>
      <c r="C31" s="21">
        <f>COUNTIFS(Matrix!$A$5:$A$200,$A31,Matrix!$G$5:$G$200,C$12)</f>
        <v>0</v>
      </c>
      <c r="D31" s="21">
        <f>COUNTIFS(Matrix!$A$5:$A$200,$A31,Matrix!$G$5:$G$200,D$12)</f>
        <v>0</v>
      </c>
      <c r="E31" s="21">
        <f>SUM(B31:D31)</f>
        <v>1</v>
      </c>
    </row>
    <row r="32" spans="1:5">
      <c r="A32" s="21" t="s">
        <v>63</v>
      </c>
      <c r="B32" s="21">
        <f>COUNTIFS(Matrix!$A$5:$A$200,$A32,Matrix!$G$5:$G$200,B$12)</f>
        <v>0</v>
      </c>
      <c r="C32" s="21">
        <f>COUNTIFS(Matrix!$A$5:$A$200,$A32,Matrix!$G$5:$G$200,C$12)</f>
        <v>1</v>
      </c>
      <c r="D32" s="21">
        <f>COUNTIFS(Matrix!$A$5:$A$200,$A32,Matrix!$G$5:$G$200,D$12)</f>
        <v>0</v>
      </c>
      <c r="E32" s="21">
        <f>SUM(B32:D32)</f>
        <v>1</v>
      </c>
    </row>
    <row r="33" spans="1:5">
      <c r="A33" s="21" t="s">
        <v>64</v>
      </c>
      <c r="B33" s="21">
        <f>COUNTIFS(Matrix!$A$5:$A$200,$A33,Matrix!$G$5:$G$200,B$12)</f>
        <v>0</v>
      </c>
      <c r="C33" s="21">
        <f>COUNTIFS(Matrix!$A$5:$A$200,$A33,Matrix!$G$5:$G$200,C$12)</f>
        <v>0</v>
      </c>
      <c r="D33" s="21">
        <f>COUNTIFS(Matrix!$A$5:$A$200,$A33,Matrix!$G$5:$G$200,D$12)</f>
        <v>1</v>
      </c>
      <c r="E33" s="21">
        <f>SUM(B33:D33)</f>
        <v>1</v>
      </c>
    </row>
    <row r="34" spans="1:5">
      <c r="A34" s="21" t="s">
        <v>65</v>
      </c>
      <c r="B34" s="21">
        <f>COUNTIFS(Matrix!$A$5:$A$200,$A34,Matrix!$G$5:$G$200,B$12)</f>
        <v>0</v>
      </c>
      <c r="C34" s="21">
        <f>COUNTIFS(Matrix!$A$5:$A$200,$A34,Matrix!$G$5:$G$200,C$12)</f>
        <v>0</v>
      </c>
      <c r="D34" s="21">
        <f>COUNTIFS(Matrix!$A$5:$A$200,$A34,Matrix!$G$5:$G$200,D$12)</f>
        <v>1</v>
      </c>
      <c r="E34" s="21">
        <f>SUM(B34:D34)</f>
        <v>1</v>
      </c>
    </row>
    <row r="35" spans="1:5">
      <c r="A35" s="21" t="s">
        <v>66</v>
      </c>
      <c r="B35" s="21">
        <f>COUNTIFS(Matrix!$A$5:$A$200,$A35,Matrix!$G$5:$G$200,B$12)</f>
        <v>1</v>
      </c>
      <c r="C35" s="21">
        <f>COUNTIFS(Matrix!$A$5:$A$200,$A35,Matrix!$G$5:$G$200,C$12)</f>
        <v>0</v>
      </c>
      <c r="D35" s="21">
        <f>COUNTIFS(Matrix!$A$5:$A$200,$A35,Matrix!$G$5:$G$200,D$12)</f>
        <v>0</v>
      </c>
      <c r="E35" s="21">
        <f>SUM(B35:D35)</f>
        <v>1</v>
      </c>
    </row>
    <row r="36" spans="1:5">
      <c r="A36" s="21" t="s">
        <v>67</v>
      </c>
      <c r="B36" s="21">
        <f>COUNTIFS(Matrix!$A$5:$A$200,$A36,Matrix!$G$5:$G$200,B$12)</f>
        <v>0</v>
      </c>
      <c r="C36" s="21">
        <f>COUNTIFS(Matrix!$A$5:$A$200,$A36,Matrix!$G$5:$G$200,C$12)</f>
        <v>1</v>
      </c>
      <c r="D36" s="21">
        <f>COUNTIFS(Matrix!$A$5:$A$200,$A36,Matrix!$G$5:$G$200,D$12)</f>
        <v>0</v>
      </c>
      <c r="E36" s="21">
        <f>SUM(B36:D36)</f>
        <v>1</v>
      </c>
    </row>
    <row r="37" spans="1:5">
      <c r="A37" s="21" t="s">
        <v>68</v>
      </c>
      <c r="B37" s="21">
        <f>COUNTIFS(Matrix!$A$5:$A$200,$A37,Matrix!$G$5:$G$200,B$12)</f>
        <v>1</v>
      </c>
      <c r="C37" s="21">
        <f>COUNTIFS(Matrix!$A$5:$A$200,$A37,Matrix!$G$5:$G$200,C$12)</f>
        <v>0</v>
      </c>
      <c r="D37" s="21">
        <f>COUNTIFS(Matrix!$A$5:$A$200,$A37,Matrix!$G$5:$G$200,D$12)</f>
        <v>0</v>
      </c>
      <c r="E37" s="21">
        <f>SUM(B37:D37)</f>
        <v>1</v>
      </c>
    </row>
    <row r="38" spans="1:5">
      <c r="A38" s="21" t="s">
        <v>69</v>
      </c>
      <c r="B38" s="21">
        <f>COUNTIFS(Matrix!$A$5:$A$200,$A38,Matrix!$G$5:$G$200,B$12)</f>
        <v>0</v>
      </c>
      <c r="C38" s="21">
        <f>COUNTIFS(Matrix!$A$5:$A$200,$A38,Matrix!$G$5:$G$200,C$12)</f>
        <v>0</v>
      </c>
      <c r="D38" s="21">
        <f>COUNTIFS(Matrix!$A$5:$A$200,$A38,Matrix!$G$5:$G$200,D$12)</f>
        <v>1</v>
      </c>
      <c r="E38" s="21">
        <f>SUM(B38:D38)</f>
        <v>1</v>
      </c>
    </row>
    <row r="39" spans="1:5">
      <c r="A39" s="21" t="s">
        <v>70</v>
      </c>
      <c r="B39" s="21">
        <f>COUNTIFS(Matrix!$A$5:$A$200,$A39,Matrix!$G$5:$G$200,B$12)</f>
        <v>0</v>
      </c>
      <c r="C39" s="21">
        <f>COUNTIFS(Matrix!$A$5:$A$200,$A39,Matrix!$G$5:$G$200,C$12)</f>
        <v>0</v>
      </c>
      <c r="D39" s="21">
        <f>COUNTIFS(Matrix!$A$5:$A$200,$A39,Matrix!$G$5:$G$200,D$12)</f>
        <v>1</v>
      </c>
      <c r="E39" s="21">
        <f>SUM(B39:D39)</f>
        <v>1</v>
      </c>
    </row>
    <row r="40" spans="1:5">
      <c r="A40" s="21" t="s">
        <v>71</v>
      </c>
      <c r="B40" s="21">
        <f>COUNTIFS(Matrix!$A$5:$A$200,$A40,Matrix!$G$5:$G$200,B$12)</f>
        <v>0</v>
      </c>
      <c r="C40" s="21">
        <f>COUNTIFS(Matrix!$A$5:$A$200,$A40,Matrix!$G$5:$G$200,C$12)</f>
        <v>0</v>
      </c>
      <c r="D40" s="21">
        <f>COUNTIFS(Matrix!$A$5:$A$200,$A40,Matrix!$G$5:$G$200,D$12)</f>
        <v>1</v>
      </c>
      <c r="E40" s="21">
        <f>SUM(B40:D40)</f>
        <v>1</v>
      </c>
    </row>
    <row r="41" spans="1:5">
      <c r="A41" s="21" t="s">
        <v>72</v>
      </c>
      <c r="B41" s="21">
        <f>COUNTIFS(Matrix!$A$5:$A$200,$A41,Matrix!$G$5:$G$200,B$12)</f>
        <v>1</v>
      </c>
      <c r="C41" s="21">
        <f>COUNTIFS(Matrix!$A$5:$A$200,$A41,Matrix!$G$5:$G$200,C$12)</f>
        <v>0</v>
      </c>
      <c r="D41" s="21">
        <f>COUNTIFS(Matrix!$A$5:$A$200,$A41,Matrix!$G$5:$G$200,D$12)</f>
        <v>0</v>
      </c>
      <c r="E41" s="21">
        <f>SUM(B41:D41)</f>
        <v>1</v>
      </c>
    </row>
    <row r="42" spans="1:5">
      <c r="A42" s="21" t="s">
        <v>73</v>
      </c>
      <c r="B42" s="21">
        <f>COUNTIFS(Matrix!$A$5:$A$200,$A42,Matrix!$G$5:$G$200,B$12)</f>
        <v>0</v>
      </c>
      <c r="C42" s="21">
        <f>COUNTIFS(Matrix!$A$5:$A$200,$A42,Matrix!$G$5:$G$200,C$12)</f>
        <v>1</v>
      </c>
      <c r="D42" s="21">
        <f>COUNTIFS(Matrix!$A$5:$A$200,$A42,Matrix!$G$5:$G$200,D$12)</f>
        <v>0</v>
      </c>
      <c r="E42" s="21">
        <f>SUM(B42:D42)</f>
        <v>1</v>
      </c>
    </row>
    <row r="43" spans="1:5">
      <c r="A43" s="21" t="s">
        <v>74</v>
      </c>
      <c r="B43" s="21">
        <f>COUNTIFS(Matrix!$A$5:$A$200,$A43,Matrix!$G$5:$G$200,B$12)</f>
        <v>0</v>
      </c>
      <c r="C43" s="21">
        <f>COUNTIFS(Matrix!$A$5:$A$200,$A43,Matrix!$G$5:$G$200,C$12)</f>
        <v>1</v>
      </c>
      <c r="D43" s="21">
        <f>COUNTIFS(Matrix!$A$5:$A$200,$A43,Matrix!$G$5:$G$200,D$12)</f>
        <v>0</v>
      </c>
      <c r="E43" s="21">
        <f>SUM(B43:D43)</f>
        <v>1</v>
      </c>
    </row>
    <row r="44" spans="1:5">
      <c r="A44" s="21" t="s">
        <v>75</v>
      </c>
      <c r="B44" s="21">
        <f>COUNTIFS(Matrix!$A$5:$A$200,$A44,Matrix!$G$5:$G$200,B$12)</f>
        <v>0</v>
      </c>
      <c r="C44" s="21">
        <f>COUNTIFS(Matrix!$A$5:$A$200,$A44,Matrix!$G$5:$G$200,C$12)</f>
        <v>1</v>
      </c>
      <c r="D44" s="21">
        <f>COUNTIFS(Matrix!$A$5:$A$200,$A44,Matrix!$G$5:$G$200,D$12)</f>
        <v>0</v>
      </c>
      <c r="E44" s="21">
        <f>SUM(B44:D44)</f>
        <v>1</v>
      </c>
    </row>
    <row r="45" spans="1:5">
      <c r="A45" s="21" t="s">
        <v>76</v>
      </c>
      <c r="B45" s="21">
        <f>COUNTIFS(Matrix!$A$5:$A$200,$A45,Matrix!$G$5:$G$200,B$12)</f>
        <v>0</v>
      </c>
      <c r="C45" s="21">
        <f>COUNTIFS(Matrix!$A$5:$A$200,$A45,Matrix!$G$5:$G$200,C$12)</f>
        <v>0</v>
      </c>
      <c r="D45" s="21">
        <f>COUNTIFS(Matrix!$A$5:$A$200,$A45,Matrix!$G$5:$G$200,D$12)</f>
        <v>1</v>
      </c>
      <c r="E45" s="21">
        <f>SUM(B45:D45)</f>
        <v>1</v>
      </c>
    </row>
    <row r="46" spans="1:5">
      <c r="A46" s="21" t="s">
        <v>77</v>
      </c>
      <c r="B46" s="21">
        <f>COUNTIFS(Matrix!$A$5:$A$200,$A46,Matrix!$G$5:$G$200,B$12)</f>
        <v>0</v>
      </c>
      <c r="C46" s="21">
        <f>COUNTIFS(Matrix!$A$5:$A$200,$A46,Matrix!$G$5:$G$200,C$12)</f>
        <v>1</v>
      </c>
      <c r="D46" s="21">
        <f>COUNTIFS(Matrix!$A$5:$A$200,$A46,Matrix!$G$5:$G$200,D$12)</f>
        <v>0</v>
      </c>
      <c r="E46" s="21">
        <f>SUM(B46:D46)</f>
        <v>1</v>
      </c>
    </row>
    <row r="47" spans="1:5">
      <c r="A47" s="21" t="s">
        <v>78</v>
      </c>
      <c r="B47" s="21">
        <f>COUNTIFS(Matrix!$A$5:$A$200,$A47,Matrix!$G$5:$G$200,B$12)</f>
        <v>0</v>
      </c>
      <c r="C47" s="21">
        <f>COUNTIFS(Matrix!$A$5:$A$200,$A47,Matrix!$G$5:$G$200,C$12)</f>
        <v>1</v>
      </c>
      <c r="D47" s="21">
        <f>COUNTIFS(Matrix!$A$5:$A$200,$A47,Matrix!$G$5:$G$200,D$12)</f>
        <v>0</v>
      </c>
      <c r="E47" s="21">
        <f>SUM(B47:D47)</f>
        <v>1</v>
      </c>
    </row>
    <row r="48" spans="1:5">
      <c r="A48" s="21" t="s">
        <v>79</v>
      </c>
      <c r="B48" s="21">
        <f>COUNTIFS(Matrix!$A$5:$A$200,$A48,Matrix!$G$5:$G$200,B$12)</f>
        <v>1</v>
      </c>
      <c r="C48" s="21">
        <f>COUNTIFS(Matrix!$A$5:$A$200,$A48,Matrix!$G$5:$G$200,C$12)</f>
        <v>0</v>
      </c>
      <c r="D48" s="21">
        <f>COUNTIFS(Matrix!$A$5:$A$200,$A48,Matrix!$G$5:$G$200,D$12)</f>
        <v>0</v>
      </c>
      <c r="E48" s="21">
        <f>SUM(B48:D48)</f>
        <v>1</v>
      </c>
    </row>
    <row r="49" spans="1:5">
      <c r="A49" s="21" t="s">
        <v>80</v>
      </c>
      <c r="B49" s="21">
        <f>COUNTIFS(Matrix!$A$5:$A$200,$A49,Matrix!$G$5:$G$200,B$12)</f>
        <v>0</v>
      </c>
      <c r="C49" s="21">
        <f>COUNTIFS(Matrix!$A$5:$A$200,$A49,Matrix!$G$5:$G$200,C$12)</f>
        <v>1</v>
      </c>
      <c r="D49" s="21">
        <f>COUNTIFS(Matrix!$A$5:$A$200,$A49,Matrix!$G$5:$G$200,D$12)</f>
        <v>0</v>
      </c>
      <c r="E49" s="21">
        <f>SUM(B49:D49)</f>
        <v>1</v>
      </c>
    </row>
    <row r="50" spans="1:5">
      <c r="A50" s="21" t="s">
        <v>81</v>
      </c>
      <c r="B50" s="21">
        <f>COUNTIFS(Matrix!$A$5:$A$200,$A50,Matrix!$G$5:$G$200,B$12)</f>
        <v>0</v>
      </c>
      <c r="C50" s="21">
        <f>COUNTIFS(Matrix!$A$5:$A$200,$A50,Matrix!$G$5:$G$200,C$12)</f>
        <v>1</v>
      </c>
      <c r="D50" s="21">
        <f>COUNTIFS(Matrix!$A$5:$A$200,$A50,Matrix!$G$5:$G$200,D$12)</f>
        <v>0</v>
      </c>
      <c r="E50" s="21">
        <f>SUM(B50:D50)</f>
        <v>1</v>
      </c>
    </row>
    <row r="51" spans="1:5">
      <c r="A51" s="21" t="s">
        <v>82</v>
      </c>
      <c r="B51" s="21">
        <f>COUNTIFS(Matrix!$A$5:$A$200,$A51,Matrix!$G$5:$G$200,B$12)</f>
        <v>1</v>
      </c>
      <c r="C51" s="21">
        <f>COUNTIFS(Matrix!$A$5:$A$200,$A51,Matrix!$G$5:$G$200,C$12)</f>
        <v>0</v>
      </c>
      <c r="D51" s="21">
        <f>COUNTIFS(Matrix!$A$5:$A$200,$A51,Matrix!$G$5:$G$200,D$12)</f>
        <v>0</v>
      </c>
      <c r="E51" s="21">
        <f>SUM(B51:D51)</f>
        <v>1</v>
      </c>
    </row>
    <row r="52" spans="1:5">
      <c r="A52" s="21" t="s">
        <v>83</v>
      </c>
      <c r="B52" s="21">
        <f>COUNTIFS(Matrix!$A$5:$A$200,$A52,Matrix!$G$5:$G$200,B$12)</f>
        <v>0</v>
      </c>
      <c r="C52" s="21">
        <f>COUNTIFS(Matrix!$A$5:$A$200,$A52,Matrix!$G$5:$G$200,C$12)</f>
        <v>1</v>
      </c>
      <c r="D52" s="21">
        <f>COUNTIFS(Matrix!$A$5:$A$200,$A52,Matrix!$G$5:$G$200,D$12)</f>
        <v>0</v>
      </c>
      <c r="E52" s="21">
        <f>SUM(B52:D52)</f>
        <v>1</v>
      </c>
    </row>
    <row r="53" spans="1:5">
      <c r="A53" s="21" t="s">
        <v>84</v>
      </c>
      <c r="B53" s="21">
        <f>COUNTIFS(Matrix!$A$5:$A$200,$A53,Matrix!$G$5:$G$200,B$12)</f>
        <v>0</v>
      </c>
      <c r="C53" s="21">
        <f>COUNTIFS(Matrix!$A$5:$A$200,$A53,Matrix!$G$5:$G$200,C$12)</f>
        <v>1</v>
      </c>
      <c r="D53" s="21">
        <f>COUNTIFS(Matrix!$A$5:$A$200,$A53,Matrix!$G$5:$G$200,D$12)</f>
        <v>0</v>
      </c>
      <c r="E53" s="21">
        <f>SUM(B53:D53)</f>
        <v>1</v>
      </c>
    </row>
    <row r="54" spans="1:5">
      <c r="A54" s="21" t="s">
        <v>85</v>
      </c>
      <c r="B54" s="21">
        <f>COUNTIFS(Matrix!$A$5:$A$200,$A54,Matrix!$G$5:$G$200,B$12)</f>
        <v>3</v>
      </c>
      <c r="C54" s="21">
        <f>COUNTIFS(Matrix!$A$5:$A$200,$A54,Matrix!$G$5:$G$200,C$12)</f>
        <v>0</v>
      </c>
      <c r="D54" s="21">
        <f>COUNTIFS(Matrix!$A$5:$A$200,$A54,Matrix!$G$5:$G$200,D$12)</f>
        <v>0</v>
      </c>
      <c r="E54" s="21">
        <f>SUM(B54:D54)</f>
        <v>3</v>
      </c>
    </row>
    <row r="55" spans="1:5">
      <c r="A55" s="21" t="s">
        <v>86</v>
      </c>
      <c r="B55" s="21">
        <f>COUNTIFS(Matrix!$A$5:$A$200,$A55,Matrix!$G$5:$G$200,B$12)</f>
        <v>1</v>
      </c>
      <c r="C55" s="21">
        <f>COUNTIFS(Matrix!$A$5:$A$200,$A55,Matrix!$G$5:$G$200,C$12)</f>
        <v>0</v>
      </c>
      <c r="D55" s="21">
        <f>COUNTIFS(Matrix!$A$5:$A$200,$A55,Matrix!$G$5:$G$200,D$12)</f>
        <v>0</v>
      </c>
      <c r="E55" s="21">
        <f>SUM(B55:D55)</f>
        <v>1</v>
      </c>
    </row>
  </sheetData>
  <mergeCells count="3">
    <mergeCell ref="A1:F1"/>
    <mergeCell ref="A2:F2"/>
    <mergeCell ref="A11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showGridLines="0" workbookViewId="0"/>
  </sheetViews>
  <sheetFormatPr defaultRowHeight="15"/>
  <cols>
    <col min="1" max="1" width="22" customWidth="1"/>
    <col min="2" max="2" width="18" customWidth="1"/>
    <col min="3" max="3" width="20" customWidth="1"/>
    <col min="4" max="4" width="13" customWidth="1"/>
    <col min="5" max="6" width="50" customWidth="1"/>
    <col min="7" max="7" width="8" customWidth="1"/>
    <col min="8" max="8" width="43" customWidth="1"/>
    <col min="9" max="9" width="18" customWidth="1"/>
    <col min="10" max="10" width="15" customWidth="1"/>
  </cols>
  <sheetData>
    <row r="1" spans="1:10" ht="38.1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24" customHeight="1">
      <c r="A2" s="30" t="s">
        <v>87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3" t="s">
        <v>5</v>
      </c>
      <c r="B3" s="33"/>
      <c r="C3" s="33"/>
      <c r="D3" s="34" t="s">
        <v>8</v>
      </c>
      <c r="E3" s="34"/>
      <c r="F3" s="34"/>
      <c r="G3" s="35" t="s">
        <v>11</v>
      </c>
      <c r="H3" s="35"/>
      <c r="I3" s="35"/>
      <c r="J3" s="35"/>
    </row>
    <row r="4" spans="1:10">
      <c r="A4" s="22" t="s">
        <v>39</v>
      </c>
      <c r="B4" s="22" t="s">
        <v>88</v>
      </c>
      <c r="C4" s="22" t="s">
        <v>89</v>
      </c>
      <c r="D4" s="22" t="s">
        <v>90</v>
      </c>
      <c r="E4" s="22" t="s">
        <v>91</v>
      </c>
      <c r="F4" s="22" t="s">
        <v>92</v>
      </c>
      <c r="G4" s="22" t="s">
        <v>29</v>
      </c>
      <c r="H4" s="22" t="s">
        <v>93</v>
      </c>
      <c r="I4" s="22" t="s">
        <v>94</v>
      </c>
      <c r="J4" s="22" t="s">
        <v>95</v>
      </c>
    </row>
    <row r="5" spans="1:10" ht="72" customHeight="1">
      <c r="A5" s="23" t="s">
        <v>44</v>
      </c>
      <c r="B5" s="23" t="s">
        <v>96</v>
      </c>
      <c r="C5" s="23" t="s">
        <v>97</v>
      </c>
      <c r="D5" s="23" t="s">
        <v>98</v>
      </c>
      <c r="E5" s="23" t="s">
        <v>99</v>
      </c>
      <c r="F5" s="23" t="s">
        <v>100</v>
      </c>
      <c r="G5" s="24" t="s">
        <v>42</v>
      </c>
      <c r="H5" s="23" t="s">
        <v>101</v>
      </c>
      <c r="I5" s="23" t="s">
        <v>102</v>
      </c>
      <c r="J5" s="28"/>
    </row>
    <row r="6" spans="1:10" ht="72" customHeight="1">
      <c r="A6" s="25" t="s">
        <v>45</v>
      </c>
      <c r="B6" s="25" t="s">
        <v>96</v>
      </c>
      <c r="C6" s="25" t="s">
        <v>97</v>
      </c>
      <c r="D6" s="25" t="s">
        <v>103</v>
      </c>
      <c r="E6" s="25" t="s">
        <v>99</v>
      </c>
      <c r="F6" s="25" t="s">
        <v>104</v>
      </c>
      <c r="G6" s="24" t="s">
        <v>42</v>
      </c>
      <c r="H6" s="23" t="s">
        <v>105</v>
      </c>
      <c r="I6" s="23" t="s">
        <v>102</v>
      </c>
      <c r="J6" s="28"/>
    </row>
    <row r="7" spans="1:10" ht="72" customHeight="1">
      <c r="A7" s="23" t="s">
        <v>46</v>
      </c>
      <c r="B7" s="23" t="s">
        <v>106</v>
      </c>
      <c r="C7" s="23" t="s">
        <v>107</v>
      </c>
      <c r="D7" s="23" t="s">
        <v>103</v>
      </c>
      <c r="E7" s="23" t="s">
        <v>108</v>
      </c>
      <c r="F7" s="23" t="s">
        <v>109</v>
      </c>
      <c r="G7" s="26" t="s">
        <v>41</v>
      </c>
      <c r="H7" s="23" t="s">
        <v>110</v>
      </c>
      <c r="I7" s="23" t="s">
        <v>102</v>
      </c>
      <c r="J7" s="28"/>
    </row>
    <row r="8" spans="1:10" ht="72" customHeight="1">
      <c r="A8" s="25" t="s">
        <v>47</v>
      </c>
      <c r="B8" s="25" t="s">
        <v>96</v>
      </c>
      <c r="C8" s="25" t="s">
        <v>111</v>
      </c>
      <c r="D8" s="25" t="s">
        <v>103</v>
      </c>
      <c r="E8" s="25" t="s">
        <v>99</v>
      </c>
      <c r="F8" s="25" t="s">
        <v>112</v>
      </c>
      <c r="G8" s="24" t="s">
        <v>42</v>
      </c>
      <c r="H8" s="23" t="s">
        <v>113</v>
      </c>
      <c r="I8" s="23" t="s">
        <v>102</v>
      </c>
      <c r="J8" s="28"/>
    </row>
    <row r="9" spans="1:10" ht="72" customHeight="1">
      <c r="A9" s="23" t="s">
        <v>48</v>
      </c>
      <c r="B9" s="23" t="s">
        <v>96</v>
      </c>
      <c r="C9" s="23" t="s">
        <v>114</v>
      </c>
      <c r="D9" s="23" t="s">
        <v>98</v>
      </c>
      <c r="E9" s="23" t="s">
        <v>99</v>
      </c>
      <c r="F9" s="23" t="s">
        <v>115</v>
      </c>
      <c r="G9" s="24" t="s">
        <v>42</v>
      </c>
      <c r="H9" s="23" t="s">
        <v>116</v>
      </c>
      <c r="I9" s="23" t="s">
        <v>102</v>
      </c>
      <c r="J9" s="28"/>
    </row>
    <row r="10" spans="1:10" ht="72" customHeight="1">
      <c r="A10" s="25" t="s">
        <v>49</v>
      </c>
      <c r="B10" s="25" t="s">
        <v>96</v>
      </c>
      <c r="C10" s="25" t="s">
        <v>117</v>
      </c>
      <c r="D10" s="25" t="s">
        <v>98</v>
      </c>
      <c r="E10" s="25" t="s">
        <v>99</v>
      </c>
      <c r="F10" s="25" t="s">
        <v>118</v>
      </c>
      <c r="G10" s="24" t="s">
        <v>42</v>
      </c>
      <c r="H10" s="23" t="s">
        <v>119</v>
      </c>
      <c r="I10" s="23" t="s">
        <v>102</v>
      </c>
      <c r="J10" s="28"/>
    </row>
    <row r="11" spans="1:10" ht="72" customHeight="1">
      <c r="A11" s="23" t="s">
        <v>50</v>
      </c>
      <c r="B11" s="23" t="s">
        <v>96</v>
      </c>
      <c r="C11" s="23" t="s">
        <v>117</v>
      </c>
      <c r="D11" s="23" t="s">
        <v>103</v>
      </c>
      <c r="E11" s="23" t="s">
        <v>99</v>
      </c>
      <c r="F11" s="23" t="s">
        <v>120</v>
      </c>
      <c r="G11" s="24" t="s">
        <v>42</v>
      </c>
      <c r="H11" s="23" t="s">
        <v>121</v>
      </c>
      <c r="I11" s="23" t="s">
        <v>102</v>
      </c>
      <c r="J11" s="28"/>
    </row>
    <row r="12" spans="1:10" ht="72" customHeight="1">
      <c r="A12" s="25" t="s">
        <v>51</v>
      </c>
      <c r="B12" s="25" t="s">
        <v>122</v>
      </c>
      <c r="C12" s="25" t="s">
        <v>123</v>
      </c>
      <c r="D12" s="25" t="s">
        <v>124</v>
      </c>
      <c r="E12" s="25" t="s">
        <v>125</v>
      </c>
      <c r="F12" s="25" t="s">
        <v>126</v>
      </c>
      <c r="G12" s="27" t="s">
        <v>40</v>
      </c>
      <c r="H12" s="23" t="s">
        <v>127</v>
      </c>
      <c r="I12" s="23" t="s">
        <v>102</v>
      </c>
      <c r="J12" s="28"/>
    </row>
    <row r="13" spans="1:10" ht="72" customHeight="1">
      <c r="A13" s="23" t="s">
        <v>52</v>
      </c>
      <c r="B13" s="23" t="s">
        <v>96</v>
      </c>
      <c r="C13" s="23" t="s">
        <v>117</v>
      </c>
      <c r="D13" s="23" t="s">
        <v>98</v>
      </c>
      <c r="E13" s="23" t="s">
        <v>99</v>
      </c>
      <c r="F13" s="23" t="s">
        <v>128</v>
      </c>
      <c r="G13" s="24" t="s">
        <v>42</v>
      </c>
      <c r="H13" s="23" t="s">
        <v>129</v>
      </c>
      <c r="I13" s="23" t="s">
        <v>102</v>
      </c>
      <c r="J13" s="28"/>
    </row>
    <row r="14" spans="1:10" ht="72" customHeight="1">
      <c r="A14" s="25" t="s">
        <v>53</v>
      </c>
      <c r="B14" s="25" t="s">
        <v>130</v>
      </c>
      <c r="C14" s="25" t="s">
        <v>131</v>
      </c>
      <c r="D14" s="25" t="s">
        <v>124</v>
      </c>
      <c r="E14" s="25" t="s">
        <v>132</v>
      </c>
      <c r="F14" s="25" t="s">
        <v>133</v>
      </c>
      <c r="G14" s="27" t="s">
        <v>40</v>
      </c>
      <c r="H14" s="23" t="s">
        <v>127</v>
      </c>
      <c r="I14" s="23" t="s">
        <v>102</v>
      </c>
      <c r="J14" s="28"/>
    </row>
    <row r="15" spans="1:10" ht="72" customHeight="1">
      <c r="A15" s="23" t="s">
        <v>53</v>
      </c>
      <c r="B15" s="23" t="s">
        <v>134</v>
      </c>
      <c r="C15" s="23" t="s">
        <v>131</v>
      </c>
      <c r="D15" s="23" t="s">
        <v>124</v>
      </c>
      <c r="E15" s="23" t="s">
        <v>135</v>
      </c>
      <c r="F15" s="23" t="s">
        <v>136</v>
      </c>
      <c r="G15" s="27" t="s">
        <v>40</v>
      </c>
      <c r="H15" s="23" t="s">
        <v>127</v>
      </c>
      <c r="I15" s="23" t="s">
        <v>102</v>
      </c>
      <c r="J15" s="28"/>
    </row>
    <row r="16" spans="1:10" ht="72" customHeight="1">
      <c r="A16" s="25" t="s">
        <v>54</v>
      </c>
      <c r="B16" s="25" t="s">
        <v>137</v>
      </c>
      <c r="C16" s="25" t="s">
        <v>138</v>
      </c>
      <c r="D16" s="25" t="s">
        <v>124</v>
      </c>
      <c r="E16" s="25" t="s">
        <v>139</v>
      </c>
      <c r="F16" s="25" t="s">
        <v>140</v>
      </c>
      <c r="G16" s="27" t="s">
        <v>40</v>
      </c>
      <c r="H16" s="23" t="s">
        <v>127</v>
      </c>
      <c r="I16" s="23" t="s">
        <v>102</v>
      </c>
      <c r="J16" s="28"/>
    </row>
    <row r="17" spans="1:10" ht="72" customHeight="1">
      <c r="A17" s="23" t="s">
        <v>55</v>
      </c>
      <c r="B17" s="23" t="s">
        <v>96</v>
      </c>
      <c r="C17" s="23" t="s">
        <v>131</v>
      </c>
      <c r="D17" s="23" t="s">
        <v>98</v>
      </c>
      <c r="E17" s="23" t="s">
        <v>99</v>
      </c>
      <c r="F17" s="23" t="s">
        <v>141</v>
      </c>
      <c r="G17" s="24" t="s">
        <v>42</v>
      </c>
      <c r="H17" s="23" t="s">
        <v>142</v>
      </c>
      <c r="I17" s="23" t="s">
        <v>102</v>
      </c>
      <c r="J17" s="28"/>
    </row>
    <row r="18" spans="1:10" ht="72" customHeight="1">
      <c r="A18" s="25" t="s">
        <v>56</v>
      </c>
      <c r="B18" s="25" t="s">
        <v>96</v>
      </c>
      <c r="C18" s="25" t="s">
        <v>117</v>
      </c>
      <c r="D18" s="25" t="s">
        <v>98</v>
      </c>
      <c r="E18" s="25" t="s">
        <v>99</v>
      </c>
      <c r="F18" s="25" t="s">
        <v>143</v>
      </c>
      <c r="G18" s="24" t="s">
        <v>42</v>
      </c>
      <c r="H18" s="23" t="s">
        <v>144</v>
      </c>
      <c r="I18" s="23" t="s">
        <v>102</v>
      </c>
      <c r="J18" s="28"/>
    </row>
    <row r="19" spans="1:10" ht="72" customHeight="1">
      <c r="A19" s="23" t="s">
        <v>57</v>
      </c>
      <c r="B19" s="23" t="s">
        <v>96</v>
      </c>
      <c r="C19" s="23" t="s">
        <v>114</v>
      </c>
      <c r="D19" s="23" t="s">
        <v>98</v>
      </c>
      <c r="E19" s="23" t="s">
        <v>99</v>
      </c>
      <c r="F19" s="23" t="s">
        <v>145</v>
      </c>
      <c r="G19" s="24" t="s">
        <v>42</v>
      </c>
      <c r="H19" s="23" t="s">
        <v>146</v>
      </c>
      <c r="I19" s="23" t="s">
        <v>102</v>
      </c>
      <c r="J19" s="28"/>
    </row>
    <row r="20" spans="1:10" ht="72" customHeight="1">
      <c r="A20" s="25" t="s">
        <v>58</v>
      </c>
      <c r="B20" s="25" t="s">
        <v>147</v>
      </c>
      <c r="C20" s="25" t="s">
        <v>111</v>
      </c>
      <c r="D20" s="25" t="s">
        <v>98</v>
      </c>
      <c r="E20" s="25" t="s">
        <v>148</v>
      </c>
      <c r="F20" s="25" t="s">
        <v>149</v>
      </c>
      <c r="G20" s="26" t="s">
        <v>41</v>
      </c>
      <c r="H20" s="23" t="s">
        <v>150</v>
      </c>
      <c r="I20" s="23" t="s">
        <v>102</v>
      </c>
      <c r="J20" s="28"/>
    </row>
    <row r="21" spans="1:10" ht="72" customHeight="1">
      <c r="A21" s="23" t="s">
        <v>59</v>
      </c>
      <c r="B21" s="23" t="s">
        <v>151</v>
      </c>
      <c r="C21" s="23" t="s">
        <v>131</v>
      </c>
      <c r="D21" s="23" t="s">
        <v>124</v>
      </c>
      <c r="E21" s="23" t="s">
        <v>152</v>
      </c>
      <c r="F21" s="23" t="s">
        <v>153</v>
      </c>
      <c r="G21" s="26" t="s">
        <v>41</v>
      </c>
      <c r="H21" s="23" t="s">
        <v>154</v>
      </c>
      <c r="I21" s="23" t="s">
        <v>102</v>
      </c>
      <c r="J21" s="28"/>
    </row>
    <row r="22" spans="1:10" ht="72" customHeight="1">
      <c r="A22" s="25" t="s">
        <v>59</v>
      </c>
      <c r="B22" s="25" t="s">
        <v>147</v>
      </c>
      <c r="C22" s="25" t="s">
        <v>131</v>
      </c>
      <c r="D22" s="25" t="s">
        <v>124</v>
      </c>
      <c r="E22" s="25" t="s">
        <v>148</v>
      </c>
      <c r="F22" s="25" t="s">
        <v>155</v>
      </c>
      <c r="G22" s="26" t="s">
        <v>41</v>
      </c>
      <c r="H22" s="23" t="s">
        <v>154</v>
      </c>
      <c r="I22" s="23" t="s">
        <v>102</v>
      </c>
      <c r="J22" s="28"/>
    </row>
    <row r="23" spans="1:10" ht="72" customHeight="1">
      <c r="A23" s="23" t="s">
        <v>60</v>
      </c>
      <c r="B23" s="23" t="s">
        <v>156</v>
      </c>
      <c r="C23" s="23" t="s">
        <v>131</v>
      </c>
      <c r="D23" s="23" t="s">
        <v>124</v>
      </c>
      <c r="E23" s="23" t="s">
        <v>157</v>
      </c>
      <c r="F23" s="23" t="s">
        <v>158</v>
      </c>
      <c r="G23" s="27" t="s">
        <v>40</v>
      </c>
      <c r="H23" s="23" t="s">
        <v>127</v>
      </c>
      <c r="I23" s="23" t="s">
        <v>102</v>
      </c>
      <c r="J23" s="28"/>
    </row>
    <row r="24" spans="1:10" ht="72" customHeight="1">
      <c r="A24" s="25" t="s">
        <v>60</v>
      </c>
      <c r="B24" s="25" t="s">
        <v>159</v>
      </c>
      <c r="C24" s="25" t="s">
        <v>131</v>
      </c>
      <c r="D24" s="25" t="s">
        <v>124</v>
      </c>
      <c r="E24" s="25" t="s">
        <v>160</v>
      </c>
      <c r="F24" s="25" t="s">
        <v>161</v>
      </c>
      <c r="G24" s="27" t="s">
        <v>40</v>
      </c>
      <c r="H24" s="23" t="s">
        <v>127</v>
      </c>
      <c r="I24" s="23" t="s">
        <v>102</v>
      </c>
      <c r="J24" s="28"/>
    </row>
    <row r="25" spans="1:10" ht="72" customHeight="1">
      <c r="A25" s="23" t="s">
        <v>61</v>
      </c>
      <c r="B25" s="23" t="s">
        <v>162</v>
      </c>
      <c r="C25" s="23" t="s">
        <v>131</v>
      </c>
      <c r="D25" s="23" t="s">
        <v>124</v>
      </c>
      <c r="E25" s="23" t="s">
        <v>163</v>
      </c>
      <c r="F25" s="23" t="s">
        <v>164</v>
      </c>
      <c r="G25" s="26" t="s">
        <v>41</v>
      </c>
      <c r="H25" s="23" t="s">
        <v>165</v>
      </c>
      <c r="I25" s="23" t="s">
        <v>102</v>
      </c>
      <c r="J25" s="28"/>
    </row>
    <row r="26" spans="1:10" ht="72" customHeight="1">
      <c r="A26" s="25" t="s">
        <v>62</v>
      </c>
      <c r="B26" s="25" t="s">
        <v>166</v>
      </c>
      <c r="C26" s="25" t="s">
        <v>131</v>
      </c>
      <c r="D26" s="25" t="s">
        <v>124</v>
      </c>
      <c r="E26" s="25" t="s">
        <v>167</v>
      </c>
      <c r="F26" s="25" t="s">
        <v>168</v>
      </c>
      <c r="G26" s="27" t="s">
        <v>40</v>
      </c>
      <c r="H26" s="23" t="s">
        <v>127</v>
      </c>
      <c r="I26" s="23" t="s">
        <v>102</v>
      </c>
      <c r="J26" s="28"/>
    </row>
    <row r="27" spans="1:10" ht="72" customHeight="1">
      <c r="A27" s="23" t="s">
        <v>63</v>
      </c>
      <c r="B27" s="23" t="s">
        <v>169</v>
      </c>
      <c r="C27" s="23" t="s">
        <v>131</v>
      </c>
      <c r="D27" s="23" t="s">
        <v>98</v>
      </c>
      <c r="E27" s="23" t="s">
        <v>170</v>
      </c>
      <c r="F27" s="23" t="s">
        <v>171</v>
      </c>
      <c r="G27" s="26" t="s">
        <v>41</v>
      </c>
      <c r="H27" s="23" t="s">
        <v>172</v>
      </c>
      <c r="I27" s="23" t="s">
        <v>102</v>
      </c>
      <c r="J27" s="28"/>
    </row>
    <row r="28" spans="1:10" ht="72" customHeight="1">
      <c r="A28" s="25" t="s">
        <v>64</v>
      </c>
      <c r="B28" s="25" t="s">
        <v>96</v>
      </c>
      <c r="C28" s="25" t="s">
        <v>97</v>
      </c>
      <c r="D28" s="25" t="s">
        <v>103</v>
      </c>
      <c r="E28" s="25" t="s">
        <v>99</v>
      </c>
      <c r="F28" s="25" t="s">
        <v>173</v>
      </c>
      <c r="G28" s="24" t="s">
        <v>42</v>
      </c>
      <c r="H28" s="23" t="s">
        <v>174</v>
      </c>
      <c r="I28" s="23" t="s">
        <v>102</v>
      </c>
      <c r="J28" s="28"/>
    </row>
    <row r="29" spans="1:10" ht="72" customHeight="1">
      <c r="A29" s="23" t="s">
        <v>65</v>
      </c>
      <c r="B29" s="23" t="s">
        <v>96</v>
      </c>
      <c r="C29" s="23" t="s">
        <v>114</v>
      </c>
      <c r="D29" s="23" t="s">
        <v>98</v>
      </c>
      <c r="E29" s="23" t="s">
        <v>99</v>
      </c>
      <c r="F29" s="23" t="s">
        <v>175</v>
      </c>
      <c r="G29" s="24" t="s">
        <v>42</v>
      </c>
      <c r="H29" s="23" t="s">
        <v>176</v>
      </c>
      <c r="I29" s="23" t="s">
        <v>102</v>
      </c>
      <c r="J29" s="28"/>
    </row>
    <row r="30" spans="1:10" ht="72" customHeight="1">
      <c r="A30" s="25" t="s">
        <v>66</v>
      </c>
      <c r="B30" s="25" t="s">
        <v>177</v>
      </c>
      <c r="C30" s="25" t="s">
        <v>131</v>
      </c>
      <c r="D30" s="25" t="s">
        <v>124</v>
      </c>
      <c r="E30" s="25" t="s">
        <v>178</v>
      </c>
      <c r="F30" s="25" t="s">
        <v>179</v>
      </c>
      <c r="G30" s="27" t="s">
        <v>40</v>
      </c>
      <c r="H30" s="23" t="s">
        <v>127</v>
      </c>
      <c r="I30" s="23" t="s">
        <v>102</v>
      </c>
      <c r="J30" s="28"/>
    </row>
    <row r="31" spans="1:10" ht="72" customHeight="1">
      <c r="A31" s="23" t="s">
        <v>67</v>
      </c>
      <c r="B31" s="23" t="s">
        <v>180</v>
      </c>
      <c r="C31" s="23" t="s">
        <v>123</v>
      </c>
      <c r="D31" s="23" t="s">
        <v>103</v>
      </c>
      <c r="E31" s="23" t="s">
        <v>181</v>
      </c>
      <c r="F31" s="23" t="s">
        <v>182</v>
      </c>
      <c r="G31" s="26" t="s">
        <v>41</v>
      </c>
      <c r="H31" s="23" t="s">
        <v>183</v>
      </c>
      <c r="I31" s="23" t="s">
        <v>102</v>
      </c>
      <c r="J31" s="28"/>
    </row>
    <row r="32" spans="1:10" ht="72" customHeight="1">
      <c r="A32" s="25" t="s">
        <v>68</v>
      </c>
      <c r="B32" s="25" t="s">
        <v>184</v>
      </c>
      <c r="C32" s="25" t="s">
        <v>131</v>
      </c>
      <c r="D32" s="25" t="s">
        <v>124</v>
      </c>
      <c r="E32" s="25" t="s">
        <v>185</v>
      </c>
      <c r="F32" s="25" t="s">
        <v>186</v>
      </c>
      <c r="G32" s="27" t="s">
        <v>40</v>
      </c>
      <c r="H32" s="23" t="s">
        <v>127</v>
      </c>
      <c r="I32" s="23" t="s">
        <v>102</v>
      </c>
      <c r="J32" s="28"/>
    </row>
    <row r="33" spans="1:10" ht="72" customHeight="1">
      <c r="A33" s="23" t="s">
        <v>69</v>
      </c>
      <c r="B33" s="23" t="s">
        <v>96</v>
      </c>
      <c r="C33" s="23" t="s">
        <v>111</v>
      </c>
      <c r="D33" s="23" t="s">
        <v>98</v>
      </c>
      <c r="E33" s="23" t="s">
        <v>99</v>
      </c>
      <c r="F33" s="23" t="s">
        <v>187</v>
      </c>
      <c r="G33" s="24" t="s">
        <v>42</v>
      </c>
      <c r="H33" s="23" t="s">
        <v>188</v>
      </c>
      <c r="I33" s="23" t="s">
        <v>102</v>
      </c>
      <c r="J33" s="28"/>
    </row>
    <row r="34" spans="1:10" ht="72" customHeight="1">
      <c r="A34" s="25" t="s">
        <v>70</v>
      </c>
      <c r="B34" s="25" t="s">
        <v>96</v>
      </c>
      <c r="C34" s="25" t="s">
        <v>117</v>
      </c>
      <c r="D34" s="25" t="s">
        <v>103</v>
      </c>
      <c r="E34" s="25" t="s">
        <v>99</v>
      </c>
      <c r="F34" s="25" t="s">
        <v>189</v>
      </c>
      <c r="G34" s="24" t="s">
        <v>42</v>
      </c>
      <c r="H34" s="23" t="s">
        <v>190</v>
      </c>
      <c r="I34" s="23" t="s">
        <v>102</v>
      </c>
      <c r="J34" s="28"/>
    </row>
    <row r="35" spans="1:10" ht="72" customHeight="1">
      <c r="A35" s="23" t="s">
        <v>71</v>
      </c>
      <c r="B35" s="23" t="s">
        <v>96</v>
      </c>
      <c r="C35" s="23" t="s">
        <v>97</v>
      </c>
      <c r="D35" s="23" t="s">
        <v>98</v>
      </c>
      <c r="E35" s="23" t="s">
        <v>99</v>
      </c>
      <c r="F35" s="23" t="s">
        <v>191</v>
      </c>
      <c r="G35" s="24" t="s">
        <v>42</v>
      </c>
      <c r="H35" s="23" t="s">
        <v>192</v>
      </c>
      <c r="I35" s="23" t="s">
        <v>102</v>
      </c>
      <c r="J35" s="28"/>
    </row>
    <row r="36" spans="1:10" ht="72" customHeight="1">
      <c r="A36" s="25" t="s">
        <v>72</v>
      </c>
      <c r="B36" s="25" t="s">
        <v>193</v>
      </c>
      <c r="C36" s="25" t="s">
        <v>131</v>
      </c>
      <c r="D36" s="25" t="s">
        <v>124</v>
      </c>
      <c r="E36" s="25" t="s">
        <v>194</v>
      </c>
      <c r="F36" s="25" t="s">
        <v>195</v>
      </c>
      <c r="G36" s="27" t="s">
        <v>40</v>
      </c>
      <c r="H36" s="23" t="s">
        <v>127</v>
      </c>
      <c r="I36" s="23" t="s">
        <v>102</v>
      </c>
      <c r="J36" s="28"/>
    </row>
    <row r="37" spans="1:10" ht="72" customHeight="1">
      <c r="A37" s="23" t="s">
        <v>73</v>
      </c>
      <c r="B37" s="23" t="s">
        <v>196</v>
      </c>
      <c r="C37" s="23" t="s">
        <v>107</v>
      </c>
      <c r="D37" s="23" t="s">
        <v>124</v>
      </c>
      <c r="E37" s="23" t="s">
        <v>197</v>
      </c>
      <c r="F37" s="23" t="s">
        <v>198</v>
      </c>
      <c r="G37" s="26" t="s">
        <v>41</v>
      </c>
      <c r="H37" s="23" t="s">
        <v>199</v>
      </c>
      <c r="I37" s="23" t="s">
        <v>102</v>
      </c>
      <c r="J37" s="28"/>
    </row>
    <row r="38" spans="1:10" ht="72" customHeight="1">
      <c r="A38" s="25" t="s">
        <v>74</v>
      </c>
      <c r="B38" s="25" t="s">
        <v>200</v>
      </c>
      <c r="C38" s="25" t="s">
        <v>107</v>
      </c>
      <c r="D38" s="25" t="s">
        <v>124</v>
      </c>
      <c r="E38" s="25" t="s">
        <v>201</v>
      </c>
      <c r="F38" s="25" t="s">
        <v>202</v>
      </c>
      <c r="G38" s="26" t="s">
        <v>41</v>
      </c>
      <c r="H38" s="23" t="s">
        <v>203</v>
      </c>
      <c r="I38" s="23" t="s">
        <v>102</v>
      </c>
      <c r="J38" s="28"/>
    </row>
    <row r="39" spans="1:10" ht="72" customHeight="1">
      <c r="A39" s="23" t="s">
        <v>75</v>
      </c>
      <c r="B39" s="23" t="s">
        <v>204</v>
      </c>
      <c r="C39" s="23" t="s">
        <v>111</v>
      </c>
      <c r="D39" s="23" t="s">
        <v>98</v>
      </c>
      <c r="E39" s="23" t="s">
        <v>205</v>
      </c>
      <c r="F39" s="23" t="s">
        <v>206</v>
      </c>
      <c r="G39" s="26" t="s">
        <v>41</v>
      </c>
      <c r="H39" s="23" t="s">
        <v>207</v>
      </c>
      <c r="I39" s="23" t="s">
        <v>102</v>
      </c>
      <c r="J39" s="28"/>
    </row>
    <row r="40" spans="1:10" ht="72" customHeight="1">
      <c r="A40" s="25" t="s">
        <v>76</v>
      </c>
      <c r="B40" s="25" t="s">
        <v>96</v>
      </c>
      <c r="C40" s="25" t="s">
        <v>208</v>
      </c>
      <c r="D40" s="25" t="s">
        <v>103</v>
      </c>
      <c r="E40" s="25" t="s">
        <v>99</v>
      </c>
      <c r="F40" s="25" t="s">
        <v>209</v>
      </c>
      <c r="G40" s="24" t="s">
        <v>42</v>
      </c>
      <c r="H40" s="23" t="s">
        <v>210</v>
      </c>
      <c r="I40" s="23" t="s">
        <v>102</v>
      </c>
      <c r="J40" s="28"/>
    </row>
    <row r="41" spans="1:10" ht="72" customHeight="1">
      <c r="A41" s="23" t="s">
        <v>77</v>
      </c>
      <c r="B41" s="23" t="s">
        <v>211</v>
      </c>
      <c r="C41" s="23" t="s">
        <v>107</v>
      </c>
      <c r="D41" s="23" t="s">
        <v>98</v>
      </c>
      <c r="E41" s="23" t="s">
        <v>212</v>
      </c>
      <c r="F41" s="23" t="s">
        <v>213</v>
      </c>
      <c r="G41" s="26" t="s">
        <v>41</v>
      </c>
      <c r="H41" s="23" t="s">
        <v>214</v>
      </c>
      <c r="I41" s="23" t="s">
        <v>102</v>
      </c>
      <c r="J41" s="28"/>
    </row>
    <row r="42" spans="1:10" ht="72" customHeight="1">
      <c r="A42" s="25" t="s">
        <v>78</v>
      </c>
      <c r="B42" s="25" t="s">
        <v>204</v>
      </c>
      <c r="C42" s="25" t="s">
        <v>215</v>
      </c>
      <c r="D42" s="25" t="s">
        <v>124</v>
      </c>
      <c r="E42" s="25" t="s">
        <v>205</v>
      </c>
      <c r="F42" s="25" t="s">
        <v>216</v>
      </c>
      <c r="G42" s="26" t="s">
        <v>41</v>
      </c>
      <c r="H42" s="23" t="s">
        <v>217</v>
      </c>
      <c r="I42" s="23" t="s">
        <v>102</v>
      </c>
      <c r="J42" s="28"/>
    </row>
    <row r="43" spans="1:10" ht="72" customHeight="1">
      <c r="A43" s="23" t="s">
        <v>79</v>
      </c>
      <c r="B43" s="23" t="s">
        <v>218</v>
      </c>
      <c r="C43" s="23" t="s">
        <v>219</v>
      </c>
      <c r="D43" s="23" t="s">
        <v>124</v>
      </c>
      <c r="E43" s="23" t="s">
        <v>220</v>
      </c>
      <c r="F43" s="23" t="s">
        <v>221</v>
      </c>
      <c r="G43" s="27" t="s">
        <v>40</v>
      </c>
      <c r="H43" s="23" t="s">
        <v>127</v>
      </c>
      <c r="I43" s="23" t="s">
        <v>102</v>
      </c>
      <c r="J43" s="28"/>
    </row>
    <row r="44" spans="1:10" ht="72" customHeight="1">
      <c r="A44" s="25" t="s">
        <v>80</v>
      </c>
      <c r="B44" s="25" t="s">
        <v>222</v>
      </c>
      <c r="C44" s="25" t="s">
        <v>208</v>
      </c>
      <c r="D44" s="25" t="s">
        <v>98</v>
      </c>
      <c r="E44" s="25" t="s">
        <v>223</v>
      </c>
      <c r="F44" s="25" t="s">
        <v>224</v>
      </c>
      <c r="G44" s="26" t="s">
        <v>41</v>
      </c>
      <c r="H44" s="23" t="s">
        <v>225</v>
      </c>
      <c r="I44" s="23" t="s">
        <v>102</v>
      </c>
      <c r="J44" s="28"/>
    </row>
    <row r="45" spans="1:10" ht="72" customHeight="1">
      <c r="A45" s="23" t="s">
        <v>81</v>
      </c>
      <c r="B45" s="23" t="s">
        <v>147</v>
      </c>
      <c r="C45" s="23" t="s">
        <v>111</v>
      </c>
      <c r="D45" s="23" t="s">
        <v>98</v>
      </c>
      <c r="E45" s="23" t="s">
        <v>148</v>
      </c>
      <c r="F45" s="23" t="s">
        <v>226</v>
      </c>
      <c r="G45" s="26" t="s">
        <v>41</v>
      </c>
      <c r="H45" s="23" t="s">
        <v>227</v>
      </c>
      <c r="I45" s="23" t="s">
        <v>102</v>
      </c>
      <c r="J45" s="28"/>
    </row>
    <row r="46" spans="1:10" ht="72" customHeight="1">
      <c r="A46" s="25" t="s">
        <v>82</v>
      </c>
      <c r="B46" s="25" t="s">
        <v>228</v>
      </c>
      <c r="C46" s="25" t="s">
        <v>131</v>
      </c>
      <c r="D46" s="25" t="s">
        <v>124</v>
      </c>
      <c r="E46" s="25" t="s">
        <v>229</v>
      </c>
      <c r="F46" s="25" t="s">
        <v>230</v>
      </c>
      <c r="G46" s="27" t="s">
        <v>40</v>
      </c>
      <c r="H46" s="23" t="s">
        <v>127</v>
      </c>
      <c r="I46" s="23" t="s">
        <v>102</v>
      </c>
      <c r="J46" s="28"/>
    </row>
    <row r="47" spans="1:10" ht="72" customHeight="1">
      <c r="A47" s="23" t="s">
        <v>83</v>
      </c>
      <c r="B47" s="23" t="s">
        <v>231</v>
      </c>
      <c r="C47" s="23" t="s">
        <v>131</v>
      </c>
      <c r="D47" s="23" t="s">
        <v>124</v>
      </c>
      <c r="E47" s="23" t="s">
        <v>232</v>
      </c>
      <c r="F47" s="23" t="s">
        <v>233</v>
      </c>
      <c r="G47" s="26" t="s">
        <v>41</v>
      </c>
      <c r="H47" s="23" t="s">
        <v>234</v>
      </c>
      <c r="I47" s="23" t="s">
        <v>102</v>
      </c>
      <c r="J47" s="28"/>
    </row>
    <row r="48" spans="1:10" ht="72" customHeight="1">
      <c r="A48" s="25" t="s">
        <v>84</v>
      </c>
      <c r="B48" s="25" t="s">
        <v>235</v>
      </c>
      <c r="C48" s="25" t="s">
        <v>131</v>
      </c>
      <c r="D48" s="25" t="s">
        <v>103</v>
      </c>
      <c r="E48" s="25" t="s">
        <v>236</v>
      </c>
      <c r="F48" s="25" t="s">
        <v>237</v>
      </c>
      <c r="G48" s="26" t="s">
        <v>41</v>
      </c>
      <c r="H48" s="23" t="s">
        <v>238</v>
      </c>
      <c r="I48" s="23" t="s">
        <v>102</v>
      </c>
      <c r="J48" s="28"/>
    </row>
    <row r="49" spans="1:10" ht="72" customHeight="1">
      <c r="A49" s="23" t="s">
        <v>85</v>
      </c>
      <c r="B49" s="23" t="s">
        <v>239</v>
      </c>
      <c r="C49" s="23" t="s">
        <v>240</v>
      </c>
      <c r="D49" s="23" t="s">
        <v>124</v>
      </c>
      <c r="E49" s="23" t="s">
        <v>241</v>
      </c>
      <c r="F49" s="23" t="s">
        <v>242</v>
      </c>
      <c r="G49" s="27" t="s">
        <v>40</v>
      </c>
      <c r="H49" s="23" t="s">
        <v>127</v>
      </c>
      <c r="I49" s="23" t="s">
        <v>102</v>
      </c>
      <c r="J49" s="28"/>
    </row>
    <row r="50" spans="1:10" ht="72" customHeight="1">
      <c r="A50" s="25" t="s">
        <v>85</v>
      </c>
      <c r="B50" s="25" t="s">
        <v>243</v>
      </c>
      <c r="C50" s="25" t="s">
        <v>240</v>
      </c>
      <c r="D50" s="25" t="s">
        <v>124</v>
      </c>
      <c r="E50" s="25" t="s">
        <v>244</v>
      </c>
      <c r="F50" s="25" t="s">
        <v>245</v>
      </c>
      <c r="G50" s="27" t="s">
        <v>40</v>
      </c>
      <c r="H50" s="23" t="s">
        <v>127</v>
      </c>
      <c r="I50" s="23" t="s">
        <v>102</v>
      </c>
      <c r="J50" s="28"/>
    </row>
    <row r="51" spans="1:10" ht="72" customHeight="1">
      <c r="A51" s="23" t="s">
        <v>85</v>
      </c>
      <c r="B51" s="23" t="s">
        <v>246</v>
      </c>
      <c r="C51" s="23" t="s">
        <v>240</v>
      </c>
      <c r="D51" s="23" t="s">
        <v>124</v>
      </c>
      <c r="E51" s="23" t="s">
        <v>247</v>
      </c>
      <c r="F51" s="23" t="s">
        <v>248</v>
      </c>
      <c r="G51" s="27" t="s">
        <v>40</v>
      </c>
      <c r="H51" s="23" t="s">
        <v>127</v>
      </c>
      <c r="I51" s="23" t="s">
        <v>102</v>
      </c>
      <c r="J51" s="28"/>
    </row>
    <row r="52" spans="1:10" ht="72" customHeight="1">
      <c r="A52" s="25" t="s">
        <v>86</v>
      </c>
      <c r="B52" s="25" t="s">
        <v>249</v>
      </c>
      <c r="C52" s="25" t="s">
        <v>123</v>
      </c>
      <c r="D52" s="25" t="s">
        <v>124</v>
      </c>
      <c r="E52" s="25" t="s">
        <v>250</v>
      </c>
      <c r="F52" s="25" t="s">
        <v>251</v>
      </c>
      <c r="G52" s="27" t="s">
        <v>40</v>
      </c>
      <c r="H52" s="23" t="s">
        <v>127</v>
      </c>
      <c r="I52" s="23" t="s">
        <v>102</v>
      </c>
      <c r="J52" s="28"/>
    </row>
  </sheetData>
  <mergeCells count="5">
    <mergeCell ref="A1:J1"/>
    <mergeCell ref="A2:J2"/>
    <mergeCell ref="A3:C3"/>
    <mergeCell ref="D3:F3"/>
    <mergeCell ref="G3:J3"/>
  </mergeCells>
  <dataValidations count="2">
    <dataValidation type="list" sqref="G5:G52" xr:uid="{00000000-0002-0000-0200-000000000000}">
      <formula1>"A,B,C"</formula1>
    </dataValidation>
    <dataValidation type="list" sqref="I5:I52" xr:uid="{00000000-0002-0000-0200-000001000000}">
      <formula1>"Pending,Confirmed,Change needed,Open question,Not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6b0b-71de-458e-9f2e-9e8b3d616881">
      <Terms xmlns="http://schemas.microsoft.com/office/infopath/2007/PartnerControls"/>
    </lcf76f155ced4ddcb4097134ff3c332f>
    <MediaLengthInSeconds xmlns="57566b0b-71de-458e-9f2e-9e8b3d6168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D1156AF89E94CB4E0E819A4FFFAAD" ma:contentTypeVersion="10" ma:contentTypeDescription="Create a new document." ma:contentTypeScope="" ma:versionID="61872c4fbe53fcdd153f909cd790dd28">
  <xsd:schema xmlns:xsd="http://www.w3.org/2001/XMLSchema" xmlns:xs="http://www.w3.org/2001/XMLSchema" xmlns:p="http://schemas.microsoft.com/office/2006/metadata/properties" xmlns:ns2="57566b0b-71de-458e-9f2e-9e8b3d616881" targetNamespace="http://schemas.microsoft.com/office/2006/metadata/properties" ma:root="true" ma:fieldsID="11e0f8d1eec925045bf0dcf8a49d40ae" ns2:_="">
    <xsd:import namespace="57566b0b-71de-458e-9f2e-9e8b3d616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6b0b-71de-458e-9f2e-9e8b3d61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324c80-68f0-4eca-84bf-9f08e605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20C748-CE27-4BDA-A136-09333891C205}"/>
</file>

<file path=customXml/itemProps2.xml><?xml version="1.0" encoding="utf-8"?>
<ds:datastoreItem xmlns:ds="http://schemas.openxmlformats.org/officeDocument/2006/customXml" ds:itemID="{27C2ADFA-09EC-4E91-A943-49E952973279}"/>
</file>

<file path=customXml/itemProps3.xml><?xml version="1.0" encoding="utf-8"?>
<ds:datastoreItem xmlns:ds="http://schemas.openxmlformats.org/officeDocument/2006/customXml" ds:itemID="{562F231B-4FD5-4CB4-96A6-42C70BE82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Thankachan(UST,IN)</cp:lastModifiedBy>
  <cp:revision/>
  <dcterms:created xsi:type="dcterms:W3CDTF">2026-09-19T18:07:59Z</dcterms:created>
  <dcterms:modified xsi:type="dcterms:W3CDTF">2026-09-19T18:07:59Z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0x010100915D1156AF89E94CB4E0E819A4FFFAAD</vt:lpwstr>
  </property>
  <property fmtid="{D5CDD505-2E9C-101B-9397-08002B2CF9AE}" pid="3" name="Order">
    <vt:r8>24600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